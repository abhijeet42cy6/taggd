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devendra_kumar_taggd_in/Documents/FY2025/Budget/WFM/FY25-26/Feb'26/"/>
    </mc:Choice>
  </mc:AlternateContent>
  <xr:revisionPtr revIDLastSave="0" documentId="8_{109CA9FC-4FA1-43FF-A96B-0CB6FB4F2D4F}" xr6:coauthVersionLast="47" xr6:coauthVersionMax="47" xr10:uidLastSave="{00000000-0000-0000-0000-000000000000}"/>
  <bookViews>
    <workbookView xWindow="-120" yWindow="-120" windowWidth="20730" windowHeight="11040" tabRatio="879" activeTab="4" xr2:uid="{7B8F37FE-D27F-432C-A904-686604FAC1FE}"/>
  </bookViews>
  <sheets>
    <sheet name="Note" sheetId="35" r:id="rId1"/>
    <sheet name="HC_Summary Excluding Optum" sheetId="22" r:id="rId2"/>
    <sheet name="Mapping" sheetId="19" state="hidden" r:id="rId3"/>
    <sheet name="HC Projection Including Optum" sheetId="31" r:id="rId4"/>
    <sheet name="Projected HC - FY26 (Q4)" sheetId="18" r:id="rId5"/>
    <sheet name="HR Guru | Lyftr" sheetId="34" state="hidden" r:id="rId6"/>
    <sheet name="Open Positin List" sheetId="33" r:id="rId7"/>
    <sheet name="HC &amp; Open Position" sheetId="2" r:id="rId8"/>
    <sheet name="CPH" sheetId="8" state="hidden" r:id="rId9"/>
    <sheet name="Projected HC - FY26" sheetId="13" state="hidden" r:id="rId10"/>
  </sheets>
  <definedNames>
    <definedName name="_xlnm._FilterDatabase" localSheetId="8" hidden="1">CPH!$A$1:$E$51</definedName>
    <definedName name="_xlnm._FilterDatabase" localSheetId="7" hidden="1">'HC &amp; Open Position'!$B$3:$V$56</definedName>
    <definedName name="_xlnm._FilterDatabase" localSheetId="5" hidden="1">'HR Guru | Lyftr'!$A$1:$B$36</definedName>
    <definedName name="_xlnm._FilterDatabase" localSheetId="9" hidden="1">'Projected HC - FY26'!$A$3:$AU$63</definedName>
    <definedName name="_xlnm._FilterDatabase" localSheetId="4" hidden="1">'Projected HC - FY26 (Q4)'!$A$3:$AR$53</definedName>
    <definedName name="ExternalData_1" localSheetId="6" hidden="1">'Open Positin List'!$A$1:$T$53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2" l="1"/>
  <c r="H10" i="22"/>
  <c r="G10" i="22"/>
  <c r="F10" i="22"/>
  <c r="E10" i="22"/>
  <c r="D10" i="22"/>
  <c r="C10" i="22"/>
  <c r="J10" i="22"/>
  <c r="H12" i="31"/>
  <c r="G12" i="31"/>
  <c r="F12" i="31"/>
  <c r="P2" i="18"/>
  <c r="I2" i="22"/>
  <c r="J2" i="22"/>
  <c r="J5" i="22" s="1"/>
  <c r="J9" i="22" s="1"/>
  <c r="H5" i="22" l="1"/>
  <c r="H9" i="22" s="1"/>
  <c r="AG2" i="18"/>
  <c r="AF2" i="18"/>
  <c r="AD2" i="18"/>
  <c r="B36" i="34" l="1"/>
  <c r="F7" i="31" l="1"/>
  <c r="P43" i="18"/>
  <c r="P42" i="18"/>
  <c r="P41" i="18"/>
  <c r="P39" i="18"/>
  <c r="P38" i="18"/>
  <c r="P35" i="18"/>
  <c r="P34" i="18"/>
  <c r="P33" i="18"/>
  <c r="P32" i="18"/>
  <c r="P30" i="18"/>
  <c r="P29" i="18"/>
  <c r="P28" i="18"/>
  <c r="P27" i="18"/>
  <c r="P26" i="18"/>
  <c r="P25" i="18"/>
  <c r="P24" i="18"/>
  <c r="P23" i="18"/>
  <c r="P20" i="18"/>
  <c r="P19" i="18"/>
  <c r="P18" i="18"/>
  <c r="P17" i="18"/>
  <c r="P15" i="18"/>
  <c r="P14" i="18"/>
  <c r="P13" i="18"/>
  <c r="P12" i="18"/>
  <c r="P11" i="18"/>
  <c r="P8" i="18"/>
  <c r="P7" i="18"/>
  <c r="P5" i="18"/>
  <c r="P4" i="18"/>
  <c r="AI5" i="18" l="1"/>
  <c r="AJ5" i="18"/>
  <c r="AK5" i="18"/>
  <c r="AL5" i="18"/>
  <c r="AI6" i="18"/>
  <c r="AJ6" i="18"/>
  <c r="AK6" i="18"/>
  <c r="AL6" i="18"/>
  <c r="AI7" i="18"/>
  <c r="AJ7" i="18"/>
  <c r="AK7" i="18"/>
  <c r="AL7" i="18"/>
  <c r="AI8" i="18"/>
  <c r="AJ8" i="18"/>
  <c r="AK8" i="18"/>
  <c r="AL8" i="18"/>
  <c r="AI9" i="18"/>
  <c r="AJ9" i="18"/>
  <c r="AK9" i="18"/>
  <c r="AL9" i="18"/>
  <c r="AI10" i="18"/>
  <c r="AJ10" i="18"/>
  <c r="AK10" i="18"/>
  <c r="AL10" i="18"/>
  <c r="AI11" i="18"/>
  <c r="AJ11" i="18"/>
  <c r="AK11" i="18"/>
  <c r="AL11" i="18"/>
  <c r="AI12" i="18"/>
  <c r="AJ12" i="18"/>
  <c r="AK12" i="18"/>
  <c r="AL12" i="18"/>
  <c r="AI13" i="18"/>
  <c r="AJ13" i="18"/>
  <c r="AK13" i="18"/>
  <c r="AL13" i="18"/>
  <c r="AI14" i="18"/>
  <c r="AJ14" i="18"/>
  <c r="AK14" i="18"/>
  <c r="AL14" i="18"/>
  <c r="AI15" i="18"/>
  <c r="AJ15" i="18"/>
  <c r="AK15" i="18"/>
  <c r="AL15" i="18"/>
  <c r="AI16" i="18"/>
  <c r="AJ16" i="18"/>
  <c r="AK16" i="18"/>
  <c r="AL16" i="18"/>
  <c r="AI17" i="18"/>
  <c r="AJ17" i="18"/>
  <c r="AK17" i="18"/>
  <c r="AL17" i="18"/>
  <c r="AI18" i="18"/>
  <c r="AJ18" i="18"/>
  <c r="AK18" i="18"/>
  <c r="AL18" i="18"/>
  <c r="AI19" i="18"/>
  <c r="AJ19" i="18"/>
  <c r="AK19" i="18"/>
  <c r="AL19" i="18"/>
  <c r="AI20" i="18"/>
  <c r="AJ20" i="18"/>
  <c r="AK20" i="18"/>
  <c r="AL20" i="18"/>
  <c r="AI21" i="18"/>
  <c r="AJ21" i="18"/>
  <c r="AK21" i="18"/>
  <c r="AL21" i="18"/>
  <c r="AI22" i="18"/>
  <c r="AJ22" i="18"/>
  <c r="AK22" i="18"/>
  <c r="AL22" i="18"/>
  <c r="AI23" i="18"/>
  <c r="AJ23" i="18"/>
  <c r="AK23" i="18"/>
  <c r="AL23" i="18"/>
  <c r="AI24" i="18"/>
  <c r="AJ24" i="18"/>
  <c r="AK24" i="18"/>
  <c r="AL24" i="18"/>
  <c r="AI25" i="18"/>
  <c r="AJ25" i="18"/>
  <c r="AK25" i="18"/>
  <c r="AL25" i="18"/>
  <c r="AI26" i="18"/>
  <c r="AJ26" i="18"/>
  <c r="AK26" i="18"/>
  <c r="AL26" i="18"/>
  <c r="AI27" i="18"/>
  <c r="AJ27" i="18"/>
  <c r="AK27" i="18"/>
  <c r="AL27" i="18"/>
  <c r="AI28" i="18"/>
  <c r="AJ28" i="18"/>
  <c r="AK28" i="18"/>
  <c r="AL28" i="18"/>
  <c r="AI29" i="18"/>
  <c r="AJ29" i="18"/>
  <c r="AK29" i="18"/>
  <c r="AL29" i="18"/>
  <c r="AI30" i="18"/>
  <c r="AJ30" i="18"/>
  <c r="AK30" i="18"/>
  <c r="AL30" i="18"/>
  <c r="AI31" i="18"/>
  <c r="AJ31" i="18"/>
  <c r="AK31" i="18"/>
  <c r="AL31" i="18"/>
  <c r="AI32" i="18"/>
  <c r="AJ32" i="18"/>
  <c r="AK32" i="18"/>
  <c r="AL32" i="18"/>
  <c r="AI33" i="18"/>
  <c r="AJ33" i="18"/>
  <c r="AK33" i="18"/>
  <c r="AL33" i="18"/>
  <c r="AI34" i="18"/>
  <c r="AJ34" i="18"/>
  <c r="AK34" i="18"/>
  <c r="AL34" i="18"/>
  <c r="AI35" i="18"/>
  <c r="AJ35" i="18"/>
  <c r="AK35" i="18"/>
  <c r="AL35" i="18"/>
  <c r="AI36" i="18"/>
  <c r="AJ36" i="18"/>
  <c r="AK36" i="18"/>
  <c r="AL36" i="18"/>
  <c r="AI37" i="18"/>
  <c r="AJ37" i="18"/>
  <c r="AK37" i="18"/>
  <c r="AL37" i="18"/>
  <c r="AI38" i="18"/>
  <c r="AJ38" i="18"/>
  <c r="AK38" i="18"/>
  <c r="AL38" i="18"/>
  <c r="AI39" i="18"/>
  <c r="AJ39" i="18"/>
  <c r="AK39" i="18"/>
  <c r="AL39" i="18"/>
  <c r="AI40" i="18"/>
  <c r="AJ40" i="18"/>
  <c r="AK40" i="18"/>
  <c r="AL40" i="18"/>
  <c r="AI41" i="18"/>
  <c r="AJ41" i="18"/>
  <c r="AL41" i="18"/>
  <c r="AI42" i="18"/>
  <c r="AJ42" i="18"/>
  <c r="AK42" i="18"/>
  <c r="AL42" i="18"/>
  <c r="AI43" i="18"/>
  <c r="AJ43" i="18"/>
  <c r="AK43" i="18"/>
  <c r="AL43" i="18"/>
  <c r="AI44" i="18"/>
  <c r="AJ44" i="18"/>
  <c r="AK44" i="18"/>
  <c r="AL44" i="18"/>
  <c r="AI45" i="18"/>
  <c r="AJ45" i="18"/>
  <c r="AK45" i="18"/>
  <c r="AL45" i="18"/>
  <c r="AI46" i="18"/>
  <c r="AJ46" i="18"/>
  <c r="AK46" i="18"/>
  <c r="AL46" i="18"/>
  <c r="AI47" i="18"/>
  <c r="AJ47" i="18"/>
  <c r="AK47" i="18"/>
  <c r="AL47" i="18"/>
  <c r="AI48" i="18"/>
  <c r="AJ48" i="18"/>
  <c r="AK48" i="18"/>
  <c r="AL48" i="18"/>
  <c r="AI49" i="18"/>
  <c r="AJ49" i="18"/>
  <c r="AK49" i="18"/>
  <c r="AL49" i="18"/>
  <c r="AI50" i="18"/>
  <c r="AJ50" i="18"/>
  <c r="AK50" i="18"/>
  <c r="AL50" i="18"/>
  <c r="AI51" i="18"/>
  <c r="AJ51" i="18"/>
  <c r="AK51" i="18"/>
  <c r="AL51" i="18"/>
  <c r="AI52" i="18"/>
  <c r="AJ52" i="18"/>
  <c r="AK52" i="18"/>
  <c r="AL52" i="18"/>
  <c r="AI53" i="18"/>
  <c r="AJ53" i="18"/>
  <c r="AK53" i="18"/>
  <c r="AL53" i="18"/>
  <c r="AL4" i="18"/>
  <c r="AK4" i="18"/>
  <c r="AJ4" i="18"/>
  <c r="AI4" i="18"/>
  <c r="AI2" i="18" l="1"/>
  <c r="AJ2" i="18"/>
  <c r="AK2" i="18"/>
  <c r="AL2" i="18"/>
  <c r="I5" i="22"/>
  <c r="I9" i="22" s="1"/>
  <c r="H62" i="2"/>
  <c r="W53" i="18"/>
  <c r="X53" i="18"/>
  <c r="Y53" i="18"/>
  <c r="Z53" i="18"/>
  <c r="P53" i="18"/>
  <c r="Q53" i="18" s="1"/>
  <c r="R53" i="18" l="1"/>
  <c r="S53" i="18" s="1"/>
  <c r="T53" i="18" s="1"/>
  <c r="AM53" i="18"/>
  <c r="AA53" i="18"/>
  <c r="U53" i="18" l="1"/>
  <c r="AB53" i="18" s="1"/>
  <c r="AP53" i="18" l="1"/>
  <c r="K2" i="18"/>
  <c r="W43" i="18"/>
  <c r="X43" i="18"/>
  <c r="Y43" i="18"/>
  <c r="Z43" i="18"/>
  <c r="W44" i="18"/>
  <c r="X44" i="18"/>
  <c r="Y44" i="18"/>
  <c r="Z44" i="18"/>
  <c r="W45" i="18"/>
  <c r="X45" i="18"/>
  <c r="Y45" i="18"/>
  <c r="Z45" i="18"/>
  <c r="W46" i="18"/>
  <c r="X46" i="18"/>
  <c r="Y46" i="18"/>
  <c r="Z46" i="18"/>
  <c r="W47" i="18"/>
  <c r="X47" i="18"/>
  <c r="Y47" i="18"/>
  <c r="Z47" i="18"/>
  <c r="W48" i="18"/>
  <c r="X48" i="18"/>
  <c r="Y48" i="18"/>
  <c r="Z48" i="18"/>
  <c r="W49" i="18"/>
  <c r="X49" i="18"/>
  <c r="Y49" i="18"/>
  <c r="Z49" i="18"/>
  <c r="W50" i="18"/>
  <c r="X50" i="18"/>
  <c r="Y50" i="18"/>
  <c r="Z50" i="18"/>
  <c r="W51" i="18"/>
  <c r="X51" i="18"/>
  <c r="Y51" i="18"/>
  <c r="Z51" i="18"/>
  <c r="W52" i="18"/>
  <c r="X52" i="18"/>
  <c r="Y52" i="18"/>
  <c r="Z52" i="18"/>
  <c r="W8" i="18"/>
  <c r="X8" i="18"/>
  <c r="Y8" i="18"/>
  <c r="Z8" i="18"/>
  <c r="W9" i="18"/>
  <c r="X9" i="18"/>
  <c r="Y9" i="18"/>
  <c r="Z9" i="18"/>
  <c r="W10" i="18"/>
  <c r="X10" i="18"/>
  <c r="Y10" i="18"/>
  <c r="Z10" i="18"/>
  <c r="W11" i="18"/>
  <c r="X11" i="18"/>
  <c r="Y11" i="18"/>
  <c r="Z11" i="18"/>
  <c r="W12" i="18"/>
  <c r="X12" i="18"/>
  <c r="Y12" i="18"/>
  <c r="Z12" i="18"/>
  <c r="W13" i="18"/>
  <c r="X13" i="18"/>
  <c r="Y13" i="18"/>
  <c r="Z13" i="18"/>
  <c r="W14" i="18"/>
  <c r="X14" i="18"/>
  <c r="Y14" i="18"/>
  <c r="Z14" i="18"/>
  <c r="W15" i="18"/>
  <c r="X15" i="18"/>
  <c r="Y15" i="18"/>
  <c r="Z15" i="18"/>
  <c r="W16" i="18"/>
  <c r="X16" i="18"/>
  <c r="Y16" i="18"/>
  <c r="Z16" i="18"/>
  <c r="W17" i="18"/>
  <c r="X17" i="18"/>
  <c r="Y17" i="18"/>
  <c r="Z17" i="18"/>
  <c r="W18" i="18"/>
  <c r="X18" i="18"/>
  <c r="Y18" i="18"/>
  <c r="Z18" i="18"/>
  <c r="W19" i="18"/>
  <c r="X19" i="18"/>
  <c r="Y19" i="18"/>
  <c r="Z19" i="18"/>
  <c r="W20" i="18"/>
  <c r="X20" i="18"/>
  <c r="Y20" i="18"/>
  <c r="Z20" i="18"/>
  <c r="W21" i="18"/>
  <c r="X21" i="18"/>
  <c r="Y21" i="18"/>
  <c r="Z21" i="18"/>
  <c r="W22" i="18"/>
  <c r="X22" i="18"/>
  <c r="Y22" i="18"/>
  <c r="Z22" i="18"/>
  <c r="W23" i="18"/>
  <c r="X23" i="18"/>
  <c r="Y23" i="18"/>
  <c r="Z23" i="18"/>
  <c r="W24" i="18"/>
  <c r="X24" i="18"/>
  <c r="Y24" i="18"/>
  <c r="Z24" i="18"/>
  <c r="W25" i="18"/>
  <c r="X25" i="18"/>
  <c r="Y25" i="18"/>
  <c r="Z25" i="18"/>
  <c r="W26" i="18"/>
  <c r="X26" i="18"/>
  <c r="Y26" i="18"/>
  <c r="Z26" i="18"/>
  <c r="W27" i="18"/>
  <c r="X27" i="18"/>
  <c r="Y27" i="18"/>
  <c r="Z27" i="18"/>
  <c r="W28" i="18"/>
  <c r="X28" i="18"/>
  <c r="Y28" i="18"/>
  <c r="Z28" i="18"/>
  <c r="W29" i="18"/>
  <c r="X29" i="18"/>
  <c r="Y29" i="18"/>
  <c r="Z29" i="18"/>
  <c r="W30" i="18"/>
  <c r="X30" i="18"/>
  <c r="Y30" i="18"/>
  <c r="Z30" i="18"/>
  <c r="W31" i="18"/>
  <c r="X31" i="18"/>
  <c r="Y31" i="18"/>
  <c r="Z31" i="18"/>
  <c r="W32" i="18"/>
  <c r="X32" i="18"/>
  <c r="Y32" i="18"/>
  <c r="Z32" i="18"/>
  <c r="W33" i="18"/>
  <c r="X33" i="18"/>
  <c r="Y33" i="18"/>
  <c r="Z33" i="18"/>
  <c r="W34" i="18"/>
  <c r="X34" i="18"/>
  <c r="Y34" i="18"/>
  <c r="Z34" i="18"/>
  <c r="W35" i="18"/>
  <c r="X35" i="18"/>
  <c r="Y35" i="18"/>
  <c r="Z35" i="18"/>
  <c r="W36" i="18"/>
  <c r="X36" i="18"/>
  <c r="Y36" i="18"/>
  <c r="Z36" i="18"/>
  <c r="W37" i="18"/>
  <c r="X37" i="18"/>
  <c r="Y37" i="18"/>
  <c r="Z37" i="18"/>
  <c r="W38" i="18"/>
  <c r="X38" i="18"/>
  <c r="Y38" i="18"/>
  <c r="Z38" i="18"/>
  <c r="W39" i="18"/>
  <c r="X39" i="18"/>
  <c r="Y39" i="18"/>
  <c r="Z39" i="18"/>
  <c r="W40" i="18"/>
  <c r="X40" i="18"/>
  <c r="Y40" i="18"/>
  <c r="Z40" i="18"/>
  <c r="W5" i="18"/>
  <c r="X5" i="18"/>
  <c r="Y5" i="18"/>
  <c r="Z5" i="18"/>
  <c r="W6" i="18"/>
  <c r="X6" i="18"/>
  <c r="Y6" i="18"/>
  <c r="Z6" i="18"/>
  <c r="W7" i="18"/>
  <c r="X7" i="18"/>
  <c r="Y7" i="18"/>
  <c r="Z7" i="18"/>
  <c r="P52" i="18"/>
  <c r="Q52" i="18" s="1"/>
  <c r="F18" i="31"/>
  <c r="G5" i="31"/>
  <c r="H5" i="31" s="1"/>
  <c r="AA52" i="18" l="1"/>
  <c r="AM52" i="18"/>
  <c r="R52" i="18"/>
  <c r="S52" i="18" s="1"/>
  <c r="T52" i="18" s="1"/>
  <c r="G6" i="31"/>
  <c r="G18" i="31" s="1"/>
  <c r="F19" i="31"/>
  <c r="F21" i="31" s="1"/>
  <c r="U52" i="18" l="1"/>
  <c r="AB52" i="18" s="1"/>
  <c r="G19" i="31"/>
  <c r="G21" i="31" s="1"/>
  <c r="H6" i="31"/>
  <c r="H18" i="31" s="1"/>
  <c r="H19" i="31" s="1"/>
  <c r="H21" i="31" s="1"/>
  <c r="AP52" i="18" l="1"/>
  <c r="G5" i="22"/>
  <c r="G9" i="22" s="1"/>
  <c r="F5" i="22"/>
  <c r="F9" i="22" s="1"/>
  <c r="P50" i="18" l="1"/>
  <c r="P48" i="18"/>
  <c r="P47" i="18"/>
  <c r="Q50" i="18" l="1"/>
  <c r="R50" i="18" s="1"/>
  <c r="P54" i="2"/>
  <c r="P55" i="2"/>
  <c r="AM50" i="18" l="1"/>
  <c r="AM51" i="18"/>
  <c r="AA50" i="18"/>
  <c r="AM49" i="18"/>
  <c r="AM48" i="18"/>
  <c r="S50" i="18"/>
  <c r="T50" i="18" s="1"/>
  <c r="U50" i="18" l="1"/>
  <c r="AB50" i="18" s="1"/>
  <c r="AP50" i="18" l="1"/>
  <c r="Q48" i="18"/>
  <c r="R48" i="18" s="1"/>
  <c r="S48" i="18" s="1"/>
  <c r="T48" i="18" s="1"/>
  <c r="P49" i="18"/>
  <c r="Q49" i="18" s="1"/>
  <c r="R49" i="18" s="1"/>
  <c r="S49" i="18" s="1"/>
  <c r="T49" i="18" s="1"/>
  <c r="P51" i="18"/>
  <c r="E5" i="22"/>
  <c r="E9" i="22" s="1"/>
  <c r="O56" i="2"/>
  <c r="N56" i="2"/>
  <c r="M56" i="2"/>
  <c r="L56" i="2"/>
  <c r="I56" i="2"/>
  <c r="H56" i="2"/>
  <c r="G56" i="2"/>
  <c r="F56" i="2"/>
  <c r="E56" i="2"/>
  <c r="J54" i="2"/>
  <c r="J55" i="2"/>
  <c r="Q51" i="18" l="1"/>
  <c r="R51" i="18" s="1"/>
  <c r="S51" i="18" s="1"/>
  <c r="T51" i="18" s="1"/>
  <c r="AA49" i="18"/>
  <c r="U49" i="18"/>
  <c r="AA48" i="18"/>
  <c r="AA51" i="18"/>
  <c r="D5" i="22"/>
  <c r="D9" i="22" s="1"/>
  <c r="AP49" i="18" l="1"/>
  <c r="AB49" i="18"/>
  <c r="U48" i="18"/>
  <c r="AP48" i="18" s="1"/>
  <c r="AB48" i="18" l="1"/>
  <c r="B5" i="22"/>
  <c r="B9" i="22" s="1"/>
  <c r="C5" i="22"/>
  <c r="C9" i="22" s="1"/>
  <c r="P44" i="18" l="1"/>
  <c r="P45" i="18"/>
  <c r="P46" i="18"/>
  <c r="U51" i="18" l="1"/>
  <c r="AP51" i="18" s="1"/>
  <c r="AB51" i="18" l="1"/>
  <c r="AO2" i="18"/>
  <c r="AN2" i="18"/>
  <c r="H65" i="2" l="1"/>
  <c r="Q47" i="18" l="1"/>
  <c r="Q46" i="18" l="1"/>
  <c r="R46" i="18" s="1"/>
  <c r="S46" i="18" s="1"/>
  <c r="T46" i="18" s="1"/>
  <c r="AM47" i="18"/>
  <c r="AA46" i="18"/>
  <c r="AM46" i="18"/>
  <c r="AA47" i="18"/>
  <c r="R47" i="18"/>
  <c r="S47" i="18" s="1"/>
  <c r="T47" i="18" s="1"/>
  <c r="U46" i="18" l="1"/>
  <c r="AP46" i="18" s="1"/>
  <c r="U47" i="18"/>
  <c r="AP47" i="18" s="1"/>
  <c r="AB46" i="18" l="1"/>
  <c r="AB47" i="18"/>
  <c r="O62" i="2" l="1"/>
  <c r="N62" i="2"/>
  <c r="M62" i="2"/>
  <c r="L62" i="2"/>
  <c r="H45" i="18" l="1"/>
  <c r="G62" i="2" l="1"/>
  <c r="F62" i="2"/>
  <c r="W42" i="18"/>
  <c r="X42" i="18"/>
  <c r="Y42" i="18"/>
  <c r="Z42" i="18"/>
  <c r="Q44" i="18"/>
  <c r="R44" i="18" s="1"/>
  <c r="S44" i="18" s="1"/>
  <c r="T44" i="18" s="1"/>
  <c r="Q45" i="18"/>
  <c r="R45" i="18" s="1"/>
  <c r="S45" i="18" s="1"/>
  <c r="T45" i="18" s="1"/>
  <c r="Q43" i="18"/>
  <c r="R43" i="18" s="1"/>
  <c r="Q42" i="18"/>
  <c r="R42" i="18" s="1"/>
  <c r="AA41" i="18"/>
  <c r="Q39" i="18"/>
  <c r="R39" i="18" s="1"/>
  <c r="Q38" i="18"/>
  <c r="R38" i="18" s="1"/>
  <c r="S38" i="18" s="1"/>
  <c r="Q37" i="18"/>
  <c r="Q36" i="18"/>
  <c r="Q35" i="18"/>
  <c r="R35" i="18" s="1"/>
  <c r="Q34" i="18"/>
  <c r="R34" i="18" s="1"/>
  <c r="S34" i="18" s="1"/>
  <c r="Q32" i="18"/>
  <c r="R32" i="18" s="1"/>
  <c r="S32" i="18" s="1"/>
  <c r="Q30" i="18"/>
  <c r="Q29" i="18"/>
  <c r="R29" i="18" s="1"/>
  <c r="Q28" i="18"/>
  <c r="Q27" i="18"/>
  <c r="R27" i="18" s="1"/>
  <c r="Q26" i="18"/>
  <c r="R26" i="18" s="1"/>
  <c r="S26" i="18" s="1"/>
  <c r="Q25" i="18"/>
  <c r="Q24" i="18"/>
  <c r="Q23" i="18"/>
  <c r="R23" i="18" s="1"/>
  <c r="S23" i="18" s="1"/>
  <c r="Q22" i="18"/>
  <c r="Q21" i="18"/>
  <c r="R21" i="18" s="1"/>
  <c r="S21" i="18" s="1"/>
  <c r="T21" i="18" s="1"/>
  <c r="U21" i="18" s="1"/>
  <c r="Q20" i="18"/>
  <c r="R20" i="18" s="1"/>
  <c r="S20" i="18" s="1"/>
  <c r="T20" i="18" s="1"/>
  <c r="Q19" i="18"/>
  <c r="R19" i="18" s="1"/>
  <c r="Q18" i="18"/>
  <c r="R18" i="18" s="1"/>
  <c r="S18" i="18" s="1"/>
  <c r="T18" i="18" s="1"/>
  <c r="Q17" i="18"/>
  <c r="R17" i="18" s="1"/>
  <c r="Q16" i="18"/>
  <c r="Q15" i="18"/>
  <c r="Q14" i="18"/>
  <c r="R14" i="18" s="1"/>
  <c r="S14" i="18" s="1"/>
  <c r="Q13" i="18"/>
  <c r="R13" i="18" s="1"/>
  <c r="Q12" i="18"/>
  <c r="Q11" i="18"/>
  <c r="Q10" i="18"/>
  <c r="R10" i="18" s="1"/>
  <c r="S10" i="18" s="1"/>
  <c r="Q9" i="18"/>
  <c r="R9" i="18" s="1"/>
  <c r="Q8" i="18"/>
  <c r="Q6" i="18"/>
  <c r="R6" i="18" s="1"/>
  <c r="Q5" i="18"/>
  <c r="R5" i="18" s="1"/>
  <c r="Z4" i="18"/>
  <c r="Y4" i="18"/>
  <c r="X4" i="18"/>
  <c r="W4" i="18"/>
  <c r="Q4" i="18"/>
  <c r="R4" i="18" s="1"/>
  <c r="S4" i="18" s="1"/>
  <c r="T4" i="18" s="1"/>
  <c r="Z2" i="18" l="1"/>
  <c r="W2" i="18"/>
  <c r="X2" i="18"/>
  <c r="Y2" i="18"/>
  <c r="U41" i="18"/>
  <c r="E62" i="2"/>
  <c r="S5" i="18"/>
  <c r="T5" i="18" s="1"/>
  <c r="AM5" i="18"/>
  <c r="AM6" i="18"/>
  <c r="AM20" i="18"/>
  <c r="AM22" i="18"/>
  <c r="AM11" i="18"/>
  <c r="AM39" i="18"/>
  <c r="AM23" i="18"/>
  <c r="AM43" i="18"/>
  <c r="AM42" i="18"/>
  <c r="AM25" i="18"/>
  <c r="AM30" i="18"/>
  <c r="AM38" i="18"/>
  <c r="AM12" i="18"/>
  <c r="AM15" i="18"/>
  <c r="AM10" i="18"/>
  <c r="AM8" i="18"/>
  <c r="AM9" i="18"/>
  <c r="AM19" i="18"/>
  <c r="AM26" i="18"/>
  <c r="AM37" i="18"/>
  <c r="AA42" i="18"/>
  <c r="AM45" i="18"/>
  <c r="AM27" i="18"/>
  <c r="AM32" i="18"/>
  <c r="AM29" i="18"/>
  <c r="AM34" i="18"/>
  <c r="AM24" i="18"/>
  <c r="AM44" i="18"/>
  <c r="AM28" i="18"/>
  <c r="AM35" i="18"/>
  <c r="AM16" i="18"/>
  <c r="AM31" i="18"/>
  <c r="AM36" i="18"/>
  <c r="AM33" i="18"/>
  <c r="AM40" i="18"/>
  <c r="AM41" i="18"/>
  <c r="AP41" i="18" s="1"/>
  <c r="AA20" i="18"/>
  <c r="AA45" i="18"/>
  <c r="AP45" i="18" s="1"/>
  <c r="AA18" i="18"/>
  <c r="AA32" i="18"/>
  <c r="AA8" i="18"/>
  <c r="AA9" i="18"/>
  <c r="AA12" i="18"/>
  <c r="AA10" i="18"/>
  <c r="AA31" i="18"/>
  <c r="AA40" i="18"/>
  <c r="AA22" i="18"/>
  <c r="AA26" i="18"/>
  <c r="AA33" i="18"/>
  <c r="AA43" i="18"/>
  <c r="AA27" i="18"/>
  <c r="AA37" i="18"/>
  <c r="AA24" i="18"/>
  <c r="AA29" i="18"/>
  <c r="AA44" i="18"/>
  <c r="AA21" i="18"/>
  <c r="AA34" i="18"/>
  <c r="AA15" i="18"/>
  <c r="AA25" i="18"/>
  <c r="AA30" i="18"/>
  <c r="AA35" i="18"/>
  <c r="AA38" i="18"/>
  <c r="AA11" i="18"/>
  <c r="AA14" i="18"/>
  <c r="AA16" i="18"/>
  <c r="AA23" i="18"/>
  <c r="AA39" i="18"/>
  <c r="AA28" i="18"/>
  <c r="AA36" i="18"/>
  <c r="U44" i="18"/>
  <c r="U45" i="18"/>
  <c r="T10" i="18"/>
  <c r="U10" i="18" s="1"/>
  <c r="S13" i="18"/>
  <c r="T13" i="18" s="1"/>
  <c r="T14" i="18"/>
  <c r="U14" i="18" s="1"/>
  <c r="S17" i="18"/>
  <c r="T17" i="18" s="1"/>
  <c r="S9" i="18"/>
  <c r="T9" i="18" s="1"/>
  <c r="U4" i="18"/>
  <c r="R8" i="18"/>
  <c r="S8" i="18" s="1"/>
  <c r="T8" i="18" s="1"/>
  <c r="R11" i="18"/>
  <c r="S11" i="18" s="1"/>
  <c r="T11" i="18" s="1"/>
  <c r="R15" i="18"/>
  <c r="S15" i="18" s="1"/>
  <c r="T15" i="18" s="1"/>
  <c r="U18" i="18"/>
  <c r="AA19" i="18"/>
  <c r="T26" i="18"/>
  <c r="U26" i="18" s="1"/>
  <c r="AM4" i="18"/>
  <c r="R12" i="18"/>
  <c r="S12" i="18" s="1"/>
  <c r="T12" i="18" s="1"/>
  <c r="AM13" i="18"/>
  <c r="R16" i="18"/>
  <c r="S16" i="18" s="1"/>
  <c r="T16" i="18" s="1"/>
  <c r="AM17" i="18"/>
  <c r="S19" i="18"/>
  <c r="T19" i="18" s="1"/>
  <c r="U20" i="18"/>
  <c r="AA6" i="18"/>
  <c r="S27" i="18"/>
  <c r="T27" i="18" s="1"/>
  <c r="T32" i="18"/>
  <c r="U32" i="18" s="1"/>
  <c r="AA4" i="18"/>
  <c r="S6" i="18"/>
  <c r="T6" i="18" s="1"/>
  <c r="Q7" i="18"/>
  <c r="R7" i="18" s="1"/>
  <c r="S7" i="18" s="1"/>
  <c r="T7" i="18" s="1"/>
  <c r="U7" i="18" s="1"/>
  <c r="AM7" i="18"/>
  <c r="AA13" i="18"/>
  <c r="AM14" i="18"/>
  <c r="AA17" i="18"/>
  <c r="AM18" i="18"/>
  <c r="AM21" i="18"/>
  <c r="S29" i="18"/>
  <c r="T29" i="18" s="1"/>
  <c r="T34" i="18"/>
  <c r="U34" i="18" s="1"/>
  <c r="AA5" i="18"/>
  <c r="T38" i="18"/>
  <c r="U38" i="18" s="1"/>
  <c r="AA7" i="18"/>
  <c r="T23" i="18"/>
  <c r="U23" i="18" s="1"/>
  <c r="S35" i="18"/>
  <c r="T35" i="18" s="1"/>
  <c r="S39" i="18"/>
  <c r="T39" i="18" s="1"/>
  <c r="R22" i="18"/>
  <c r="S22" i="18" s="1"/>
  <c r="T22" i="18" s="1"/>
  <c r="R24" i="18"/>
  <c r="S24" i="18" s="1"/>
  <c r="T24" i="18" s="1"/>
  <c r="R30" i="18"/>
  <c r="S30" i="18" s="1"/>
  <c r="T30" i="18" s="1"/>
  <c r="R36" i="18"/>
  <c r="S36" i="18" s="1"/>
  <c r="T36" i="18" s="1"/>
  <c r="S42" i="18"/>
  <c r="T42" i="18" s="1"/>
  <c r="R25" i="18"/>
  <c r="S25" i="18" s="1"/>
  <c r="T25" i="18" s="1"/>
  <c r="R28" i="18"/>
  <c r="S28" i="18" s="1"/>
  <c r="T28" i="18" s="1"/>
  <c r="R37" i="18"/>
  <c r="S37" i="18" s="1"/>
  <c r="T37" i="18" s="1"/>
  <c r="S43" i="18"/>
  <c r="T43" i="18" s="1"/>
  <c r="AP23" i="18" l="1"/>
  <c r="AP26" i="18"/>
  <c r="AP21" i="18"/>
  <c r="AP7" i="18"/>
  <c r="AP38" i="18"/>
  <c r="AP18" i="18"/>
  <c r="AP44" i="18"/>
  <c r="AP14" i="18"/>
  <c r="AP10" i="18"/>
  <c r="AP32" i="18"/>
  <c r="AP34" i="18"/>
  <c r="AP20" i="18"/>
  <c r="AP4" i="18"/>
  <c r="AA2" i="18"/>
  <c r="AM2" i="18"/>
  <c r="AB41" i="18"/>
  <c r="U39" i="18"/>
  <c r="AP39" i="18" s="1"/>
  <c r="U35" i="18"/>
  <c r="AP35" i="18" s="1"/>
  <c r="U29" i="18"/>
  <c r="AP29" i="18" s="1"/>
  <c r="U9" i="18"/>
  <c r="AP9" i="18" s="1"/>
  <c r="AB45" i="18"/>
  <c r="U27" i="18"/>
  <c r="AP27" i="18" s="1"/>
  <c r="AB44" i="18"/>
  <c r="U5" i="18"/>
  <c r="AP5" i="18" s="1"/>
  <c r="AB21" i="18"/>
  <c r="AB26" i="18"/>
  <c r="AB34" i="18"/>
  <c r="AB7" i="18"/>
  <c r="AB14" i="18"/>
  <c r="AB23" i="18"/>
  <c r="AB32" i="18"/>
  <c r="AB10" i="18"/>
  <c r="U24" i="18"/>
  <c r="AP24" i="18" s="1"/>
  <c r="AB38" i="18"/>
  <c r="U22" i="18"/>
  <c r="AP22" i="18" s="1"/>
  <c r="U16" i="18"/>
  <c r="AP16" i="18" s="1"/>
  <c r="U37" i="18"/>
  <c r="AP37" i="18" s="1"/>
  <c r="AB20" i="18"/>
  <c r="AB4" i="18"/>
  <c r="U19" i="18"/>
  <c r="AP19" i="18" s="1"/>
  <c r="U42" i="18"/>
  <c r="AP42" i="18" s="1"/>
  <c r="U13" i="18"/>
  <c r="AP13" i="18" s="1"/>
  <c r="AB18" i="18"/>
  <c r="U43" i="18"/>
  <c r="AP43" i="18" s="1"/>
  <c r="U8" i="18"/>
  <c r="AP8" i="18" s="1"/>
  <c r="U30" i="18"/>
  <c r="AP30" i="18" s="1"/>
  <c r="U36" i="18"/>
  <c r="AP36" i="18" s="1"/>
  <c r="U15" i="18"/>
  <c r="AP15" i="18" s="1"/>
  <c r="U11" i="18"/>
  <c r="AP11" i="18" s="1"/>
  <c r="U6" i="18"/>
  <c r="AP6" i="18" s="1"/>
  <c r="U28" i="18"/>
  <c r="AP28" i="18" s="1"/>
  <c r="U25" i="18"/>
  <c r="AP25" i="18" s="1"/>
  <c r="U12" i="18"/>
  <c r="AP12" i="18" s="1"/>
  <c r="U17" i="18"/>
  <c r="AP17" i="18" s="1"/>
  <c r="AB42" i="18" l="1"/>
  <c r="AB9" i="18"/>
  <c r="AB39" i="18"/>
  <c r="AB35" i="18"/>
  <c r="AB5" i="18"/>
  <c r="AB29" i="18"/>
  <c r="AB27" i="18"/>
  <c r="AB43" i="18"/>
  <c r="AB22" i="18"/>
  <c r="AB17" i="18"/>
  <c r="AB8" i="18"/>
  <c r="AB37" i="18"/>
  <c r="AB24" i="18"/>
  <c r="AB12" i="18"/>
  <c r="AB6" i="18"/>
  <c r="AB30" i="18"/>
  <c r="AB16" i="18"/>
  <c r="AB15" i="18"/>
  <c r="AB13" i="18"/>
  <c r="AB25" i="18"/>
  <c r="AB11" i="18"/>
  <c r="AB19" i="18"/>
  <c r="AB36" i="18"/>
  <c r="AB28" i="18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62" i="2" s="1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J51" i="18" l="1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7" i="18"/>
  <c r="J6" i="18"/>
  <c r="J5" i="18"/>
  <c r="J4" i="18"/>
  <c r="K82" i="13" l="1"/>
  <c r="L82" i="13"/>
  <c r="M82" i="13"/>
  <c r="Y82" i="13" s="1"/>
  <c r="N82" i="13"/>
  <c r="O82" i="13"/>
  <c r="Q82" i="13"/>
  <c r="W82" i="13" s="1"/>
  <c r="R82" i="13"/>
  <c r="X82" i="13" s="1"/>
  <c r="S82" i="13"/>
  <c r="T82" i="13"/>
  <c r="Z82" i="13" s="1"/>
  <c r="U82" i="13"/>
  <c r="AA82" i="13" s="1"/>
  <c r="AP56" i="13"/>
  <c r="AQ56" i="13"/>
  <c r="AR56" i="13"/>
  <c r="AS56" i="13"/>
  <c r="AP57" i="13"/>
  <c r="AQ57" i="13"/>
  <c r="AR57" i="13"/>
  <c r="AS57" i="13"/>
  <c r="AK56" i="13"/>
  <c r="AM56" i="13" s="1"/>
  <c r="AI57" i="13"/>
  <c r="AJ57" i="13"/>
  <c r="AK57" i="13"/>
  <c r="AL57" i="13"/>
  <c r="AC82" i="13" l="1"/>
  <c r="AD82" i="13" s="1"/>
  <c r="AE82" i="13" s="1"/>
  <c r="AF82" i="13" s="1"/>
  <c r="AT56" i="13"/>
  <c r="AM57" i="13"/>
  <c r="AT57" i="13"/>
  <c r="AG82" i="13" l="1"/>
  <c r="J58" i="2" l="1"/>
  <c r="J49" i="2"/>
  <c r="X5" i="13" l="1"/>
  <c r="Y5" i="13"/>
  <c r="Z5" i="13"/>
  <c r="AA5" i="13"/>
  <c r="X6" i="13"/>
  <c r="Y6" i="13"/>
  <c r="Z6" i="13"/>
  <c r="AA6" i="13"/>
  <c r="X7" i="13"/>
  <c r="Y7" i="13"/>
  <c r="Z7" i="13"/>
  <c r="AA7" i="13"/>
  <c r="X8" i="13"/>
  <c r="Y8" i="13"/>
  <c r="Z8" i="13"/>
  <c r="AA8" i="13"/>
  <c r="X9" i="13"/>
  <c r="Y9" i="13"/>
  <c r="Z9" i="13"/>
  <c r="AA9" i="13"/>
  <c r="X10" i="13"/>
  <c r="Y10" i="13"/>
  <c r="Z10" i="13"/>
  <c r="AA10" i="13"/>
  <c r="X11" i="13"/>
  <c r="Y11" i="13"/>
  <c r="Z11" i="13"/>
  <c r="AA11" i="13"/>
  <c r="X12" i="13"/>
  <c r="Y12" i="13"/>
  <c r="Z12" i="13"/>
  <c r="AA12" i="13"/>
  <c r="X13" i="13"/>
  <c r="Y13" i="13"/>
  <c r="Z13" i="13"/>
  <c r="AA13" i="13"/>
  <c r="X14" i="13"/>
  <c r="Y14" i="13"/>
  <c r="Z14" i="13"/>
  <c r="AA14" i="13"/>
  <c r="X15" i="13"/>
  <c r="Y15" i="13"/>
  <c r="Z15" i="13"/>
  <c r="AA15" i="13"/>
  <c r="X16" i="13"/>
  <c r="Y16" i="13"/>
  <c r="Z16" i="13"/>
  <c r="AA16" i="13"/>
  <c r="X17" i="13"/>
  <c r="Y17" i="13"/>
  <c r="Z17" i="13"/>
  <c r="AA17" i="13"/>
  <c r="X18" i="13"/>
  <c r="Y18" i="13"/>
  <c r="Z18" i="13"/>
  <c r="AA18" i="13"/>
  <c r="X19" i="13"/>
  <c r="Y19" i="13"/>
  <c r="Z19" i="13"/>
  <c r="AA19" i="13"/>
  <c r="X20" i="13"/>
  <c r="Y20" i="13"/>
  <c r="Z20" i="13"/>
  <c r="AA20" i="13"/>
  <c r="X21" i="13"/>
  <c r="Y21" i="13"/>
  <c r="Z21" i="13"/>
  <c r="AA21" i="13"/>
  <c r="X22" i="13"/>
  <c r="Y22" i="13"/>
  <c r="Z22" i="13"/>
  <c r="AA22" i="13"/>
  <c r="X23" i="13"/>
  <c r="Y23" i="13"/>
  <c r="Z23" i="13"/>
  <c r="AA23" i="13"/>
  <c r="X24" i="13"/>
  <c r="Y24" i="13"/>
  <c r="Z24" i="13"/>
  <c r="AA24" i="13"/>
  <c r="X25" i="13"/>
  <c r="Y25" i="13"/>
  <c r="Z25" i="13"/>
  <c r="AA25" i="13"/>
  <c r="X26" i="13"/>
  <c r="Y26" i="13"/>
  <c r="Z26" i="13"/>
  <c r="AA26" i="13"/>
  <c r="X27" i="13"/>
  <c r="Y27" i="13"/>
  <c r="Z27" i="13"/>
  <c r="AA27" i="13"/>
  <c r="X28" i="13"/>
  <c r="Y28" i="13"/>
  <c r="Z28" i="13"/>
  <c r="AA28" i="13"/>
  <c r="X29" i="13"/>
  <c r="Y29" i="13"/>
  <c r="Z29" i="13"/>
  <c r="AA29" i="13"/>
  <c r="X30" i="13"/>
  <c r="Y30" i="13"/>
  <c r="Z30" i="13"/>
  <c r="AA30" i="13"/>
  <c r="X31" i="13"/>
  <c r="Y31" i="13"/>
  <c r="Z31" i="13"/>
  <c r="AA31" i="13"/>
  <c r="X32" i="13"/>
  <c r="Y32" i="13"/>
  <c r="Z32" i="13"/>
  <c r="AA32" i="13"/>
  <c r="X33" i="13"/>
  <c r="Y33" i="13"/>
  <c r="Z33" i="13"/>
  <c r="AA33" i="13"/>
  <c r="X34" i="13"/>
  <c r="Y34" i="13"/>
  <c r="Z34" i="13"/>
  <c r="AA34" i="13"/>
  <c r="X35" i="13"/>
  <c r="Y35" i="13"/>
  <c r="Z35" i="13"/>
  <c r="AA35" i="13"/>
  <c r="X36" i="13"/>
  <c r="Y36" i="13"/>
  <c r="Z36" i="13"/>
  <c r="AA36" i="13"/>
  <c r="X37" i="13"/>
  <c r="Y37" i="13"/>
  <c r="Z37" i="13"/>
  <c r="AA37" i="13"/>
  <c r="X38" i="13"/>
  <c r="Y38" i="13"/>
  <c r="Z38" i="13"/>
  <c r="AA38" i="13"/>
  <c r="X39" i="13"/>
  <c r="Y39" i="13"/>
  <c r="Z39" i="13"/>
  <c r="AA39" i="13"/>
  <c r="X40" i="13"/>
  <c r="Y40" i="13"/>
  <c r="Z40" i="13"/>
  <c r="AA40" i="13"/>
  <c r="X41" i="13"/>
  <c r="Y41" i="13"/>
  <c r="Z41" i="13"/>
  <c r="AA41" i="13"/>
  <c r="X42" i="13"/>
  <c r="Y42" i="13"/>
  <c r="Z42" i="13"/>
  <c r="AA42" i="13"/>
  <c r="X43" i="13"/>
  <c r="Y43" i="13"/>
  <c r="Z43" i="13"/>
  <c r="AA43" i="13"/>
  <c r="X44" i="13"/>
  <c r="Y44" i="13"/>
  <c r="Z44" i="13"/>
  <c r="AA44" i="13"/>
  <c r="X45" i="13"/>
  <c r="Y45" i="13"/>
  <c r="Z45" i="13"/>
  <c r="AA45" i="13"/>
  <c r="X46" i="13"/>
  <c r="Y46" i="13"/>
  <c r="Z46" i="13"/>
  <c r="AA46" i="13"/>
  <c r="X47" i="13"/>
  <c r="Y47" i="13"/>
  <c r="Z47" i="13"/>
  <c r="AA47" i="13"/>
  <c r="X48" i="13"/>
  <c r="Y48" i="13"/>
  <c r="Z48" i="13"/>
  <c r="AA48" i="13"/>
  <c r="X49" i="13"/>
  <c r="Y49" i="13"/>
  <c r="Z49" i="13"/>
  <c r="AA49" i="13"/>
  <c r="X50" i="13"/>
  <c r="Y50" i="13"/>
  <c r="Z50" i="13"/>
  <c r="AA50" i="13"/>
  <c r="X51" i="13"/>
  <c r="Y51" i="13"/>
  <c r="Z51" i="13"/>
  <c r="AA51" i="13"/>
  <c r="X52" i="13"/>
  <c r="Y52" i="13"/>
  <c r="Z52" i="13"/>
  <c r="AA52" i="13"/>
  <c r="X53" i="13"/>
  <c r="Y53" i="13"/>
  <c r="Z53" i="13"/>
  <c r="AA53" i="13"/>
  <c r="X54" i="13"/>
  <c r="Y54" i="13"/>
  <c r="Z54" i="13"/>
  <c r="AA54" i="13"/>
  <c r="X55" i="13"/>
  <c r="Y55" i="13"/>
  <c r="Z55" i="13"/>
  <c r="AA55" i="13"/>
  <c r="X56" i="13"/>
  <c r="Y56" i="13"/>
  <c r="Z56" i="13"/>
  <c r="AA56" i="13"/>
  <c r="AA57" i="13"/>
  <c r="AC57" i="13" s="1"/>
  <c r="X58" i="13"/>
  <c r="Y58" i="13"/>
  <c r="Z58" i="13"/>
  <c r="AA58" i="13"/>
  <c r="X59" i="13"/>
  <c r="Y59" i="13"/>
  <c r="Z59" i="13"/>
  <c r="AA59" i="13"/>
  <c r="X60" i="13"/>
  <c r="Y60" i="13"/>
  <c r="Z60" i="13"/>
  <c r="AA60" i="13"/>
  <c r="X61" i="13"/>
  <c r="Y61" i="13"/>
  <c r="Z61" i="13"/>
  <c r="AA61" i="13"/>
  <c r="X62" i="13"/>
  <c r="Y62" i="13"/>
  <c r="Z62" i="13"/>
  <c r="AA62" i="13"/>
  <c r="AA4" i="13"/>
  <c r="Z4" i="13"/>
  <c r="Y4" i="13"/>
  <c r="X4" i="13"/>
  <c r="W58" i="13"/>
  <c r="W59" i="13"/>
  <c r="W60" i="13"/>
  <c r="W61" i="13"/>
  <c r="W62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4" i="13"/>
  <c r="AE56" i="13" l="1"/>
  <c r="AD57" i="13"/>
  <c r="AE57" i="13" s="1"/>
  <c r="AF57" i="13" s="1"/>
  <c r="AG56" i="13" l="1"/>
  <c r="AG57" i="13"/>
  <c r="AU57" i="13" l="1"/>
  <c r="AN57" i="13"/>
  <c r="AU56" i="13"/>
  <c r="AN56" i="13"/>
  <c r="L57" i="13" l="1"/>
  <c r="M57" i="13"/>
  <c r="N57" i="13"/>
  <c r="K57" i="13"/>
  <c r="Q57" i="13" l="1"/>
  <c r="W57" i="13" s="1"/>
  <c r="S57" i="13"/>
  <c r="Y57" i="13" s="1"/>
  <c r="R57" i="13"/>
  <c r="X57" i="13"/>
  <c r="T57" i="13"/>
  <c r="Z57" i="13" s="1"/>
  <c r="J51" i="2" l="1"/>
  <c r="J5" i="2" l="1"/>
  <c r="J48" i="2"/>
  <c r="I65" i="2" l="1"/>
  <c r="I60" i="2"/>
  <c r="J6" i="2"/>
  <c r="J7" i="2"/>
  <c r="J8" i="2"/>
  <c r="J9" i="2"/>
  <c r="J10" i="2"/>
  <c r="J11" i="2"/>
  <c r="J12" i="2"/>
  <c r="J13" i="2"/>
  <c r="J62" i="2" s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50" i="2"/>
  <c r="J52" i="2"/>
  <c r="J53" i="2"/>
  <c r="J4" i="2"/>
  <c r="AI36" i="13"/>
  <c r="AI54" i="13"/>
  <c r="AJ54" i="13"/>
  <c r="AK54" i="13"/>
  <c r="AL54" i="13"/>
  <c r="J36" i="13"/>
  <c r="J51" i="13"/>
  <c r="J54" i="13"/>
  <c r="J56" i="13"/>
  <c r="J57" i="13"/>
  <c r="J58" i="13"/>
  <c r="J59" i="13"/>
  <c r="J60" i="13"/>
  <c r="J61" i="13"/>
  <c r="J62" i="13"/>
  <c r="J63" i="13"/>
  <c r="U2" i="13"/>
  <c r="R2" i="13"/>
  <c r="S2" i="13"/>
  <c r="T2" i="13"/>
  <c r="Q2" i="13"/>
  <c r="L2" i="13"/>
  <c r="M2" i="13"/>
  <c r="N2" i="13"/>
  <c r="O2" i="13"/>
  <c r="K2" i="13"/>
  <c r="P88" i="13"/>
  <c r="R73" i="13"/>
  <c r="S73" i="13"/>
  <c r="T73" i="13"/>
  <c r="U73" i="13"/>
  <c r="R74" i="13"/>
  <c r="S74" i="13"/>
  <c r="T74" i="13"/>
  <c r="U74" i="13"/>
  <c r="R75" i="13"/>
  <c r="S75" i="13"/>
  <c r="T75" i="13"/>
  <c r="U75" i="13"/>
  <c r="R76" i="13"/>
  <c r="S76" i="13"/>
  <c r="T76" i="13"/>
  <c r="U76" i="13"/>
  <c r="R77" i="13"/>
  <c r="S77" i="13"/>
  <c r="T77" i="13"/>
  <c r="U77" i="13"/>
  <c r="R78" i="13"/>
  <c r="S78" i="13"/>
  <c r="T78" i="13"/>
  <c r="U78" i="13"/>
  <c r="R79" i="13"/>
  <c r="S79" i="13"/>
  <c r="T79" i="13"/>
  <c r="U79" i="13"/>
  <c r="R80" i="13"/>
  <c r="S80" i="13"/>
  <c r="T80" i="13"/>
  <c r="U80" i="13"/>
  <c r="R81" i="13"/>
  <c r="S81" i="13"/>
  <c r="T81" i="13"/>
  <c r="U81" i="13"/>
  <c r="R83" i="13"/>
  <c r="S83" i="13"/>
  <c r="T83" i="13"/>
  <c r="U83" i="13"/>
  <c r="R84" i="13"/>
  <c r="S84" i="13"/>
  <c r="T84" i="13"/>
  <c r="U84" i="13"/>
  <c r="R85" i="13"/>
  <c r="S85" i="13"/>
  <c r="T85" i="13"/>
  <c r="U85" i="13"/>
  <c r="Q85" i="13"/>
  <c r="Q84" i="13"/>
  <c r="Q83" i="13"/>
  <c r="Q81" i="13"/>
  <c r="Q80" i="13"/>
  <c r="Q79" i="13"/>
  <c r="Q78" i="13"/>
  <c r="Q77" i="13"/>
  <c r="Q76" i="13"/>
  <c r="Q75" i="13"/>
  <c r="Q74" i="13"/>
  <c r="Q73" i="13"/>
  <c r="L73" i="13"/>
  <c r="M73" i="13"/>
  <c r="Y73" i="13" s="1"/>
  <c r="N73" i="13"/>
  <c r="O73" i="13"/>
  <c r="AA73" i="13" s="1"/>
  <c r="L74" i="13"/>
  <c r="M74" i="13"/>
  <c r="N74" i="13"/>
  <c r="O74" i="13"/>
  <c r="L75" i="13"/>
  <c r="M75" i="13"/>
  <c r="Y75" i="13" s="1"/>
  <c r="N75" i="13"/>
  <c r="O75" i="13"/>
  <c r="AA75" i="13" s="1"/>
  <c r="L76" i="13"/>
  <c r="M76" i="13"/>
  <c r="N76" i="13"/>
  <c r="O76" i="13"/>
  <c r="L77" i="13"/>
  <c r="M77" i="13"/>
  <c r="Y77" i="13" s="1"/>
  <c r="N77" i="13"/>
  <c r="O77" i="13"/>
  <c r="AA77" i="13" s="1"/>
  <c r="L78" i="13"/>
  <c r="M78" i="13"/>
  <c r="N78" i="13"/>
  <c r="O78" i="13"/>
  <c r="L79" i="13"/>
  <c r="M79" i="13"/>
  <c r="Y79" i="13" s="1"/>
  <c r="N79" i="13"/>
  <c r="O79" i="13"/>
  <c r="AA79" i="13" s="1"/>
  <c r="L80" i="13"/>
  <c r="M80" i="13"/>
  <c r="N80" i="13"/>
  <c r="O80" i="13"/>
  <c r="L81" i="13"/>
  <c r="M81" i="13"/>
  <c r="Y81" i="13" s="1"/>
  <c r="N81" i="13"/>
  <c r="O81" i="13"/>
  <c r="L83" i="13"/>
  <c r="M83" i="13"/>
  <c r="N83" i="13"/>
  <c r="O83" i="13"/>
  <c r="L84" i="13"/>
  <c r="M84" i="13"/>
  <c r="Y84" i="13" s="1"/>
  <c r="N84" i="13"/>
  <c r="O84" i="13"/>
  <c r="L85" i="13"/>
  <c r="M85" i="13"/>
  <c r="N85" i="13"/>
  <c r="O85" i="13"/>
  <c r="K74" i="13"/>
  <c r="K75" i="13"/>
  <c r="W75" i="13" s="1"/>
  <c r="K76" i="13"/>
  <c r="K77" i="13"/>
  <c r="K78" i="13"/>
  <c r="K79" i="13"/>
  <c r="K80" i="13"/>
  <c r="K81" i="13"/>
  <c r="W81" i="13" s="1"/>
  <c r="K83" i="13"/>
  <c r="K84" i="13"/>
  <c r="W84" i="13" s="1"/>
  <c r="K85" i="13"/>
  <c r="K73" i="13"/>
  <c r="R67" i="13"/>
  <c r="S67" i="13"/>
  <c r="T67" i="13"/>
  <c r="U67" i="13"/>
  <c r="R68" i="13"/>
  <c r="S68" i="13"/>
  <c r="T68" i="13"/>
  <c r="U68" i="13"/>
  <c r="R69" i="13"/>
  <c r="S69" i="13"/>
  <c r="T69" i="13"/>
  <c r="U69" i="13"/>
  <c r="Q69" i="13"/>
  <c r="Q68" i="13"/>
  <c r="Q67" i="13"/>
  <c r="L67" i="13"/>
  <c r="M67" i="13"/>
  <c r="N67" i="13"/>
  <c r="O67" i="13"/>
  <c r="L68" i="13"/>
  <c r="M68" i="13"/>
  <c r="N68" i="13"/>
  <c r="O68" i="13"/>
  <c r="L69" i="13"/>
  <c r="M69" i="13"/>
  <c r="N69" i="13"/>
  <c r="O69" i="13"/>
  <c r="K68" i="13"/>
  <c r="K69" i="13"/>
  <c r="K67" i="13"/>
  <c r="AJ36" i="13"/>
  <c r="AK36" i="13"/>
  <c r="AL36" i="13"/>
  <c r="AI51" i="13"/>
  <c r="AJ51" i="13"/>
  <c r="AK51" i="13"/>
  <c r="AL51" i="13"/>
  <c r="AP36" i="13"/>
  <c r="AQ36" i="13"/>
  <c r="AR36" i="13"/>
  <c r="AS36" i="13"/>
  <c r="AP51" i="13"/>
  <c r="AQ51" i="13"/>
  <c r="AR51" i="13"/>
  <c r="AS51" i="13"/>
  <c r="AP54" i="13"/>
  <c r="AQ54" i="13"/>
  <c r="AR54" i="13"/>
  <c r="AS54" i="13"/>
  <c r="AC5" i="13"/>
  <c r="AD5" i="13" s="1"/>
  <c r="AE5" i="13" s="1"/>
  <c r="AC6" i="13"/>
  <c r="AC7" i="13"/>
  <c r="AD7" i="13" s="1"/>
  <c r="AC8" i="13"/>
  <c r="AD8" i="13" s="1"/>
  <c r="AE8" i="13" s="1"/>
  <c r="AF8" i="13" s="1"/>
  <c r="AC9" i="13"/>
  <c r="AC10" i="13"/>
  <c r="AD10" i="13" s="1"/>
  <c r="AE10" i="13" s="1"/>
  <c r="AF10" i="13" s="1"/>
  <c r="AC11" i="13"/>
  <c r="AC12" i="13"/>
  <c r="AC13" i="13"/>
  <c r="AD13" i="13" s="1"/>
  <c r="AE13" i="13" s="1"/>
  <c r="AF13" i="13" s="1"/>
  <c r="AC14" i="13"/>
  <c r="AD14" i="13" s="1"/>
  <c r="AE14" i="13" s="1"/>
  <c r="AF14" i="13" s="1"/>
  <c r="AC15" i="13"/>
  <c r="AD15" i="13" s="1"/>
  <c r="AC16" i="13"/>
  <c r="AD16" i="13" s="1"/>
  <c r="AE16" i="13" s="1"/>
  <c r="AF16" i="13" s="1"/>
  <c r="AC17" i="13"/>
  <c r="AC18" i="13"/>
  <c r="AD18" i="13" s="1"/>
  <c r="AE18" i="13" s="1"/>
  <c r="AF18" i="13" s="1"/>
  <c r="AC19" i="13"/>
  <c r="AD19" i="13" s="1"/>
  <c r="AE19" i="13" s="1"/>
  <c r="AF19" i="13" s="1"/>
  <c r="AC20" i="13"/>
  <c r="AD20" i="13" s="1"/>
  <c r="AE20" i="13" s="1"/>
  <c r="AC21" i="13"/>
  <c r="AD21" i="13" s="1"/>
  <c r="AE21" i="13" s="1"/>
  <c r="AF21" i="13" s="1"/>
  <c r="AC22" i="13"/>
  <c r="AD22" i="13" s="1"/>
  <c r="AC23" i="13"/>
  <c r="AD23" i="13" s="1"/>
  <c r="AC24" i="13"/>
  <c r="AD24" i="13" s="1"/>
  <c r="AE24" i="13" s="1"/>
  <c r="AF24" i="13" s="1"/>
  <c r="AC25" i="13"/>
  <c r="AC26" i="13"/>
  <c r="AD26" i="13" s="1"/>
  <c r="AE26" i="13" s="1"/>
  <c r="AF26" i="13" s="1"/>
  <c r="AC27" i="13"/>
  <c r="AD27" i="13" s="1"/>
  <c r="AE27" i="13" s="1"/>
  <c r="AF27" i="13" s="1"/>
  <c r="AC28" i="13"/>
  <c r="AD28" i="13" s="1"/>
  <c r="AE28" i="13" s="1"/>
  <c r="AC29" i="13"/>
  <c r="AD29" i="13" s="1"/>
  <c r="AE29" i="13" s="1"/>
  <c r="AF29" i="13" s="1"/>
  <c r="AC30" i="13"/>
  <c r="AD30" i="13" s="1"/>
  <c r="AE30" i="13" s="1"/>
  <c r="AF30" i="13" s="1"/>
  <c r="AC31" i="13"/>
  <c r="AD31" i="13" s="1"/>
  <c r="AC32" i="13"/>
  <c r="AD32" i="13" s="1"/>
  <c r="AE32" i="13" s="1"/>
  <c r="AF32" i="13" s="1"/>
  <c r="AC33" i="13"/>
  <c r="AC34" i="13"/>
  <c r="AD34" i="13" s="1"/>
  <c r="AE34" i="13" s="1"/>
  <c r="AF34" i="13" s="1"/>
  <c r="AC35" i="13"/>
  <c r="AD35" i="13" s="1"/>
  <c r="AE35" i="13" s="1"/>
  <c r="AC36" i="13"/>
  <c r="AD36" i="13" s="1"/>
  <c r="AE36" i="13" s="1"/>
  <c r="AF36" i="13" s="1"/>
  <c r="AC37" i="13"/>
  <c r="AD37" i="13" s="1"/>
  <c r="AE37" i="13" s="1"/>
  <c r="AF37" i="13" s="1"/>
  <c r="AC38" i="13"/>
  <c r="AD38" i="13" s="1"/>
  <c r="AC39" i="13"/>
  <c r="AD39" i="13" s="1"/>
  <c r="AE39" i="13" s="1"/>
  <c r="AF39" i="13" s="1"/>
  <c r="AC40" i="13"/>
  <c r="AC41" i="13"/>
  <c r="AD41" i="13" s="1"/>
  <c r="AE41" i="13" s="1"/>
  <c r="AF41" i="13" s="1"/>
  <c r="AC42" i="13"/>
  <c r="AC43" i="13"/>
  <c r="AD43" i="13" s="1"/>
  <c r="AE43" i="13" s="1"/>
  <c r="AC44" i="13"/>
  <c r="AD44" i="13" s="1"/>
  <c r="AE44" i="13" s="1"/>
  <c r="AF44" i="13" s="1"/>
  <c r="AC45" i="13"/>
  <c r="AD45" i="13" s="1"/>
  <c r="AE45" i="13" s="1"/>
  <c r="AF45" i="13" s="1"/>
  <c r="AC46" i="13"/>
  <c r="AD46" i="13" s="1"/>
  <c r="AC47" i="13"/>
  <c r="AD47" i="13" s="1"/>
  <c r="AE47" i="13" s="1"/>
  <c r="AF47" i="13" s="1"/>
  <c r="AC48" i="13"/>
  <c r="AC49" i="13"/>
  <c r="AD49" i="13" s="1"/>
  <c r="AE49" i="13" s="1"/>
  <c r="AF49" i="13" s="1"/>
  <c r="AC50" i="13"/>
  <c r="AC51" i="13"/>
  <c r="AD51" i="13" s="1"/>
  <c r="AE51" i="13" s="1"/>
  <c r="AC52" i="13"/>
  <c r="AD52" i="13" s="1"/>
  <c r="AE52" i="13" s="1"/>
  <c r="AF52" i="13" s="1"/>
  <c r="AC53" i="13"/>
  <c r="AD53" i="13" s="1"/>
  <c r="AC54" i="13"/>
  <c r="AD54" i="13" s="1"/>
  <c r="AC55" i="13"/>
  <c r="AD55" i="13" s="1"/>
  <c r="AE55" i="13" s="1"/>
  <c r="AF55" i="13" s="1"/>
  <c r="AC4" i="13"/>
  <c r="J56" i="2" l="1"/>
  <c r="F65" i="2"/>
  <c r="F60" i="2"/>
  <c r="G65" i="2"/>
  <c r="G60" i="2"/>
  <c r="H60" i="2"/>
  <c r="E65" i="2"/>
  <c r="E60" i="2"/>
  <c r="X69" i="13"/>
  <c r="X67" i="13"/>
  <c r="W85" i="13"/>
  <c r="W76" i="13"/>
  <c r="X84" i="13"/>
  <c r="X81" i="13"/>
  <c r="X79" i="13"/>
  <c r="X77" i="13"/>
  <c r="X75" i="13"/>
  <c r="X73" i="13"/>
  <c r="Z84" i="13"/>
  <c r="Z81" i="13"/>
  <c r="Z79" i="13"/>
  <c r="Z77" i="13"/>
  <c r="Z75" i="13"/>
  <c r="Z73" i="13"/>
  <c r="W73" i="13"/>
  <c r="AA81" i="13"/>
  <c r="AC81" i="13" s="1"/>
  <c r="AD81" i="13" s="1"/>
  <c r="AE81" i="13" s="1"/>
  <c r="AF81" i="13" s="1"/>
  <c r="AA84" i="13"/>
  <c r="W83" i="13"/>
  <c r="W74" i="13"/>
  <c r="Z69" i="13"/>
  <c r="Z67" i="13"/>
  <c r="X85" i="13"/>
  <c r="X83" i="13"/>
  <c r="X80" i="13"/>
  <c r="X78" i="13"/>
  <c r="X76" i="13"/>
  <c r="X74" i="13"/>
  <c r="AA2" i="13"/>
  <c r="W69" i="13"/>
  <c r="W80" i="13"/>
  <c r="Z85" i="13"/>
  <c r="Z83" i="13"/>
  <c r="Z80" i="13"/>
  <c r="Z78" i="13"/>
  <c r="Z76" i="13"/>
  <c r="Z74" i="13"/>
  <c r="W79" i="13"/>
  <c r="Y85" i="13"/>
  <c r="Y83" i="13"/>
  <c r="Y80" i="13"/>
  <c r="Y78" i="13"/>
  <c r="Y76" i="13"/>
  <c r="Y74" i="13"/>
  <c r="W77" i="13"/>
  <c r="W78" i="13"/>
  <c r="AA85" i="13"/>
  <c r="AC85" i="13" s="1"/>
  <c r="AD85" i="13" s="1"/>
  <c r="AE85" i="13" s="1"/>
  <c r="AF85" i="13" s="1"/>
  <c r="AA83" i="13"/>
  <c r="AC83" i="13" s="1"/>
  <c r="AA80" i="13"/>
  <c r="AC80" i="13" s="1"/>
  <c r="AD80" i="13" s="1"/>
  <c r="AE80" i="13" s="1"/>
  <c r="AF80" i="13" s="1"/>
  <c r="AA78" i="13"/>
  <c r="AA76" i="13"/>
  <c r="AC76" i="13" s="1"/>
  <c r="AD76" i="13" s="1"/>
  <c r="AE76" i="13" s="1"/>
  <c r="AF76" i="13" s="1"/>
  <c r="AA74" i="13"/>
  <c r="AC74" i="13" s="1"/>
  <c r="AD74" i="13" s="1"/>
  <c r="AE74" i="13" s="1"/>
  <c r="AF74" i="13" s="1"/>
  <c r="X68" i="13"/>
  <c r="Y69" i="13"/>
  <c r="Y67" i="13"/>
  <c r="Z68" i="13"/>
  <c r="Y68" i="13"/>
  <c r="AA68" i="13"/>
  <c r="AC68" i="13" s="1"/>
  <c r="W68" i="13"/>
  <c r="AA69" i="13"/>
  <c r="AC69" i="13" s="1"/>
  <c r="AD69" i="13" s="1"/>
  <c r="AE69" i="13" s="1"/>
  <c r="AF69" i="13" s="1"/>
  <c r="AA67" i="13"/>
  <c r="AC67" i="13" s="1"/>
  <c r="W67" i="13"/>
  <c r="W2" i="13"/>
  <c r="Z2" i="13"/>
  <c r="Y2" i="13"/>
  <c r="X2" i="13"/>
  <c r="AI40" i="13"/>
  <c r="AP33" i="13"/>
  <c r="AJ32" i="13"/>
  <c r="AP48" i="13"/>
  <c r="AP47" i="13"/>
  <c r="AS39" i="13"/>
  <c r="AP30" i="13"/>
  <c r="AP22" i="13"/>
  <c r="AP84" i="13" s="1"/>
  <c r="AP14" i="13"/>
  <c r="AP6" i="13"/>
  <c r="AP38" i="13"/>
  <c r="AP29" i="13"/>
  <c r="AI21" i="13"/>
  <c r="AP13" i="13"/>
  <c r="AI5" i="13"/>
  <c r="AP55" i="13"/>
  <c r="AI45" i="13"/>
  <c r="AP37" i="13"/>
  <c r="AS28" i="13"/>
  <c r="AP20" i="13"/>
  <c r="AP79" i="13" s="1"/>
  <c r="AS12" i="13"/>
  <c r="AP53" i="13"/>
  <c r="AI44" i="13"/>
  <c r="AP35" i="13"/>
  <c r="AI27" i="13"/>
  <c r="AP19" i="13"/>
  <c r="AI11" i="13"/>
  <c r="AP52" i="13"/>
  <c r="AP43" i="13"/>
  <c r="AP34" i="13"/>
  <c r="AJ26" i="13"/>
  <c r="AP18" i="13"/>
  <c r="AI10" i="13"/>
  <c r="AI50" i="13"/>
  <c r="AP9" i="13"/>
  <c r="AP77" i="13" s="1"/>
  <c r="AJ8" i="13"/>
  <c r="AJ80" i="13" s="1"/>
  <c r="AP17" i="13"/>
  <c r="AP41" i="13"/>
  <c r="AP16" i="13"/>
  <c r="AP7" i="13"/>
  <c r="AP25" i="13"/>
  <c r="AP49" i="13"/>
  <c r="AI15" i="13"/>
  <c r="AI78" i="13" s="1"/>
  <c r="AI42" i="13"/>
  <c r="AP24" i="13"/>
  <c r="AP23" i="13"/>
  <c r="AS4" i="13"/>
  <c r="AS74" i="13" s="1"/>
  <c r="AI46" i="13"/>
  <c r="AI31" i="13"/>
  <c r="J42" i="13"/>
  <c r="J38" i="13"/>
  <c r="J19" i="13"/>
  <c r="J18" i="13"/>
  <c r="J34" i="13"/>
  <c r="J15" i="13"/>
  <c r="J78" i="13" s="1"/>
  <c r="J11" i="13"/>
  <c r="J31" i="13"/>
  <c r="J10" i="13"/>
  <c r="J23" i="13"/>
  <c r="J50" i="13"/>
  <c r="J27" i="13"/>
  <c r="J7" i="13"/>
  <c r="J46" i="13"/>
  <c r="J26" i="13"/>
  <c r="J4" i="13"/>
  <c r="J48" i="13"/>
  <c r="J40" i="13"/>
  <c r="J33" i="13"/>
  <c r="J25" i="13"/>
  <c r="J17" i="13"/>
  <c r="J9" i="13"/>
  <c r="J77" i="13" s="1"/>
  <c r="J49" i="13"/>
  <c r="J41" i="13"/>
  <c r="J55" i="13"/>
  <c r="J47" i="13"/>
  <c r="J39" i="13"/>
  <c r="J32" i="13"/>
  <c r="J24" i="13"/>
  <c r="J16" i="13"/>
  <c r="J8" i="13"/>
  <c r="J53" i="13"/>
  <c r="J45" i="13"/>
  <c r="J37" i="13"/>
  <c r="J30" i="13"/>
  <c r="J22" i="13"/>
  <c r="J84" i="13" s="1"/>
  <c r="J14" i="13"/>
  <c r="J6" i="13"/>
  <c r="J52" i="13"/>
  <c r="J44" i="13"/>
  <c r="J29" i="13"/>
  <c r="J21" i="13"/>
  <c r="J13" i="13"/>
  <c r="J5" i="13"/>
  <c r="J43" i="13"/>
  <c r="J35" i="13"/>
  <c r="J28" i="13"/>
  <c r="J20" i="13"/>
  <c r="J79" i="13" s="1"/>
  <c r="J12" i="13"/>
  <c r="AC79" i="13"/>
  <c r="AD79" i="13" s="1"/>
  <c r="AE79" i="13" s="1"/>
  <c r="AF79" i="13" s="1"/>
  <c r="Q70" i="13"/>
  <c r="R70" i="13"/>
  <c r="AC84" i="13"/>
  <c r="AD84" i="13" s="1"/>
  <c r="AE84" i="13" s="1"/>
  <c r="AF84" i="13" s="1"/>
  <c r="AC78" i="13"/>
  <c r="AD78" i="13" s="1"/>
  <c r="AE78" i="13" s="1"/>
  <c r="AF78" i="13" s="1"/>
  <c r="AC75" i="13"/>
  <c r="AD75" i="13" s="1"/>
  <c r="AE75" i="13" s="1"/>
  <c r="AF75" i="13" s="1"/>
  <c r="U70" i="13"/>
  <c r="T70" i="13"/>
  <c r="S70" i="13"/>
  <c r="O70" i="13"/>
  <c r="L86" i="13"/>
  <c r="L70" i="13"/>
  <c r="O86" i="13"/>
  <c r="AC77" i="13"/>
  <c r="K70" i="13"/>
  <c r="N86" i="13"/>
  <c r="M86" i="13"/>
  <c r="T86" i="13"/>
  <c r="T88" i="13" s="1"/>
  <c r="N70" i="13"/>
  <c r="S86" i="13"/>
  <c r="S88" i="13" s="1"/>
  <c r="M70" i="13"/>
  <c r="Q86" i="13"/>
  <c r="Q88" i="13" s="1"/>
  <c r="AC73" i="13"/>
  <c r="K86" i="13"/>
  <c r="R86" i="13"/>
  <c r="R88" i="13" s="1"/>
  <c r="U86" i="13"/>
  <c r="U88" i="13" s="1"/>
  <c r="AJ53" i="13"/>
  <c r="AJ35" i="13"/>
  <c r="AL53" i="13"/>
  <c r="AL35" i="13"/>
  <c r="AL20" i="13"/>
  <c r="AL79" i="13" s="1"/>
  <c r="AJ20" i="13"/>
  <c r="AJ79" i="13" s="1"/>
  <c r="AL39" i="13"/>
  <c r="AL55" i="13"/>
  <c r="AL45" i="13"/>
  <c r="AL37" i="13"/>
  <c r="AL30" i="13"/>
  <c r="AL14" i="13"/>
  <c r="AL47" i="13"/>
  <c r="AJ39" i="13"/>
  <c r="AJ55" i="13"/>
  <c r="AJ45" i="13"/>
  <c r="AJ37" i="13"/>
  <c r="AJ30" i="13"/>
  <c r="AJ14" i="13"/>
  <c r="AI4" i="13"/>
  <c r="AI74" i="13" s="1"/>
  <c r="AL43" i="13"/>
  <c r="AL28" i="13"/>
  <c r="AL12" i="13"/>
  <c r="AJ47" i="13"/>
  <c r="AK4" i="13"/>
  <c r="AK74" i="13" s="1"/>
  <c r="AJ43" i="13"/>
  <c r="AJ28" i="13"/>
  <c r="AJ12" i="13"/>
  <c r="AL49" i="13"/>
  <c r="AL41" i="13"/>
  <c r="AL22" i="13"/>
  <c r="AL84" i="13" s="1"/>
  <c r="AL6" i="13"/>
  <c r="AJ49" i="13"/>
  <c r="AJ41" i="13"/>
  <c r="AJ22" i="13"/>
  <c r="AJ84" i="13" s="1"/>
  <c r="AJ6" i="13"/>
  <c r="AL32" i="13"/>
  <c r="AL26" i="13"/>
  <c r="AL24" i="13"/>
  <c r="AL18" i="13"/>
  <c r="AL16" i="13"/>
  <c r="AL10" i="13"/>
  <c r="AL8" i="13"/>
  <c r="AL80" i="13" s="1"/>
  <c r="AP42" i="13"/>
  <c r="AL4" i="13"/>
  <c r="AL74" i="13" s="1"/>
  <c r="AK55" i="13"/>
  <c r="AK53" i="13"/>
  <c r="AK49" i="13"/>
  <c r="AK47" i="13"/>
  <c r="AK45" i="13"/>
  <c r="AK43" i="13"/>
  <c r="AK41" i="13"/>
  <c r="AK39" i="13"/>
  <c r="AK37" i="13"/>
  <c r="AK35" i="13"/>
  <c r="AK32" i="13"/>
  <c r="AK30" i="13"/>
  <c r="AK28" i="13"/>
  <c r="AK26" i="13"/>
  <c r="AK24" i="13"/>
  <c r="AK22" i="13"/>
  <c r="AK84" i="13" s="1"/>
  <c r="AK20" i="13"/>
  <c r="AK79" i="13" s="1"/>
  <c r="AK18" i="13"/>
  <c r="AK16" i="13"/>
  <c r="AK14" i="13"/>
  <c r="AK12" i="13"/>
  <c r="AK10" i="13"/>
  <c r="AK8" i="13"/>
  <c r="AK80" i="13" s="1"/>
  <c r="AK6" i="13"/>
  <c r="AJ10" i="13"/>
  <c r="AJ4" i="13"/>
  <c r="AJ74" i="13" s="1"/>
  <c r="AI55" i="13"/>
  <c r="AI53" i="13"/>
  <c r="AI49" i="13"/>
  <c r="AI47" i="13"/>
  <c r="AI43" i="13"/>
  <c r="AI41" i="13"/>
  <c r="AI39" i="13"/>
  <c r="AI37" i="13"/>
  <c r="AI35" i="13"/>
  <c r="AI32" i="13"/>
  <c r="AI30" i="13"/>
  <c r="AI28" i="13"/>
  <c r="AI26" i="13"/>
  <c r="AI24" i="13"/>
  <c r="AI22" i="13"/>
  <c r="AI84" i="13" s="1"/>
  <c r="AI20" i="13"/>
  <c r="AI79" i="13" s="1"/>
  <c r="AI18" i="13"/>
  <c r="AI16" i="13"/>
  <c r="AI14" i="13"/>
  <c r="AI12" i="13"/>
  <c r="AI8" i="13"/>
  <c r="AI80" i="13" s="1"/>
  <c r="AI6" i="13"/>
  <c r="AL52" i="13"/>
  <c r="AL50" i="13"/>
  <c r="AL48" i="13"/>
  <c r="AL46" i="13"/>
  <c r="AL44" i="13"/>
  <c r="AL42" i="13"/>
  <c r="AL40" i="13"/>
  <c r="AL38" i="13"/>
  <c r="AL34" i="13"/>
  <c r="AL33" i="13"/>
  <c r="AL31" i="13"/>
  <c r="AL29" i="13"/>
  <c r="AL27" i="13"/>
  <c r="AL25" i="13"/>
  <c r="AL23" i="13"/>
  <c r="AL21" i="13"/>
  <c r="AL19" i="13"/>
  <c r="AL17" i="13"/>
  <c r="AL15" i="13"/>
  <c r="AL78" i="13" s="1"/>
  <c r="AL13" i="13"/>
  <c r="AL11" i="13"/>
  <c r="AL9" i="13"/>
  <c r="AL77" i="13" s="1"/>
  <c r="AL7" i="13"/>
  <c r="AL5" i="13"/>
  <c r="AJ16" i="13"/>
  <c r="AK52" i="13"/>
  <c r="AK50" i="13"/>
  <c r="AK48" i="13"/>
  <c r="AK46" i="13"/>
  <c r="AK44" i="13"/>
  <c r="AK42" i="13"/>
  <c r="AK40" i="13"/>
  <c r="AK38" i="13"/>
  <c r="AK34" i="13"/>
  <c r="AK33" i="13"/>
  <c r="AK31" i="13"/>
  <c r="AK29" i="13"/>
  <c r="AK27" i="13"/>
  <c r="AK25" i="13"/>
  <c r="AK23" i="13"/>
  <c r="AK21" i="13"/>
  <c r="AK19" i="13"/>
  <c r="AK17" i="13"/>
  <c r="AK15" i="13"/>
  <c r="AK78" i="13" s="1"/>
  <c r="AK13" i="13"/>
  <c r="AK11" i="13"/>
  <c r="AK9" i="13"/>
  <c r="AK77" i="13" s="1"/>
  <c r="AK7" i="13"/>
  <c r="AK5" i="13"/>
  <c r="AJ24" i="13"/>
  <c r="AJ18" i="13"/>
  <c r="AJ52" i="13"/>
  <c r="AJ50" i="13"/>
  <c r="AJ48" i="13"/>
  <c r="AJ46" i="13"/>
  <c r="AJ44" i="13"/>
  <c r="AJ42" i="13"/>
  <c r="AJ40" i="13"/>
  <c r="AJ38" i="13"/>
  <c r="AJ34" i="13"/>
  <c r="AJ33" i="13"/>
  <c r="AJ31" i="13"/>
  <c r="AJ29" i="13"/>
  <c r="AJ27" i="13"/>
  <c r="AJ25" i="13"/>
  <c r="AJ23" i="13"/>
  <c r="AJ21" i="13"/>
  <c r="AJ19" i="13"/>
  <c r="AJ17" i="13"/>
  <c r="AJ15" i="13"/>
  <c r="AJ78" i="13" s="1"/>
  <c r="AJ13" i="13"/>
  <c r="AJ11" i="13"/>
  <c r="AJ9" i="13"/>
  <c r="AJ77" i="13" s="1"/>
  <c r="AJ7" i="13"/>
  <c r="AJ5" i="13"/>
  <c r="AI52" i="13"/>
  <c r="AI48" i="13"/>
  <c r="AI38" i="13"/>
  <c r="AI34" i="13"/>
  <c r="AI33" i="13"/>
  <c r="AI29" i="13"/>
  <c r="AI25" i="13"/>
  <c r="AI23" i="13"/>
  <c r="AI19" i="13"/>
  <c r="AI17" i="13"/>
  <c r="AI13" i="13"/>
  <c r="AI9" i="13"/>
  <c r="AI77" i="13" s="1"/>
  <c r="AI7" i="13"/>
  <c r="AS55" i="13"/>
  <c r="AS18" i="13"/>
  <c r="AS37" i="13"/>
  <c r="AS14" i="13"/>
  <c r="AS30" i="13"/>
  <c r="AS43" i="13"/>
  <c r="AE53" i="13"/>
  <c r="AF53" i="13" s="1"/>
  <c r="AE22" i="13"/>
  <c r="AF22" i="13" s="1"/>
  <c r="AD6" i="13"/>
  <c r="AE6" i="13" s="1"/>
  <c r="AF6" i="13" s="1"/>
  <c r="AD12" i="13"/>
  <c r="AE12" i="13" s="1"/>
  <c r="AF12" i="13" s="1"/>
  <c r="AQ32" i="13"/>
  <c r="AR32" i="13"/>
  <c r="AC2" i="13"/>
  <c r="AD4" i="13"/>
  <c r="AS24" i="13"/>
  <c r="AQ30" i="13"/>
  <c r="AR30" i="13"/>
  <c r="AQ55" i="13"/>
  <c r="AR55" i="13"/>
  <c r="AQ45" i="13"/>
  <c r="AR45" i="13"/>
  <c r="AQ37" i="13"/>
  <c r="AR37" i="13"/>
  <c r="AQ29" i="13"/>
  <c r="AR29" i="13"/>
  <c r="AS29" i="13"/>
  <c r="AQ21" i="13"/>
  <c r="AR21" i="13"/>
  <c r="AS21" i="13"/>
  <c r="AQ13" i="13"/>
  <c r="AR13" i="13"/>
  <c r="AS13" i="13"/>
  <c r="AQ5" i="13"/>
  <c r="AR5" i="13"/>
  <c r="AP4" i="13"/>
  <c r="AP74" i="13" s="1"/>
  <c r="AS41" i="13"/>
  <c r="AQ40" i="13"/>
  <c r="AR40" i="13"/>
  <c r="AS40" i="13"/>
  <c r="AQ8" i="13"/>
  <c r="AQ80" i="13" s="1"/>
  <c r="AR8" i="13"/>
  <c r="AR80" i="13" s="1"/>
  <c r="AQ47" i="13"/>
  <c r="AR47" i="13"/>
  <c r="AQ23" i="13"/>
  <c r="AR23" i="13"/>
  <c r="AS23" i="13"/>
  <c r="AQ46" i="13"/>
  <c r="AR46" i="13"/>
  <c r="AS46" i="13"/>
  <c r="AQ6" i="13"/>
  <c r="AR6" i="13"/>
  <c r="AS6" i="13"/>
  <c r="AQ53" i="13"/>
  <c r="AR53" i="13"/>
  <c r="AQ44" i="13"/>
  <c r="AR44" i="13"/>
  <c r="AS44" i="13"/>
  <c r="AQ35" i="13"/>
  <c r="AR35" i="13"/>
  <c r="AQ28" i="13"/>
  <c r="AR28" i="13"/>
  <c r="AQ20" i="13"/>
  <c r="AQ79" i="13" s="1"/>
  <c r="AR20" i="13"/>
  <c r="AR79" i="13" s="1"/>
  <c r="AQ12" i="13"/>
  <c r="AR12" i="13"/>
  <c r="AP46" i="13"/>
  <c r="AP28" i="13"/>
  <c r="AS22" i="13"/>
  <c r="AS84" i="13" s="1"/>
  <c r="AP12" i="13"/>
  <c r="AS5" i="13"/>
  <c r="AQ31" i="13"/>
  <c r="AR31" i="13"/>
  <c r="AS31" i="13"/>
  <c r="AR4" i="13"/>
  <c r="AR74" i="13" s="1"/>
  <c r="AQ4" i="13"/>
  <c r="AQ74" i="13" s="1"/>
  <c r="AQ14" i="13"/>
  <c r="AR14" i="13"/>
  <c r="AS47" i="13"/>
  <c r="AQ52" i="13"/>
  <c r="AR52" i="13"/>
  <c r="AS52" i="13"/>
  <c r="AQ43" i="13"/>
  <c r="AR43" i="13"/>
  <c r="AQ34" i="13"/>
  <c r="AR34" i="13"/>
  <c r="AS34" i="13"/>
  <c r="AQ27" i="13"/>
  <c r="AR27" i="13"/>
  <c r="AS27" i="13"/>
  <c r="AQ19" i="13"/>
  <c r="AR19" i="13"/>
  <c r="AS19" i="13"/>
  <c r="AQ11" i="13"/>
  <c r="AR11" i="13"/>
  <c r="AS11" i="13"/>
  <c r="AS45" i="13"/>
  <c r="AP40" i="13"/>
  <c r="AS32" i="13"/>
  <c r="AP27" i="13"/>
  <c r="AS16" i="13"/>
  <c r="AP11" i="13"/>
  <c r="AP5" i="13"/>
  <c r="AQ24" i="13"/>
  <c r="AR24" i="13"/>
  <c r="AQ15" i="13"/>
  <c r="AQ78" i="13" s="1"/>
  <c r="AR15" i="13"/>
  <c r="AR78" i="13" s="1"/>
  <c r="AS15" i="13"/>
  <c r="AS78" i="13" s="1"/>
  <c r="AQ22" i="13"/>
  <c r="AQ84" i="13" s="1"/>
  <c r="AR22" i="13"/>
  <c r="AR84" i="13" s="1"/>
  <c r="AP8" i="13"/>
  <c r="AQ50" i="13"/>
  <c r="AR50" i="13"/>
  <c r="AS50" i="13"/>
  <c r="AQ42" i="13"/>
  <c r="AR42" i="13"/>
  <c r="AS42" i="13"/>
  <c r="AQ26" i="13"/>
  <c r="AR26" i="13"/>
  <c r="AQ18" i="13"/>
  <c r="AR18" i="13"/>
  <c r="AQ10" i="13"/>
  <c r="AR10" i="13"/>
  <c r="AP50" i="13"/>
  <c r="AP45" i="13"/>
  <c r="AP32" i="13"/>
  <c r="AS26" i="13"/>
  <c r="AP21" i="13"/>
  <c r="AS10" i="13"/>
  <c r="AQ48" i="13"/>
  <c r="AR48" i="13"/>
  <c r="AS48" i="13"/>
  <c r="AQ16" i="13"/>
  <c r="AR16" i="13"/>
  <c r="AQ39" i="13"/>
  <c r="AR39" i="13"/>
  <c r="AD9" i="13"/>
  <c r="AE9" i="13" s="1"/>
  <c r="AF9" i="13" s="1"/>
  <c r="AS8" i="13"/>
  <c r="AS80" i="13" s="1"/>
  <c r="AQ38" i="13"/>
  <c r="AR38" i="13"/>
  <c r="AS38" i="13"/>
  <c r="AQ49" i="13"/>
  <c r="AR49" i="13"/>
  <c r="AQ41" i="13"/>
  <c r="AR41" i="13"/>
  <c r="AQ33" i="13"/>
  <c r="AR33" i="13"/>
  <c r="AS33" i="13"/>
  <c r="AQ25" i="13"/>
  <c r="AR25" i="13"/>
  <c r="AS25" i="13"/>
  <c r="AQ17" i="13"/>
  <c r="AR17" i="13"/>
  <c r="AS17" i="13"/>
  <c r="AQ9" i="13"/>
  <c r="AQ77" i="13" s="1"/>
  <c r="AR9" i="13"/>
  <c r="AR77" i="13" s="1"/>
  <c r="AS9" i="13"/>
  <c r="AD50" i="13"/>
  <c r="AE50" i="13" s="1"/>
  <c r="AF50" i="13" s="1"/>
  <c r="AD42" i="13"/>
  <c r="AE42" i="13" s="1"/>
  <c r="AF42" i="13" s="1"/>
  <c r="AG42" i="13" s="1"/>
  <c r="AG19" i="13"/>
  <c r="AD11" i="13"/>
  <c r="AE11" i="13" s="1"/>
  <c r="AF11" i="13" s="1"/>
  <c r="AS53" i="13"/>
  <c r="AS49" i="13"/>
  <c r="AP44" i="13"/>
  <c r="AP39" i="13"/>
  <c r="AS35" i="13"/>
  <c r="AP31" i="13"/>
  <c r="AP26" i="13"/>
  <c r="AS20" i="13"/>
  <c r="AS79" i="13" s="1"/>
  <c r="AP15" i="13"/>
  <c r="AP78" i="13" s="1"/>
  <c r="AP10" i="13"/>
  <c r="AT51" i="13"/>
  <c r="AT54" i="13"/>
  <c r="AT36" i="13"/>
  <c r="AS7" i="13"/>
  <c r="AR7" i="13"/>
  <c r="AQ7" i="13"/>
  <c r="AF20" i="13"/>
  <c r="AG20" i="13" s="1"/>
  <c r="AG34" i="13"/>
  <c r="AG37" i="13"/>
  <c r="AE23" i="13"/>
  <c r="AF23" i="13" s="1"/>
  <c r="AE7" i="13"/>
  <c r="AF7" i="13" s="1"/>
  <c r="AE38" i="13"/>
  <c r="AF38" i="13" s="1"/>
  <c r="AF43" i="13"/>
  <c r="AG43" i="13" s="1"/>
  <c r="AG14" i="13"/>
  <c r="AE46" i="13"/>
  <c r="AF46" i="13" s="1"/>
  <c r="AF28" i="13"/>
  <c r="AG28" i="13" s="1"/>
  <c r="AF51" i="13"/>
  <c r="AG51" i="13" s="1"/>
  <c r="AE31" i="13"/>
  <c r="AF31" i="13" s="1"/>
  <c r="AE54" i="13"/>
  <c r="AF54" i="13" s="1"/>
  <c r="AF35" i="13"/>
  <c r="AG35" i="13" s="1"/>
  <c r="AG27" i="13"/>
  <c r="AF5" i="13"/>
  <c r="AG5" i="13" s="1"/>
  <c r="AG45" i="13"/>
  <c r="AG30" i="13"/>
  <c r="AE15" i="13"/>
  <c r="AF15" i="13" s="1"/>
  <c r="AG49" i="13"/>
  <c r="AD48" i="13"/>
  <c r="AE48" i="13" s="1"/>
  <c r="AF48" i="13" s="1"/>
  <c r="AG41" i="13"/>
  <c r="AD40" i="13"/>
  <c r="AE40" i="13" s="1"/>
  <c r="AF40" i="13" s="1"/>
  <c r="AD33" i="13"/>
  <c r="AE33" i="13" s="1"/>
  <c r="AF33" i="13" s="1"/>
  <c r="AG26" i="13"/>
  <c r="AD25" i="13"/>
  <c r="AE25" i="13" s="1"/>
  <c r="AF25" i="13" s="1"/>
  <c r="AG18" i="13"/>
  <c r="AD17" i="13"/>
  <c r="AE17" i="13" s="1"/>
  <c r="AF17" i="13" s="1"/>
  <c r="AG10" i="13"/>
  <c r="AG52" i="13"/>
  <c r="AG44" i="13"/>
  <c r="AG36" i="13"/>
  <c r="AG29" i="13"/>
  <c r="AG21" i="13"/>
  <c r="AG13" i="13"/>
  <c r="AG55" i="13"/>
  <c r="AG47" i="13"/>
  <c r="AG39" i="13"/>
  <c r="AG32" i="13"/>
  <c r="AG24" i="13"/>
  <c r="AG16" i="13"/>
  <c r="AG8" i="13"/>
  <c r="J65" i="2" l="1"/>
  <c r="J60" i="2"/>
  <c r="AI82" i="13"/>
  <c r="AS82" i="13"/>
  <c r="AQ82" i="13"/>
  <c r="AL82" i="13"/>
  <c r="AK82" i="13"/>
  <c r="AJ82" i="13"/>
  <c r="J82" i="13"/>
  <c r="AR82" i="13"/>
  <c r="AP82" i="13"/>
  <c r="O88" i="13"/>
  <c r="AA86" i="13"/>
  <c r="L88" i="13"/>
  <c r="X86" i="13"/>
  <c r="X88" i="13" s="1"/>
  <c r="M88" i="13"/>
  <c r="Y86" i="13"/>
  <c r="Y88" i="13" s="1"/>
  <c r="W86" i="13"/>
  <c r="W88" i="13" s="1"/>
  <c r="N88" i="13"/>
  <c r="Z86" i="13"/>
  <c r="Z88" i="13" s="1"/>
  <c r="AP81" i="13"/>
  <c r="AP83" i="13"/>
  <c r="AI85" i="13"/>
  <c r="J81" i="13"/>
  <c r="AI81" i="13"/>
  <c r="J75" i="13"/>
  <c r="J83" i="13"/>
  <c r="AS81" i="13"/>
  <c r="AP73" i="13"/>
  <c r="AG79" i="13"/>
  <c r="X70" i="13"/>
  <c r="J68" i="13"/>
  <c r="J85" i="13"/>
  <c r="AP76" i="13"/>
  <c r="J86" i="13"/>
  <c r="J74" i="13"/>
  <c r="J69" i="13"/>
  <c r="AP75" i="13"/>
  <c r="AL75" i="13"/>
  <c r="Z70" i="13"/>
  <c r="J73" i="13"/>
  <c r="J67" i="13"/>
  <c r="J80" i="13"/>
  <c r="J76" i="13"/>
  <c r="AG12" i="13"/>
  <c r="AL76" i="13"/>
  <c r="AK81" i="13"/>
  <c r="AL85" i="13"/>
  <c r="W70" i="13"/>
  <c r="AG84" i="13"/>
  <c r="AG81" i="13"/>
  <c r="AD73" i="13"/>
  <c r="AE73" i="13" s="1"/>
  <c r="AF73" i="13" s="1"/>
  <c r="AC86" i="13"/>
  <c r="AD67" i="13"/>
  <c r="AC70" i="13"/>
  <c r="AD68" i="13"/>
  <c r="AE68" i="13" s="1"/>
  <c r="AF68" i="13" s="1"/>
  <c r="AD77" i="13"/>
  <c r="AE77" i="13" s="1"/>
  <c r="AF77" i="13" s="1"/>
  <c r="AG76" i="13"/>
  <c r="AG80" i="13"/>
  <c r="AA70" i="13"/>
  <c r="AD83" i="13"/>
  <c r="AE83" i="13" s="1"/>
  <c r="AF83" i="13" s="1"/>
  <c r="AG69" i="13"/>
  <c r="Y70" i="13"/>
  <c r="AP67" i="13"/>
  <c r="AP80" i="13"/>
  <c r="AS75" i="13"/>
  <c r="AQ83" i="13"/>
  <c r="AR81" i="13"/>
  <c r="AI75" i="13"/>
  <c r="AK85" i="13"/>
  <c r="AP85" i="13"/>
  <c r="AS76" i="13"/>
  <c r="AS85" i="13"/>
  <c r="AQ81" i="13"/>
  <c r="AK75" i="13"/>
  <c r="AI68" i="13"/>
  <c r="AI83" i="13"/>
  <c r="AL83" i="13"/>
  <c r="AL81" i="13"/>
  <c r="AK83" i="13"/>
  <c r="AI73" i="13"/>
  <c r="AQ73" i="13"/>
  <c r="AJ85" i="13"/>
  <c r="AJ83" i="13"/>
  <c r="AL73" i="13"/>
  <c r="AS69" i="13"/>
  <c r="AS77" i="13"/>
  <c r="AQ76" i="13"/>
  <c r="AR85" i="13"/>
  <c r="AJ67" i="13"/>
  <c r="AR73" i="13"/>
  <c r="AQ85" i="13"/>
  <c r="AI76" i="13"/>
  <c r="AJ76" i="13"/>
  <c r="AQ75" i="13"/>
  <c r="AS83" i="13"/>
  <c r="AJ75" i="13"/>
  <c r="AJ81" i="13"/>
  <c r="AK73" i="13"/>
  <c r="AJ73" i="13"/>
  <c r="AR75" i="13"/>
  <c r="AR83" i="13"/>
  <c r="AS73" i="13"/>
  <c r="AK76" i="13"/>
  <c r="AR76" i="13"/>
  <c r="AG74" i="13"/>
  <c r="AG75" i="13"/>
  <c r="AG85" i="13"/>
  <c r="AG78" i="13"/>
  <c r="AK67" i="13"/>
  <c r="AL69" i="13"/>
  <c r="AK68" i="13"/>
  <c r="AP68" i="13"/>
  <c r="AS68" i="13"/>
  <c r="AL68" i="13"/>
  <c r="AS67" i="13"/>
  <c r="AI67" i="13"/>
  <c r="AR69" i="13"/>
  <c r="AP69" i="13"/>
  <c r="AR68" i="13"/>
  <c r="AQ69" i="13"/>
  <c r="AQ68" i="13"/>
  <c r="AR67" i="13"/>
  <c r="AJ68" i="13"/>
  <c r="AL67" i="13"/>
  <c r="AI69" i="13"/>
  <c r="AQ67" i="13"/>
  <c r="AJ69" i="13"/>
  <c r="AK69" i="13"/>
  <c r="K88" i="13"/>
  <c r="AA88" i="13"/>
  <c r="AT13" i="13"/>
  <c r="AM52" i="13"/>
  <c r="AN52" i="13" s="1"/>
  <c r="AT23" i="13"/>
  <c r="AT26" i="13"/>
  <c r="AT49" i="13"/>
  <c r="AT35" i="13"/>
  <c r="AT43" i="13"/>
  <c r="AT29" i="13"/>
  <c r="AT17" i="13"/>
  <c r="AT16" i="13"/>
  <c r="AT24" i="13"/>
  <c r="AT47" i="13"/>
  <c r="AT37" i="13"/>
  <c r="AT28" i="13"/>
  <c r="AT25" i="13"/>
  <c r="AT48" i="13"/>
  <c r="AT42" i="13"/>
  <c r="AT19" i="13"/>
  <c r="AT12" i="13"/>
  <c r="AT18" i="13"/>
  <c r="AT50" i="13"/>
  <c r="AT27" i="13"/>
  <c r="AT15" i="13"/>
  <c r="AT78" i="13" s="1"/>
  <c r="AT53" i="13"/>
  <c r="AT32" i="13"/>
  <c r="AT8" i="13"/>
  <c r="AT80" i="13" s="1"/>
  <c r="AT44" i="13"/>
  <c r="AT34" i="13"/>
  <c r="AT20" i="13"/>
  <c r="AT79" i="13" s="1"/>
  <c r="AT6" i="13"/>
  <c r="AT38" i="13"/>
  <c r="AG46" i="13"/>
  <c r="AT39" i="13"/>
  <c r="AT11" i="13"/>
  <c r="AT40" i="13"/>
  <c r="AT45" i="13"/>
  <c r="AT9" i="13"/>
  <c r="AT77" i="13" s="1"/>
  <c r="AT31" i="13"/>
  <c r="AT41" i="13"/>
  <c r="AT21" i="13"/>
  <c r="AT46" i="13"/>
  <c r="AP2" i="13"/>
  <c r="AT55" i="13"/>
  <c r="AT30" i="13"/>
  <c r="AG7" i="13"/>
  <c r="AT22" i="13"/>
  <c r="AT84" i="13" s="1"/>
  <c r="AT52" i="13"/>
  <c r="AT14" i="13"/>
  <c r="AT10" i="13"/>
  <c r="AT33" i="13"/>
  <c r="AG25" i="13"/>
  <c r="AG6" i="13"/>
  <c r="AG11" i="13"/>
  <c r="AT4" i="13"/>
  <c r="AT74" i="13" s="1"/>
  <c r="AR2" i="13"/>
  <c r="AD2" i="13"/>
  <c r="AE4" i="13"/>
  <c r="AS2" i="13"/>
  <c r="AG22" i="13"/>
  <c r="AG48" i="13"/>
  <c r="AG50" i="13"/>
  <c r="AG9" i="13"/>
  <c r="AT5" i="13"/>
  <c r="AG53" i="13"/>
  <c r="AT7" i="13"/>
  <c r="AQ2" i="13"/>
  <c r="AG23" i="13"/>
  <c r="AG15" i="13"/>
  <c r="AG40" i="13"/>
  <c r="AG17" i="13"/>
  <c r="AG33" i="13"/>
  <c r="AG38" i="13"/>
  <c r="AG54" i="13"/>
  <c r="AG31" i="13"/>
  <c r="AT82" i="13" l="1"/>
  <c r="AT83" i="13"/>
  <c r="AG73" i="13"/>
  <c r="AT75" i="13"/>
  <c r="AT81" i="13"/>
  <c r="AP70" i="13"/>
  <c r="AQ70" i="13"/>
  <c r="AG68" i="13"/>
  <c r="AJ86" i="13"/>
  <c r="AP86" i="13"/>
  <c r="AP88" i="13" s="1"/>
  <c r="AG83" i="13"/>
  <c r="AE67" i="13"/>
  <c r="AD70" i="13"/>
  <c r="AL86" i="13"/>
  <c r="AC88" i="13"/>
  <c r="AD86" i="13"/>
  <c r="AS86" i="13"/>
  <c r="AS88" i="13" s="1"/>
  <c r="AG77" i="13"/>
  <c r="AR70" i="13"/>
  <c r="AQ86" i="13"/>
  <c r="AQ88" i="13" s="1"/>
  <c r="AT73" i="13"/>
  <c r="AI86" i="13"/>
  <c r="AK86" i="13"/>
  <c r="AT76" i="13"/>
  <c r="AS70" i="13"/>
  <c r="AR86" i="13"/>
  <c r="AR88" i="13" s="1"/>
  <c r="AT85" i="13"/>
  <c r="AT67" i="13"/>
  <c r="AT69" i="13"/>
  <c r="AT68" i="13"/>
  <c r="AU52" i="13"/>
  <c r="AT2" i="13"/>
  <c r="AE2" i="13"/>
  <c r="AF4" i="13"/>
  <c r="AF2" i="13" s="1"/>
  <c r="AE86" i="13" l="1"/>
  <c r="AD88" i="13"/>
  <c r="AT86" i="13"/>
  <c r="AT88" i="13" s="1"/>
  <c r="AF67" i="13"/>
  <c r="AF70" i="13" s="1"/>
  <c r="AE70" i="13"/>
  <c r="AT70" i="13"/>
  <c r="AG4" i="13"/>
  <c r="AG2" i="13" s="1"/>
  <c r="AG67" i="13" l="1"/>
  <c r="AG70" i="13" s="1"/>
  <c r="AF86" i="13"/>
  <c r="AF88" i="13" s="1"/>
  <c r="AE88" i="13"/>
  <c r="AG86" i="13" l="1"/>
  <c r="AG88" i="13" s="1"/>
  <c r="E44" i="8" l="1"/>
  <c r="O60" i="2" l="1"/>
  <c r="O65" i="2" s="1"/>
  <c r="P4" i="2"/>
  <c r="P56" i="2" s="1"/>
  <c r="M60" i="2" l="1"/>
  <c r="M65" i="2" s="1"/>
  <c r="L60" i="2"/>
  <c r="L65" i="2" l="1"/>
  <c r="N60" i="2"/>
  <c r="N65" i="2" s="1"/>
  <c r="P60" i="2" l="1"/>
  <c r="P65" i="2" s="1"/>
  <c r="AM55" i="13"/>
  <c r="AN55" i="13" s="1"/>
  <c r="AM47" i="13"/>
  <c r="AN47" i="13" s="1"/>
  <c r="AM32" i="13"/>
  <c r="AN32" i="13" s="1"/>
  <c r="AM16" i="13"/>
  <c r="AK2" i="13"/>
  <c r="AM45" i="13"/>
  <c r="AN45" i="13" s="1"/>
  <c r="AM30" i="13"/>
  <c r="AN30" i="13" s="1"/>
  <c r="AM14" i="13"/>
  <c r="AN14" i="13" s="1"/>
  <c r="AL2" i="13"/>
  <c r="AJ2" i="13"/>
  <c r="AM41" i="13"/>
  <c r="AN41" i="13" s="1"/>
  <c r="AM26" i="13"/>
  <c r="AN26" i="13" s="1"/>
  <c r="AM10" i="13"/>
  <c r="AN10" i="13" s="1"/>
  <c r="AM39" i="13"/>
  <c r="AN39" i="13" s="1"/>
  <c r="AM24" i="13"/>
  <c r="AN24" i="13" s="1"/>
  <c r="AM8" i="13"/>
  <c r="AM4" i="13"/>
  <c r="AM74" i="13" s="1"/>
  <c r="AI2" i="13"/>
  <c r="AM53" i="13"/>
  <c r="AN53" i="13" s="1"/>
  <c r="AM37" i="13"/>
  <c r="AN37" i="13" s="1"/>
  <c r="AM22" i="13"/>
  <c r="AM6" i="13"/>
  <c r="AN6" i="13" s="1"/>
  <c r="AM51" i="13"/>
  <c r="AN51" i="13" s="1"/>
  <c r="AM35" i="13"/>
  <c r="AN35" i="13" s="1"/>
  <c r="AM20" i="13"/>
  <c r="AM49" i="13"/>
  <c r="AN49" i="13" s="1"/>
  <c r="AM18" i="13"/>
  <c r="AN18" i="13" s="1"/>
  <c r="AM50" i="13"/>
  <c r="AN50" i="13" s="1"/>
  <c r="AM34" i="13"/>
  <c r="AN34" i="13" s="1"/>
  <c r="AM19" i="13"/>
  <c r="AN19" i="13" s="1"/>
  <c r="AM48" i="13"/>
  <c r="AN48" i="13" s="1"/>
  <c r="AM33" i="13"/>
  <c r="AN33" i="13" s="1"/>
  <c r="AM17" i="13"/>
  <c r="AN17" i="13" s="1"/>
  <c r="AM46" i="13"/>
  <c r="AN46" i="13" s="1"/>
  <c r="AM31" i="13"/>
  <c r="AN31" i="13" s="1"/>
  <c r="AM15" i="13"/>
  <c r="AM43" i="13"/>
  <c r="AN43" i="13" s="1"/>
  <c r="AM28" i="13"/>
  <c r="AN28" i="13" s="1"/>
  <c r="AM12" i="13"/>
  <c r="AN12" i="13" s="1"/>
  <c r="AM44" i="13"/>
  <c r="AN44" i="13" s="1"/>
  <c r="AM29" i="13"/>
  <c r="AN29" i="13" s="1"/>
  <c r="AM13" i="13"/>
  <c r="AN13" i="13" s="1"/>
  <c r="AM42" i="13"/>
  <c r="AN42" i="13" s="1"/>
  <c r="AM27" i="13"/>
  <c r="AN27" i="13" s="1"/>
  <c r="AM11" i="13"/>
  <c r="AN11" i="13" s="1"/>
  <c r="AM40" i="13"/>
  <c r="AN40" i="13" s="1"/>
  <c r="AM25" i="13"/>
  <c r="AN25" i="13" s="1"/>
  <c r="AM9" i="13"/>
  <c r="AM38" i="13"/>
  <c r="AN38" i="13" s="1"/>
  <c r="AM23" i="13"/>
  <c r="AN23" i="13" s="1"/>
  <c r="AM7" i="13"/>
  <c r="AN7" i="13" s="1"/>
  <c r="AM54" i="13"/>
  <c r="AN54" i="13" s="1"/>
  <c r="AM36" i="13"/>
  <c r="AN36" i="13" s="1"/>
  <c r="AM21" i="13"/>
  <c r="AN21" i="13" s="1"/>
  <c r="AM5" i="13"/>
  <c r="AN5" i="13" s="1"/>
  <c r="AN16" i="13" l="1"/>
  <c r="AM82" i="13"/>
  <c r="AM77" i="13"/>
  <c r="AN77" i="13" s="1"/>
  <c r="AN9" i="13"/>
  <c r="AM78" i="13"/>
  <c r="AN78" i="13" s="1"/>
  <c r="AN15" i="13"/>
  <c r="AM79" i="13"/>
  <c r="AN79" i="13" s="1"/>
  <c r="AN20" i="13"/>
  <c r="AM84" i="13"/>
  <c r="AN84" i="13" s="1"/>
  <c r="AN22" i="13"/>
  <c r="AM80" i="13"/>
  <c r="AU80" i="13" s="1"/>
  <c r="AN8" i="13"/>
  <c r="AM85" i="13"/>
  <c r="AN85" i="13" s="1"/>
  <c r="AM81" i="13"/>
  <c r="AN81" i="13" s="1"/>
  <c r="AI88" i="13"/>
  <c r="AI70" i="13"/>
  <c r="AU74" i="13"/>
  <c r="AN74" i="13"/>
  <c r="AM73" i="13"/>
  <c r="AM76" i="13"/>
  <c r="AM75" i="13"/>
  <c r="AM83" i="13"/>
  <c r="AL88" i="13"/>
  <c r="AL70" i="13"/>
  <c r="AK88" i="13"/>
  <c r="AK70" i="13"/>
  <c r="AJ88" i="13"/>
  <c r="AJ70" i="13"/>
  <c r="AM69" i="13"/>
  <c r="AM67" i="13"/>
  <c r="AM68" i="13"/>
  <c r="AU55" i="13"/>
  <c r="AU54" i="13"/>
  <c r="AU29" i="13"/>
  <c r="AU10" i="13"/>
  <c r="AU47" i="13"/>
  <c r="AU40" i="13"/>
  <c r="AU44" i="13"/>
  <c r="AU15" i="13"/>
  <c r="AU48" i="13"/>
  <c r="AU20" i="13"/>
  <c r="AU53" i="13"/>
  <c r="AU26" i="13"/>
  <c r="AU25" i="13"/>
  <c r="AU37" i="13"/>
  <c r="AU31" i="13"/>
  <c r="AU35" i="13"/>
  <c r="AU41" i="13"/>
  <c r="AU7" i="13"/>
  <c r="AU46" i="13"/>
  <c r="AU51" i="13"/>
  <c r="AU45" i="13"/>
  <c r="AU23" i="13"/>
  <c r="AU11" i="13"/>
  <c r="AU12" i="13"/>
  <c r="AU19" i="13"/>
  <c r="AU18" i="13"/>
  <c r="AU33" i="13"/>
  <c r="AU5" i="13"/>
  <c r="AU38" i="13"/>
  <c r="AU27" i="13"/>
  <c r="AU28" i="13"/>
  <c r="AU34" i="13"/>
  <c r="AU8" i="13"/>
  <c r="AU21" i="13"/>
  <c r="AU42" i="13"/>
  <c r="AU43" i="13"/>
  <c r="AU50" i="13"/>
  <c r="AU49" i="13"/>
  <c r="AU6" i="13"/>
  <c r="AU24" i="13"/>
  <c r="AU14" i="13"/>
  <c r="AU16" i="13"/>
  <c r="AU36" i="13"/>
  <c r="AU9" i="13"/>
  <c r="AU13" i="13"/>
  <c r="AU17" i="13"/>
  <c r="AU22" i="13"/>
  <c r="AN4" i="13"/>
  <c r="AM2" i="13"/>
  <c r="AU4" i="13"/>
  <c r="AU39" i="13"/>
  <c r="AU30" i="13"/>
  <c r="AU32" i="13"/>
  <c r="AU78" i="13" l="1"/>
  <c r="AU79" i="13"/>
  <c r="AU82" i="13"/>
  <c r="AN82" i="13"/>
  <c r="AU77" i="13"/>
  <c r="AN80" i="13"/>
  <c r="AU84" i="13"/>
  <c r="AU81" i="13"/>
  <c r="AU85" i="13"/>
  <c r="AU83" i="13"/>
  <c r="AN83" i="13"/>
  <c r="AU75" i="13"/>
  <c r="AN75" i="13"/>
  <c r="AN76" i="13"/>
  <c r="AU76" i="13"/>
  <c r="AM86" i="13"/>
  <c r="AN86" i="13" s="1"/>
  <c r="AU73" i="13"/>
  <c r="AN73" i="13"/>
  <c r="AU2" i="13"/>
  <c r="AM70" i="13"/>
  <c r="AN68" i="13"/>
  <c r="AU68" i="13"/>
  <c r="AN67" i="13"/>
  <c r="AU67" i="13"/>
  <c r="AN69" i="13"/>
  <c r="AU69" i="13"/>
  <c r="AN2" i="13"/>
  <c r="AM88" i="13" l="1"/>
  <c r="AU70" i="13"/>
  <c r="AU86" i="13"/>
  <c r="AU88" i="13" s="1"/>
  <c r="AN88" i="13"/>
  <c r="AN70" i="13"/>
  <c r="Q31" i="18" l="1"/>
  <c r="Q40" i="18"/>
  <c r="Q33" i="18" l="1"/>
  <c r="R33" i="18" s="1"/>
  <c r="S33" i="18" s="1"/>
  <c r="T33" i="18" s="1"/>
  <c r="R40" i="18"/>
  <c r="S40" i="18" s="1"/>
  <c r="T40" i="18" s="1"/>
  <c r="R31" i="18"/>
  <c r="S31" i="18" s="1"/>
  <c r="T31" i="18" s="1"/>
  <c r="U40" i="18" l="1"/>
  <c r="U33" i="18"/>
  <c r="AP33" i="18" s="1"/>
  <c r="U31" i="18"/>
  <c r="AP31" i="18" s="1"/>
  <c r="Q2" i="18"/>
  <c r="AB40" i="18" l="1"/>
  <c r="AP40" i="18"/>
  <c r="AB33" i="18"/>
  <c r="R2" i="18"/>
  <c r="AB31" i="18"/>
  <c r="S2" i="18" l="1"/>
  <c r="T2" i="18" l="1"/>
  <c r="U2" i="18" l="1"/>
  <c r="AP2" i="18" l="1"/>
  <c r="AB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tc={4C95A4A5-6EB3-417C-9278-E94C9CFCEB17}</author>
  </authors>
  <commentList>
    <comment ref="AM3" authorId="0" shapeId="0" xr:uid="{4C95A4A5-6EB3-417C-9278-E94C9CFCEB1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HRMS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830B6-7F44-426C-9E4E-F91852914610}" keepAlive="1" name="Query - Append1 (5)" description="Connection to the 'Append1 (5)' query in the workbook." type="5" refreshedVersion="8" background="1" saveData="1">
    <dbPr connection="Provider=Microsoft.Mashup.OleDb.1;Data Source=$Workbook$;Location=&quot;Append1 (5)&quot;;Extended Properties=&quot;&quot;" command="SELECT * FROM [Append1 (5)]"/>
  </connection>
  <connection id="2" xr16:uid="{7929EA3D-BEFA-446F-8766-89972C587042}" keepAlive="1" name="Query - Append1 (6)" description="Connection to the 'Append1 (6)' query in the workbook." type="5" refreshedVersion="8" background="1" saveData="1">
    <dbPr connection="Provider=Microsoft.Mashup.OleDb.1;Data Source=$Workbook$;Location=&quot;Append1 (6)&quot;;Extended Properties=&quot;&quot;" command="SELECT * FROM [Append1 (6)]"/>
  </connection>
  <connection id="3" xr16:uid="{547CD4DB-B172-410E-AA56-26EEB0C82D8B}" keepAlive="1" name="Query - Master Sheet" description="Connection to the 'Master Sheet' query in the workbook." type="5" refreshedVersion="0" background="1">
    <dbPr connection="Provider=Microsoft.Mashup.OleDb.1;Data Source=$Workbook$;Location=&quot;Master Sheet&quot;;Extended Properties=&quot;&quot;" command="SELECT * FROM [Master Sheet]"/>
  </connection>
  <connection id="4" xr16:uid="{5406735A-3627-4410-91D0-BA89480676F2}" keepAlive="1" name="Query - Master Sheet (2)" description="Connection to the 'Master Sheet (2)' query in the workbook." type="5" refreshedVersion="0" background="1">
    <dbPr connection="Provider=Microsoft.Mashup.OleDb.1;Data Source=$Workbook$;Location=&quot;Master Sheet (2)&quot;;Extended Properties=&quot;&quot;" command="SELECT * FROM [Master Sheet (2)]"/>
  </connection>
  <connection id="5" xr16:uid="{FA1F0DBD-056C-4867-82E0-77D125D26DC5}" keepAlive="1" name="Query - Master Sheet (4)" description="Connection to the 'Master Sheet (4)' query in the workbook." type="5" refreshedVersion="0" background="1">
    <dbPr connection="Provider=Microsoft.Mashup.OleDb.1;Data Source=$Workbook$;Location=&quot;Master Sheet (4)&quot;;Extended Properties=&quot;&quot;" command="SELECT * FROM [Master Sheet (4)]"/>
  </connection>
  <connection id="6" xr16:uid="{7E9E49C6-05C4-4EB9-88E6-28522050D510}" keepAlive="1" name="Query - Master Sheet (5)" description="Connection to the 'Master Sheet (5)' query in the workbook." type="5" refreshedVersion="0" background="1">
    <dbPr connection="Provider=Microsoft.Mashup.OleDb.1;Data Source=$Workbook$;Location=&quot;Master Sheet (5)&quot;;Extended Properties=&quot;&quot;" command="SELECT * FROM [Master Sheet (5)]"/>
  </connection>
</connections>
</file>

<file path=xl/sharedStrings.xml><?xml version="1.0" encoding="utf-8"?>
<sst xmlns="http://schemas.openxmlformats.org/spreadsheetml/2006/main" count="2411" uniqueCount="489">
  <si>
    <t>Variance</t>
  </si>
  <si>
    <t>Open Position</t>
  </si>
  <si>
    <t>FY26</t>
  </si>
  <si>
    <t>Lateral Revenue</t>
  </si>
  <si>
    <t>Lateral HC</t>
  </si>
  <si>
    <t>Lateral Productivity</t>
  </si>
  <si>
    <t>Ideal HC as per Productivity</t>
  </si>
  <si>
    <t>Current HC as per HRMS</t>
  </si>
  <si>
    <t>Open Positions</t>
  </si>
  <si>
    <t>Project Code</t>
  </si>
  <si>
    <t>Project</t>
  </si>
  <si>
    <t>Project as per EDB</t>
  </si>
  <si>
    <t>Industry</t>
  </si>
  <si>
    <t>Signup Date</t>
  </si>
  <si>
    <t>Expiry Date</t>
  </si>
  <si>
    <t>FH</t>
  </si>
  <si>
    <t>PH</t>
  </si>
  <si>
    <t>Region</t>
  </si>
  <si>
    <t>RPH/CPH</t>
  </si>
  <si>
    <t>Q3</t>
  </si>
  <si>
    <t>Q2</t>
  </si>
  <si>
    <t>WL1</t>
  </si>
  <si>
    <t>WL2</t>
  </si>
  <si>
    <t>WL3</t>
  </si>
  <si>
    <t>WL4</t>
  </si>
  <si>
    <t>Total HC</t>
  </si>
  <si>
    <t>Overall HC</t>
  </si>
  <si>
    <t>Open Positions - WL1</t>
  </si>
  <si>
    <t>Open Positions - WL2</t>
  </si>
  <si>
    <t>Open Positions - WL3</t>
  </si>
  <si>
    <t>Open Positions - WL4</t>
  </si>
  <si>
    <t>Total Open Positions</t>
  </si>
  <si>
    <t>HC Variance After Hiring</t>
  </si>
  <si>
    <t>CNO0000033</t>
  </si>
  <si>
    <t>Honeywell</t>
  </si>
  <si>
    <t>Engineering</t>
  </si>
  <si>
    <t>Sulabh Arora</t>
  </si>
  <si>
    <t>Bapi Reddy Medapati</t>
  </si>
  <si>
    <t>South</t>
  </si>
  <si>
    <t>CNO0000127</t>
  </si>
  <si>
    <t>Pfizer</t>
  </si>
  <si>
    <t>Pharma</t>
  </si>
  <si>
    <t>Anjli Zutshi</t>
  </si>
  <si>
    <t>Usha Babu Shetty</t>
  </si>
  <si>
    <t>West</t>
  </si>
  <si>
    <t>CNO0000097</t>
  </si>
  <si>
    <t>TML</t>
  </si>
  <si>
    <t>Tata Motors</t>
  </si>
  <si>
    <t>Auto</t>
  </si>
  <si>
    <t>Shweta Shalini</t>
  </si>
  <si>
    <t>CNO0000096</t>
  </si>
  <si>
    <t>Tata Power</t>
  </si>
  <si>
    <t>Manufacturing</t>
  </si>
  <si>
    <t>Elton Francis Isaac</t>
  </si>
  <si>
    <t>CNO0000067</t>
  </si>
  <si>
    <t>SKF</t>
  </si>
  <si>
    <t>SKF India</t>
  </si>
  <si>
    <t>Natasha Mehta</t>
  </si>
  <si>
    <t>North</t>
  </si>
  <si>
    <t>CNO0000065</t>
  </si>
  <si>
    <t>Siemens</t>
  </si>
  <si>
    <t>Siemens Healthineers</t>
  </si>
  <si>
    <t>CNO0000014</t>
  </si>
  <si>
    <t>Robert Bosch</t>
  </si>
  <si>
    <t>Bosch</t>
  </si>
  <si>
    <t>CNO0000093</t>
  </si>
  <si>
    <t>Pidilite</t>
  </si>
  <si>
    <t>CNO0000106</t>
  </si>
  <si>
    <t>Vertiv</t>
  </si>
  <si>
    <t>Energy</t>
  </si>
  <si>
    <t>CNO0000020</t>
  </si>
  <si>
    <t>Birla Paints</t>
  </si>
  <si>
    <t>Geetu Lalwani</t>
  </si>
  <si>
    <t>CNO0000041</t>
  </si>
  <si>
    <t>Ingram Micro</t>
  </si>
  <si>
    <t>IT</t>
  </si>
  <si>
    <t>CNO0000028</t>
  </si>
  <si>
    <t>HP</t>
  </si>
  <si>
    <t>HPE</t>
  </si>
  <si>
    <t>-</t>
  </si>
  <si>
    <t>Mahak Kaura Mata</t>
  </si>
  <si>
    <t>CNO0000077</t>
  </si>
  <si>
    <t>Isuzu</t>
  </si>
  <si>
    <t>CNO0000071</t>
  </si>
  <si>
    <t>ThyssenKrupp</t>
  </si>
  <si>
    <t>Thyssenkrupp</t>
  </si>
  <si>
    <t>CNO0000046</t>
  </si>
  <si>
    <t>Mahindra Holiday &amp; Resort</t>
  </si>
  <si>
    <t>Mahindra Holidays</t>
  </si>
  <si>
    <t>Hospitality</t>
  </si>
  <si>
    <t>CNO0000011</t>
  </si>
  <si>
    <t>BITS</t>
  </si>
  <si>
    <t>Education</t>
  </si>
  <si>
    <t>Krishna Kumar Pillai</t>
  </si>
  <si>
    <t>CNO0000089</t>
  </si>
  <si>
    <t>M&amp;M</t>
  </si>
  <si>
    <t>Megha Joshi</t>
  </si>
  <si>
    <t>CNO0000126</t>
  </si>
  <si>
    <t>P&amp;G</t>
  </si>
  <si>
    <t>FMCG</t>
  </si>
  <si>
    <t>CNO0000079</t>
  </si>
  <si>
    <t>Wipro</t>
  </si>
  <si>
    <t>Subramanyapavan</t>
  </si>
  <si>
    <t>CNO0000103</t>
  </si>
  <si>
    <t>Marcopolo</t>
  </si>
  <si>
    <t>Tata Marcopolo</t>
  </si>
  <si>
    <t>CNO0000088</t>
  </si>
  <si>
    <t>WTW</t>
  </si>
  <si>
    <t>Consulting</t>
  </si>
  <si>
    <t>CNO0000019</t>
  </si>
  <si>
    <t>Fedex</t>
  </si>
  <si>
    <t>Logistics</t>
  </si>
  <si>
    <t>CNO0000032</t>
  </si>
  <si>
    <t>DP World</t>
  </si>
  <si>
    <t>CNO0000006</t>
  </si>
  <si>
    <t>Ametek</t>
  </si>
  <si>
    <t>CNO0000008</t>
  </si>
  <si>
    <t>AMNS</t>
  </si>
  <si>
    <t>Alifiya Mohsin Hirani</t>
  </si>
  <si>
    <t>CNO0000072</t>
  </si>
  <si>
    <t>Titan</t>
  </si>
  <si>
    <t>Retail</t>
  </si>
  <si>
    <t>CNO0000078</t>
  </si>
  <si>
    <t>Ultratech</t>
  </si>
  <si>
    <t>CNO0000069</t>
  </si>
  <si>
    <t>Tata Electronics</t>
  </si>
  <si>
    <t>CNO0000119</t>
  </si>
  <si>
    <t>Tata Teleservices</t>
  </si>
  <si>
    <t>CNO0000104</t>
  </si>
  <si>
    <t>Jindal Stainless</t>
  </si>
  <si>
    <t>Naved Falak</t>
  </si>
  <si>
    <t>CNO0000090</t>
  </si>
  <si>
    <t>Nomiso</t>
  </si>
  <si>
    <t>Infra</t>
  </si>
  <si>
    <t>CNO0000107</t>
  </si>
  <si>
    <t>Schaeffler</t>
  </si>
  <si>
    <t>CNO0000109</t>
  </si>
  <si>
    <t>Royal Enfield</t>
  </si>
  <si>
    <t>CNO0000122</t>
  </si>
  <si>
    <t>SBI</t>
  </si>
  <si>
    <t>SBI Cards</t>
  </si>
  <si>
    <t>Financial</t>
  </si>
  <si>
    <t>CNO0000100</t>
  </si>
  <si>
    <t>Hyundai</t>
  </si>
  <si>
    <t>Hyundai Motor</t>
  </si>
  <si>
    <t>CNO0000125</t>
  </si>
  <si>
    <t>DRL</t>
  </si>
  <si>
    <t>Dr Reddy</t>
  </si>
  <si>
    <t>CNO0000099</t>
  </si>
  <si>
    <t>Maruti</t>
  </si>
  <si>
    <t>Maruti Suzuki(MSIL)</t>
  </si>
  <si>
    <t>CNO0000131</t>
  </si>
  <si>
    <t>Viteos</t>
  </si>
  <si>
    <t>Intertrust (Viteos)</t>
  </si>
  <si>
    <t>CNO0000102</t>
  </si>
  <si>
    <t>Excelacom</t>
  </si>
  <si>
    <t>CNO0000123</t>
  </si>
  <si>
    <t>Tata Consumer</t>
  </si>
  <si>
    <t>CNO0000129</t>
  </si>
  <si>
    <t>Tata Play</t>
  </si>
  <si>
    <t>Tech</t>
  </si>
  <si>
    <t>CNO0000132</t>
  </si>
  <si>
    <t>Mahindra Finance</t>
  </si>
  <si>
    <t xml:space="preserve">Financial </t>
  </si>
  <si>
    <t>CNO0000135</t>
  </si>
  <si>
    <t>IBM</t>
  </si>
  <si>
    <t/>
  </si>
  <si>
    <t>L&amp;T (New)</t>
  </si>
  <si>
    <t>L&amp;T-Energy</t>
  </si>
  <si>
    <t>Suzuki</t>
  </si>
  <si>
    <t>Suzuki R&amp;D</t>
  </si>
  <si>
    <t>CNO0000146</t>
  </si>
  <si>
    <t>Subros</t>
  </si>
  <si>
    <t>Subros Ltd</t>
  </si>
  <si>
    <t>CNO0000144</t>
  </si>
  <si>
    <t>Atomberg</t>
  </si>
  <si>
    <t>Atomberg Technologies</t>
  </si>
  <si>
    <t>CNO0000162</t>
  </si>
  <si>
    <t>Bridgestone</t>
  </si>
  <si>
    <t>CNO0000147</t>
  </si>
  <si>
    <t>Ambuja</t>
  </si>
  <si>
    <t>Ambuja Cement</t>
  </si>
  <si>
    <t>CNO0000148</t>
  </si>
  <si>
    <t>Ashok Leyland</t>
  </si>
  <si>
    <t>ASHOK LEYLAND LIMITED</t>
  </si>
  <si>
    <t>CNO0000163</t>
  </si>
  <si>
    <t>Sterling Tool</t>
  </si>
  <si>
    <t>Sterling Tools</t>
  </si>
  <si>
    <t>CNO0000170</t>
  </si>
  <si>
    <t>M2P</t>
  </si>
  <si>
    <t>M2P Fintech</t>
  </si>
  <si>
    <t>Common_1</t>
  </si>
  <si>
    <t>Common</t>
  </si>
  <si>
    <t>Allocable</t>
  </si>
  <si>
    <t>Pernod Ricard</t>
  </si>
  <si>
    <t>ABB</t>
  </si>
  <si>
    <t>Nagarjuna</t>
  </si>
  <si>
    <t>Leap</t>
  </si>
  <si>
    <t>Unicharm</t>
  </si>
  <si>
    <t>Triveni</t>
  </si>
  <si>
    <t>Region Wise</t>
  </si>
  <si>
    <t>Anjli</t>
  </si>
  <si>
    <t>Sulabh &amp; Mahak</t>
  </si>
  <si>
    <t>Variance check</t>
  </si>
  <si>
    <t>PH Wise</t>
  </si>
  <si>
    <t>Bapi</t>
  </si>
  <si>
    <t>Elton</t>
  </si>
  <si>
    <t>Krishna</t>
  </si>
  <si>
    <t>Kunal</t>
  </si>
  <si>
    <t>Mahak</t>
  </si>
  <si>
    <t>Megha</t>
  </si>
  <si>
    <t>Natasha</t>
  </si>
  <si>
    <t>Naved</t>
  </si>
  <si>
    <t>Satya</t>
  </si>
  <si>
    <t>Shweta</t>
  </si>
  <si>
    <t>Subu</t>
  </si>
  <si>
    <t>Usha</t>
  </si>
  <si>
    <t>Total</t>
  </si>
  <si>
    <t>Variance Check</t>
  </si>
  <si>
    <t>L&amp;T</t>
  </si>
  <si>
    <t>Leadership Hiring</t>
  </si>
  <si>
    <t>Anshuman Srivastava</t>
  </si>
  <si>
    <t>Parul Jain</t>
  </si>
  <si>
    <t>Optum</t>
  </si>
  <si>
    <t>Manish Gupta</t>
  </si>
  <si>
    <t>Ashish Kapur</t>
  </si>
  <si>
    <t>Platform</t>
  </si>
  <si>
    <t>Digitization</t>
  </si>
  <si>
    <t>Headcount as on 21st  Oct as per HRMS</t>
  </si>
  <si>
    <t>P&amp;L Project Name</t>
  </si>
  <si>
    <t>Projects</t>
  </si>
  <si>
    <t>WL5</t>
  </si>
  <si>
    <t>Grand Total</t>
  </si>
  <si>
    <t>Enfield</t>
  </si>
  <si>
    <t>Sterling</t>
  </si>
  <si>
    <t>Leap India</t>
  </si>
  <si>
    <t>Lateral Ops + Platform</t>
  </si>
  <si>
    <t>Project (EDB)</t>
  </si>
  <si>
    <t>Practice Head</t>
  </si>
  <si>
    <t>CPH</t>
  </si>
  <si>
    <t>Chennai</t>
  </si>
  <si>
    <t>Ashish</t>
  </si>
  <si>
    <t>FOS &amp; IT</t>
  </si>
  <si>
    <t>Pune</t>
  </si>
  <si>
    <t>Ashok</t>
  </si>
  <si>
    <t>krishna</t>
  </si>
  <si>
    <t xml:space="preserve">Brigdestone </t>
  </si>
  <si>
    <t>Q1</t>
  </si>
  <si>
    <t>Q4</t>
  </si>
  <si>
    <t>YTD'26</t>
  </si>
  <si>
    <t>YTD</t>
  </si>
  <si>
    <t>Sulabh</t>
  </si>
  <si>
    <t>NA</t>
  </si>
  <si>
    <t>FY24-25 Productivity</t>
  </si>
  <si>
    <t>Replacement Exited</t>
  </si>
  <si>
    <t>Existing Resignation</t>
  </si>
  <si>
    <t>Replacement</t>
  </si>
  <si>
    <t>New</t>
  </si>
  <si>
    <t>Headcount Projection (Ops including Optum)</t>
  </si>
  <si>
    <t>Target</t>
  </si>
  <si>
    <t>Category</t>
  </si>
  <si>
    <t>A</t>
  </si>
  <si>
    <t>Total No. of Resignations (as on date)</t>
  </si>
  <si>
    <t>Total No. of Exits (till date)</t>
  </si>
  <si>
    <t>No. of People from resignations who will leave within this month</t>
  </si>
  <si>
    <t>B</t>
  </si>
  <si>
    <t>Total Open Positions as on date(Approved/Unapproved)</t>
  </si>
  <si>
    <t>YTJ as on date</t>
  </si>
  <si>
    <t>Already Joined in the month</t>
  </si>
  <si>
    <t>C</t>
  </si>
  <si>
    <t>No. of PIP Initiated (Not Resigned)</t>
  </si>
  <si>
    <t>No. of people exited/to be exited from PIP cases (not part of resignation) in the month</t>
  </si>
  <si>
    <t>People in Talent Pool (Not Resigned)</t>
  </si>
  <si>
    <t>No. of exit from Talent Pool in the month</t>
  </si>
  <si>
    <t>Closing HC</t>
  </si>
  <si>
    <t>Cost in the Quarter</t>
  </si>
  <si>
    <t>Requisition ID</t>
  </si>
  <si>
    <t>Requisition Status</t>
  </si>
  <si>
    <t>TA SPOC</t>
  </si>
  <si>
    <t>Work Level</t>
  </si>
  <si>
    <t>Grade</t>
  </si>
  <si>
    <t>Location</t>
  </si>
  <si>
    <t>Client</t>
  </si>
  <si>
    <t>Designation</t>
  </si>
  <si>
    <t>Status</t>
  </si>
  <si>
    <t>Date of joining</t>
  </si>
  <si>
    <t>Whether the replacement person is existing in the system?</t>
  </si>
  <si>
    <t>Approved</t>
  </si>
  <si>
    <t>Sashi Bhushan</t>
  </si>
  <si>
    <t>Riya Singh</t>
  </si>
  <si>
    <t>G6</t>
  </si>
  <si>
    <t>Manager - RPO</t>
  </si>
  <si>
    <t>YTJ</t>
  </si>
  <si>
    <t>Active</t>
  </si>
  <si>
    <t>G3</t>
  </si>
  <si>
    <t>Mumbai</t>
  </si>
  <si>
    <t>Senior Recruitment Associate</t>
  </si>
  <si>
    <t>Open</t>
  </si>
  <si>
    <t>Not Created</t>
  </si>
  <si>
    <t>tgd/pm/1382538</t>
  </si>
  <si>
    <t>Kaviyasuru</t>
  </si>
  <si>
    <t>Bhawna Keshri</t>
  </si>
  <si>
    <t>Exited</t>
  </si>
  <si>
    <t>G4</t>
  </si>
  <si>
    <t>Recruitment Specialist</t>
  </si>
  <si>
    <t>TBO</t>
  </si>
  <si>
    <t>Manisha Tokas</t>
  </si>
  <si>
    <t>Arzoo Verma</t>
  </si>
  <si>
    <t>Ahmedabad</t>
  </si>
  <si>
    <t>G2</t>
  </si>
  <si>
    <t>Recruitment Associate</t>
  </si>
  <si>
    <t>Gurgaon</t>
  </si>
  <si>
    <t>G9</t>
  </si>
  <si>
    <t>Regional Head (RPO)</t>
  </si>
  <si>
    <t>Not Approved</t>
  </si>
  <si>
    <t>AVP - Exec Search</t>
  </si>
  <si>
    <t>AVP - Executive Search</t>
  </si>
  <si>
    <t>G8</t>
  </si>
  <si>
    <t>Manager RPO</t>
  </si>
  <si>
    <t>TGD/SRA-R/1322477</t>
  </si>
  <si>
    <t>Aleem Kaleemuddin Shahzaad</t>
  </si>
  <si>
    <t>Bikash Ranjan Paikaray</t>
  </si>
  <si>
    <t>Hazira</t>
  </si>
  <si>
    <t>Samuel Michael Fernandez</t>
  </si>
  <si>
    <t>Middle East</t>
  </si>
  <si>
    <t>Number of New Hires</t>
  </si>
  <si>
    <t>Overall Numbers</t>
  </si>
  <si>
    <t>Ideal HC as per productivity </t>
  </si>
  <si>
    <t>Net Variance (after excluding resignations)</t>
  </si>
  <si>
    <t>Summary Excluding Optum</t>
  </si>
  <si>
    <t>TCG Group</t>
  </si>
  <si>
    <t>Ops(Laterl + Leadership) including ME Headcount(1)</t>
  </si>
  <si>
    <t>Req Type</t>
  </si>
  <si>
    <t>Candidate Name</t>
  </si>
  <si>
    <t>tgd/arm/1540331</t>
  </si>
  <si>
    <t>tgd/m/1541058</t>
  </si>
  <si>
    <t>Number of Replacement positions including resignation</t>
  </si>
  <si>
    <t>Number of resignation</t>
  </si>
  <si>
    <t>Neosoft</t>
  </si>
  <si>
    <t>tgd/sra-r/1557166</t>
  </si>
  <si>
    <t>Alifiya Hirani</t>
  </si>
  <si>
    <t>NeoSoft</t>
  </si>
  <si>
    <t>Taggd Exclusive</t>
  </si>
  <si>
    <t>Saint Gobain</t>
  </si>
  <si>
    <t>Date of offer</t>
  </si>
  <si>
    <t>tgd/-/1557180</t>
  </si>
  <si>
    <t>tgd/ra-a/1576333</t>
  </si>
  <si>
    <t>Productivity (H1)</t>
  </si>
  <si>
    <t>tgd/ra/1566759</t>
  </si>
  <si>
    <t>Priyanka Roy</t>
  </si>
  <si>
    <t>HC on the opening on the month</t>
  </si>
  <si>
    <t>HR Guru</t>
  </si>
  <si>
    <t>Variannce</t>
  </si>
  <si>
    <t>Metglass</t>
  </si>
  <si>
    <t>CG Power</t>
  </si>
  <si>
    <t>Manager</t>
  </si>
  <si>
    <t>TGD/A-W/1610192</t>
  </si>
  <si>
    <t>AVP - RPO</t>
  </si>
  <si>
    <t>TGD/SM/1618240</t>
  </si>
  <si>
    <t>SDL</t>
  </si>
  <si>
    <t>Sunita K Velayudhan</t>
  </si>
  <si>
    <t>Ankit Dave</t>
  </si>
  <si>
    <t>Suvarna Samir Rane</t>
  </si>
  <si>
    <t>Nasik</t>
  </si>
  <si>
    <t>TGD/RA/1570167</t>
  </si>
  <si>
    <t>Tirtha Mandar Karandekar</t>
  </si>
  <si>
    <t>TGD/SRA/1434962</t>
  </si>
  <si>
    <t>tgd/srs/1572636</t>
  </si>
  <si>
    <t>Nidhi Chaudhary</t>
  </si>
  <si>
    <t>TGD/SRA/1612543</t>
  </si>
  <si>
    <t>Yatri Sanjay Supadia</t>
  </si>
  <si>
    <t>tgd/sra/1621026</t>
  </si>
  <si>
    <t>HR Guru + Lyftr</t>
  </si>
  <si>
    <t>HC for HR Guru + Lyftr</t>
  </si>
  <si>
    <t>Customer Name</t>
  </si>
  <si>
    <t>Internal (HR)</t>
  </si>
  <si>
    <t>LEAP India Private Limited</t>
  </si>
  <si>
    <t>Lyftr</t>
  </si>
  <si>
    <t>Index</t>
  </si>
  <si>
    <t>Sudha Pandey</t>
  </si>
  <si>
    <t>tgd/pm/1621978</t>
  </si>
  <si>
    <t>ARCHANA TRIKHA</t>
  </si>
  <si>
    <t>tgd/pm/1621987</t>
  </si>
  <si>
    <t>tgd/sra/1574469</t>
  </si>
  <si>
    <t>Shalini Singh</t>
  </si>
  <si>
    <t>tgd/ra/1621301</t>
  </si>
  <si>
    <t>Anjali Swamy</t>
  </si>
  <si>
    <t>Bhopal</t>
  </si>
  <si>
    <t>tgd/ra/1621309</t>
  </si>
  <si>
    <t>tgd/sra/1621907</t>
  </si>
  <si>
    <t>tgd/sra/1621919</t>
  </si>
  <si>
    <t>tgd/sra/1621933</t>
  </si>
  <si>
    <t>Ahmednagar</t>
  </si>
  <si>
    <t>tgd/sra/1621937</t>
  </si>
  <si>
    <t>tgd/sra/1621943</t>
  </si>
  <si>
    <t>tgd/sra/1621953</t>
  </si>
  <si>
    <t>tgd/sra/1621955</t>
  </si>
  <si>
    <t>tgd/sra/1621962</t>
  </si>
  <si>
    <t>tgd/sra/1621966</t>
  </si>
  <si>
    <t>tgd/sra-o/1621970</t>
  </si>
  <si>
    <t>tgd/rsr/1622717</t>
  </si>
  <si>
    <t>tgd/rsr/1622718</t>
  </si>
  <si>
    <t>tgd/rsr/1622721</t>
  </si>
  <si>
    <t>tgd/rsr/1622722</t>
  </si>
  <si>
    <t>tgd/rsr/1622723</t>
  </si>
  <si>
    <t>tgd/rsr/1622724</t>
  </si>
  <si>
    <t>tgd/rsr/1622725</t>
  </si>
  <si>
    <t>Replacement Name</t>
  </si>
  <si>
    <t>Replacement Code</t>
  </si>
  <si>
    <t>Hiring Manager</t>
  </si>
  <si>
    <t>Existing Headcount (including HR Guru &amp; Lyftr resources - 35)</t>
  </si>
  <si>
    <t>Vertical (client)</t>
  </si>
  <si>
    <t>Ashish Bhatt</t>
  </si>
  <si>
    <t>Leadership</t>
  </si>
  <si>
    <t>Anup</t>
  </si>
  <si>
    <t>TGD/AMH/1608919</t>
  </si>
  <si>
    <t>G5</t>
  </si>
  <si>
    <t>Assistant Manager</t>
  </si>
  <si>
    <t>Chaitanya</t>
  </si>
  <si>
    <t>TGD/MT/1608895</t>
  </si>
  <si>
    <t>Service Delivery Lead</t>
  </si>
  <si>
    <t>tgd/m-r/1672529 </t>
  </si>
  <si>
    <t>Wl2</t>
  </si>
  <si>
    <t>Sourabh</t>
  </si>
  <si>
    <t>Non IT</t>
  </si>
  <si>
    <t>nidhi</t>
  </si>
  <si>
    <t>NON IT</t>
  </si>
  <si>
    <t>tgd/lr-a/1621223</t>
  </si>
  <si>
    <t>TGD/SRA/1618538</t>
  </si>
  <si>
    <t>Harshith P</t>
  </si>
  <si>
    <t>Ayushi sharma</t>
  </si>
  <si>
    <t>Sonali Pradip Aher</t>
  </si>
  <si>
    <t>KM Madhu</t>
  </si>
  <si>
    <t>Tanuja</t>
  </si>
  <si>
    <t>Meenakshi Shrivastava</t>
  </si>
  <si>
    <t>Juhi Jitendra Patil</t>
  </si>
  <si>
    <t>Ankit Srivastava</t>
  </si>
  <si>
    <t>Purvisha Ramesh Gohil</t>
  </si>
  <si>
    <t>Komal Gupta</t>
  </si>
  <si>
    <t>tgd/ra/1624405</t>
  </si>
  <si>
    <t>TGD/SRA/1620143</t>
  </si>
  <si>
    <t>Met Glass</t>
  </si>
  <si>
    <t>TGD/R/1673472</t>
  </si>
  <si>
    <t>Priyanka Hanuman Tupere</t>
  </si>
  <si>
    <t>Kruti Patel</t>
  </si>
  <si>
    <t>Rishika Waje</t>
  </si>
  <si>
    <t>Requisition Create Date</t>
  </si>
  <si>
    <t>Requisition Approved Date</t>
  </si>
  <si>
    <t>Dhriti</t>
  </si>
  <si>
    <t>Revenue</t>
  </si>
  <si>
    <t>Productivity</t>
  </si>
  <si>
    <t>Variance from last update</t>
  </si>
  <si>
    <t>Target HC</t>
  </si>
  <si>
    <t xml:space="preserve">Actual HC </t>
  </si>
  <si>
    <t>Additonal Vendor Support</t>
  </si>
  <si>
    <t>+</t>
  </si>
  <si>
    <t>Existing Resignaton</t>
  </si>
  <si>
    <t>RH</t>
  </si>
  <si>
    <t>in lacs</t>
  </si>
  <si>
    <t>Ideal Headcount</t>
  </si>
  <si>
    <t>Revenue/Prodcutivity</t>
  </si>
  <si>
    <t>Count</t>
  </si>
  <si>
    <t>Current Headcount</t>
  </si>
  <si>
    <t>##</t>
  </si>
  <si>
    <t>Metrics</t>
  </si>
  <si>
    <t>Value</t>
  </si>
  <si>
    <t>Formula</t>
  </si>
  <si>
    <t>Remarks</t>
  </si>
  <si>
    <t>Actual emp in the system</t>
  </si>
  <si>
    <t>Additional Headcount</t>
  </si>
  <si>
    <t>Vendor Headcount (HR Guru, Lyftr etc)</t>
  </si>
  <si>
    <t>Currently serving notice period</t>
  </si>
  <si>
    <t>Final Variance</t>
  </si>
  <si>
    <t>Ideal Headcount -(Current Headcount + Open Position + Additional Headcount Vendor - Existing Resignation)</t>
  </si>
  <si>
    <t>Recruiter/Sourcer/Onboarding Spoc</t>
  </si>
  <si>
    <t>Manager ( Assistant Manager/Manager/Senior Manager)</t>
  </si>
  <si>
    <t>Leader (Vice President/ Senior Vice President)</t>
  </si>
  <si>
    <t>Practice Head (Service Delivery Leader/ Associate Vice President)</t>
  </si>
  <si>
    <t>Work Level / Band</t>
  </si>
  <si>
    <t>Description</t>
  </si>
  <si>
    <t>Input data</t>
  </si>
  <si>
    <t>Revenue/Productivity</t>
  </si>
  <si>
    <t>WL1 Headcount / 8</t>
  </si>
  <si>
    <t>WL3 Headcount / 8</t>
  </si>
  <si>
    <t>WL2 Headcount / 8</t>
  </si>
  <si>
    <t>Finance or Ops Tracker</t>
  </si>
  <si>
    <t>HR - Recruitment Tracker</t>
  </si>
  <si>
    <t>Ops Team share Client wise</t>
  </si>
  <si>
    <t>From HRMS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</si>
</sst>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\-"/>
    <numFmt numFmtId="166" formatCode="[$-409]mmm/yy;@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 tint="0.1499984740745262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rgb="FF0C64C0"/>
      <name val="Aptos"/>
      <family val="2"/>
    </font>
    <font>
      <sz val="12"/>
      <color rgb="FF212121"/>
      <name val="Aptos"/>
      <family val="2"/>
    </font>
    <font>
      <sz val="12"/>
      <color rgb="FFED5C57"/>
      <name val="Aptos"/>
      <family val="2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E6F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indexed="64"/>
      </bottom>
      <diagonal/>
    </border>
    <border>
      <left style="medium">
        <color theme="3"/>
      </left>
      <right style="thin">
        <color theme="2" tint="-0.249977111117893"/>
      </right>
      <top style="medium">
        <color theme="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/>
      </right>
      <top style="medium">
        <color theme="3"/>
      </top>
      <bottom style="thin">
        <color theme="2" tint="-0.249977111117893"/>
      </bottom>
      <diagonal/>
    </border>
    <border>
      <left style="medium">
        <color theme="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/>
      </left>
      <right style="thin">
        <color theme="2" tint="-0.249977111117893"/>
      </right>
      <top style="thin">
        <color theme="2" tint="-0.249977111117893"/>
      </top>
      <bottom style="medium">
        <color theme="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3"/>
      </bottom>
      <diagonal/>
    </border>
    <border>
      <left style="thin">
        <color theme="2" tint="-0.249977111117893"/>
      </left>
      <right style="medium">
        <color theme="3"/>
      </right>
      <top style="thin">
        <color theme="2" tint="-0.24997711111789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thin">
        <color theme="2" tint="-0.249977111117893"/>
      </bottom>
      <diagonal/>
    </border>
    <border>
      <left style="medium">
        <color theme="3"/>
      </left>
      <right style="medium">
        <color theme="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/>
      </left>
      <right style="medium">
        <color theme="3"/>
      </right>
      <top style="thin">
        <color theme="2" tint="-0.249977111117893"/>
      </top>
      <bottom style="medium">
        <color theme="3"/>
      </bottom>
      <diagonal/>
    </border>
    <border>
      <left style="thin">
        <color theme="2" tint="-0.249977111117893"/>
      </left>
      <right/>
      <top style="medium">
        <color theme="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medium">
        <color theme="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/>
      <bottom style="thin">
        <color theme="2" tint="-0.24997711111789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3"/>
      </right>
      <top style="medium">
        <color theme="3"/>
      </top>
      <bottom style="thin">
        <color theme="2" tint="-0.249977111117893"/>
      </bottom>
      <diagonal/>
    </border>
    <border>
      <left/>
      <right style="medium">
        <color theme="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/>
    <xf numFmtId="0" fontId="0" fillId="7" borderId="0" xfId="0" applyFill="1"/>
    <xf numFmtId="0" fontId="8" fillId="0" borderId="0" xfId="0" applyFont="1"/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2" xfId="0" applyFont="1" applyFill="1" applyBorder="1" applyAlignment="1">
      <alignment horizontal="center" vertical="center"/>
    </xf>
    <xf numFmtId="165" fontId="0" fillId="0" borderId="0" xfId="0" applyNumberForma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1" fillId="0" borderId="0" xfId="0" applyNumberFormat="1" applyFont="1"/>
    <xf numFmtId="164" fontId="9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164" fontId="0" fillId="6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10" fillId="2" borderId="14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1" fontId="10" fillId="0" borderId="15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/>
    <xf numFmtId="1" fontId="3" fillId="10" borderId="8" xfId="0" applyNumberFormat="1" applyFont="1" applyFill="1" applyBorder="1" applyAlignment="1">
      <alignment horizontal="center"/>
    </xf>
    <xf numFmtId="1" fontId="3" fillId="10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 wrapText="1"/>
    </xf>
    <xf numFmtId="0" fontId="14" fillId="0" borderId="4" xfId="0" applyFont="1" applyBorder="1"/>
    <xf numFmtId="0" fontId="14" fillId="0" borderId="0" xfId="0" applyFont="1"/>
    <xf numFmtId="0" fontId="14" fillId="0" borderId="13" xfId="0" applyFont="1" applyBorder="1"/>
    <xf numFmtId="0" fontId="1" fillId="6" borderId="8" xfId="0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10" xfId="0" applyFill="1" applyBorder="1"/>
    <xf numFmtId="0" fontId="1" fillId="11" borderId="2" xfId="0" applyFont="1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/>
    </xf>
    <xf numFmtId="0" fontId="0" fillId="11" borderId="2" xfId="0" applyFill="1" applyBorder="1"/>
    <xf numFmtId="0" fontId="0" fillId="11" borderId="11" xfId="0" applyFill="1" applyBorder="1"/>
    <xf numFmtId="0" fontId="1" fillId="12" borderId="2" xfId="0" applyFont="1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/>
    </xf>
    <xf numFmtId="0" fontId="0" fillId="12" borderId="2" xfId="0" applyFill="1" applyBorder="1"/>
    <xf numFmtId="0" fontId="0" fillId="12" borderId="11" xfId="0" applyFill="1" applyBorder="1"/>
    <xf numFmtId="1" fontId="0" fillId="8" borderId="2" xfId="0" applyNumberFormat="1" applyFill="1" applyBorder="1" applyAlignment="1">
      <alignment horizontal="center"/>
    </xf>
    <xf numFmtId="0" fontId="0" fillId="8" borderId="2" xfId="0" applyFill="1" applyBorder="1"/>
    <xf numFmtId="0" fontId="0" fillId="8" borderId="11" xfId="0" applyFill="1" applyBorder="1"/>
    <xf numFmtId="164" fontId="0" fillId="11" borderId="2" xfId="0" applyNumberForma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164" fontId="0" fillId="12" borderId="2" xfId="0" applyNumberFormat="1" applyFill="1" applyBorder="1" applyAlignment="1">
      <alignment horizontal="center"/>
    </xf>
    <xf numFmtId="164" fontId="1" fillId="6" borderId="8" xfId="0" applyNumberFormat="1" applyFont="1" applyFill="1" applyBorder="1" applyAlignment="1">
      <alignment horizontal="center" vertical="center"/>
    </xf>
    <xf numFmtId="164" fontId="1" fillId="11" borderId="2" xfId="0" applyNumberFormat="1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64" fontId="1" fillId="12" borderId="2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3" fillId="5" borderId="21" xfId="0" applyFont="1" applyFill="1" applyBorder="1" applyAlignment="1">
      <alignment vertical="center" wrapText="1"/>
    </xf>
    <xf numFmtId="0" fontId="7" fillId="3" borderId="21" xfId="0" applyFont="1" applyFill="1" applyBorder="1" applyAlignment="1">
      <alignment vertical="center"/>
    </xf>
    <xf numFmtId="0" fontId="7" fillId="3" borderId="21" xfId="0" applyFont="1" applyFill="1" applyBorder="1"/>
    <xf numFmtId="0" fontId="0" fillId="0" borderId="21" xfId="0" applyBorder="1"/>
    <xf numFmtId="0" fontId="0" fillId="0" borderId="21" xfId="0" applyBorder="1" applyAlignment="1">
      <alignment vertical="center"/>
    </xf>
    <xf numFmtId="0" fontId="7" fillId="0" borderId="21" xfId="0" applyFont="1" applyBorder="1"/>
    <xf numFmtId="0" fontId="1" fillId="4" borderId="9" xfId="0" applyFont="1" applyFill="1" applyBorder="1" applyAlignment="1">
      <alignment horizontal="center" vertical="center"/>
    </xf>
    <xf numFmtId="1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/>
    <xf numFmtId="0" fontId="1" fillId="4" borderId="12" xfId="0" applyFont="1" applyFill="1" applyBorder="1"/>
    <xf numFmtId="1" fontId="1" fillId="4" borderId="9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5" borderId="22" xfId="0" applyFont="1" applyFill="1" applyBorder="1" applyAlignment="1">
      <alignment vertical="center" wrapText="1"/>
    </xf>
    <xf numFmtId="1" fontId="0" fillId="0" borderId="8" xfId="0" applyNumberFormat="1" applyBorder="1"/>
    <xf numFmtId="15" fontId="0" fillId="0" borderId="2" xfId="0" applyNumberFormat="1" applyBorder="1" applyAlignment="1">
      <alignment horizontal="center"/>
    </xf>
    <xf numFmtId="0" fontId="1" fillId="13" borderId="0" xfId="0" applyFont="1" applyFill="1"/>
    <xf numFmtId="0" fontId="0" fillId="13" borderId="0" xfId="0" applyFill="1"/>
    <xf numFmtId="0" fontId="12" fillId="13" borderId="0" xfId="0" applyFont="1" applyFill="1" applyAlignment="1">
      <alignment vertical="center"/>
    </xf>
    <xf numFmtId="0" fontId="12" fillId="13" borderId="18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" xfId="0" applyBorder="1"/>
    <xf numFmtId="0" fontId="4" fillId="13" borderId="1" xfId="0" applyFont="1" applyFill="1" applyBorder="1"/>
    <xf numFmtId="0" fontId="4" fillId="13" borderId="1" xfId="0" applyFont="1" applyFill="1" applyBorder="1" applyAlignment="1">
      <alignment horizontal="center"/>
    </xf>
    <xf numFmtId="1" fontId="1" fillId="6" borderId="8" xfId="0" applyNumberFormat="1" applyFont="1" applyFill="1" applyBorder="1" applyAlignment="1">
      <alignment horizontal="center" vertical="center"/>
    </xf>
    <xf numFmtId="0" fontId="12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8" borderId="2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15" borderId="0" xfId="0" applyFont="1" applyFill="1" applyAlignment="1">
      <alignment horizontal="left"/>
    </xf>
    <xf numFmtId="0" fontId="1" fillId="16" borderId="0" xfId="0" applyFont="1" applyFill="1" applyAlignment="1">
      <alignment horizontal="left"/>
    </xf>
    <xf numFmtId="0" fontId="0" fillId="0" borderId="0" xfId="0" applyAlignment="1">
      <alignment wrapText="1"/>
    </xf>
    <xf numFmtId="0" fontId="13" fillId="15" borderId="5" xfId="0" applyFont="1" applyFill="1" applyBorder="1" applyAlignment="1">
      <alignment horizontal="center" vertical="center" wrapText="1"/>
    </xf>
    <xf numFmtId="164" fontId="1" fillId="15" borderId="8" xfId="0" applyNumberFormat="1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 wrapText="1"/>
    </xf>
    <xf numFmtId="164" fontId="0" fillId="15" borderId="8" xfId="0" applyNumberFormat="1" applyFill="1" applyBorder="1" applyAlignment="1">
      <alignment horizontal="center"/>
    </xf>
    <xf numFmtId="0" fontId="13" fillId="15" borderId="25" xfId="0" applyFont="1" applyFill="1" applyBorder="1" applyAlignment="1">
      <alignment horizontal="center" vertical="center" wrapText="1"/>
    </xf>
    <xf numFmtId="1" fontId="1" fillId="15" borderId="9" xfId="0" applyNumberFormat="1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 wrapText="1"/>
    </xf>
    <xf numFmtId="1" fontId="1" fillId="15" borderId="26" xfId="0" applyNumberFormat="1" applyFont="1" applyFill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4" fillId="15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5" fontId="0" fillId="0" borderId="2" xfId="0" applyNumberFormat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  <xf numFmtId="164" fontId="0" fillId="15" borderId="8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" fillId="15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17" borderId="0" xfId="0" applyFont="1" applyFill="1" applyAlignment="1">
      <alignment horizontal="left" vertical="center" wrapText="1"/>
    </xf>
    <xf numFmtId="0" fontId="20" fillId="17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1" fontId="0" fillId="6" borderId="27" xfId="0" applyNumberFormat="1" applyFill="1" applyBorder="1" applyAlignment="1">
      <alignment horizontal="center"/>
    </xf>
    <xf numFmtId="0" fontId="15" fillId="16" borderId="28" xfId="0" applyFont="1" applyFill="1" applyBorder="1" applyAlignment="1">
      <alignment horizontal="center" wrapText="1"/>
    </xf>
    <xf numFmtId="0" fontId="22" fillId="16" borderId="28" xfId="0" applyFont="1" applyFill="1" applyBorder="1" applyAlignment="1">
      <alignment horizontal="center" wrapText="1"/>
    </xf>
    <xf numFmtId="0" fontId="15" fillId="0" borderId="28" xfId="0" applyFont="1" applyBorder="1" applyAlignment="1">
      <alignment vertical="center" wrapText="1"/>
    </xf>
    <xf numFmtId="166" fontId="15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1" fontId="1" fillId="0" borderId="28" xfId="2" applyNumberFormat="1" applyFont="1" applyBorder="1" applyAlignment="1">
      <alignment horizontal="center" vertical="center" wrapText="1"/>
    </xf>
    <xf numFmtId="0" fontId="0" fillId="3" borderId="28" xfId="0" applyFill="1" applyBorder="1" applyAlignment="1">
      <alignment vertical="center" wrapText="1"/>
    </xf>
    <xf numFmtId="1" fontId="0" fillId="0" borderId="28" xfId="2" applyNumberFormat="1" applyFont="1" applyBorder="1" applyAlignment="1">
      <alignment horizontal="center" vertical="center" wrapText="1"/>
    </xf>
    <xf numFmtId="0" fontId="0" fillId="18" borderId="28" xfId="0" applyFill="1" applyBorder="1" applyAlignment="1">
      <alignment vertical="center" wrapText="1"/>
    </xf>
    <xf numFmtId="1" fontId="0" fillId="18" borderId="28" xfId="2" applyNumberFormat="1" applyFont="1" applyFill="1" applyBorder="1" applyAlignment="1">
      <alignment horizontal="center" vertical="center" wrapText="1"/>
    </xf>
    <xf numFmtId="0" fontId="0" fillId="19" borderId="28" xfId="0" applyFill="1" applyBorder="1" applyAlignment="1">
      <alignment vertical="center" wrapText="1"/>
    </xf>
    <xf numFmtId="0" fontId="0" fillId="14" borderId="28" xfId="0" applyFill="1" applyBorder="1" applyAlignment="1">
      <alignment vertical="center" wrapText="1"/>
    </xf>
    <xf numFmtId="1" fontId="0" fillId="14" borderId="28" xfId="2" applyNumberFormat="1" applyFont="1" applyFill="1" applyBorder="1" applyAlignment="1">
      <alignment horizontal="center" vertical="center" wrapText="1"/>
    </xf>
    <xf numFmtId="0" fontId="0" fillId="15" borderId="28" xfId="0" applyFill="1" applyBorder="1" applyAlignment="1">
      <alignment horizontal="center" vertical="center"/>
    </xf>
    <xf numFmtId="1" fontId="0" fillId="15" borderId="28" xfId="0" applyNumberFormat="1" applyFill="1" applyBorder="1" applyAlignment="1">
      <alignment horizontal="center" vertical="center"/>
    </xf>
    <xf numFmtId="0" fontId="1" fillId="17" borderId="24" xfId="0" applyFont="1" applyFill="1" applyBorder="1"/>
    <xf numFmtId="16" fontId="1" fillId="17" borderId="24" xfId="0" applyNumberFormat="1" applyFont="1" applyFill="1" applyBorder="1"/>
    <xf numFmtId="0" fontId="16" fillId="0" borderId="24" xfId="0" applyFont="1" applyBorder="1"/>
    <xf numFmtId="0" fontId="17" fillId="0" borderId="24" xfId="0" applyFont="1" applyBorder="1"/>
    <xf numFmtId="0" fontId="18" fillId="0" borderId="24" xfId="0" applyFont="1" applyBorder="1"/>
    <xf numFmtId="0" fontId="19" fillId="0" borderId="24" xfId="0" applyFont="1" applyBorder="1"/>
    <xf numFmtId="0" fontId="3" fillId="13" borderId="0" xfId="0" applyFont="1" applyFill="1" applyAlignment="1">
      <alignment vertical="center" wrapText="1"/>
    </xf>
    <xf numFmtId="0" fontId="1" fillId="0" borderId="0" xfId="0" quotePrefix="1" applyFont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23" fillId="21" borderId="29" xfId="0" applyFont="1" applyFill="1" applyBorder="1" applyAlignment="1">
      <alignment vertical="center" wrapText="1"/>
    </xf>
    <xf numFmtId="0" fontId="24" fillId="0" borderId="29" xfId="0" applyFont="1" applyBorder="1" applyAlignment="1">
      <alignment vertical="center"/>
    </xf>
    <xf numFmtId="0" fontId="23" fillId="21" borderId="29" xfId="0" applyFont="1" applyFill="1" applyBorder="1" applyAlignment="1">
      <alignment vertical="center"/>
    </xf>
    <xf numFmtId="0" fontId="23" fillId="21" borderId="29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4" fillId="15" borderId="29" xfId="0" applyFont="1" applyFill="1" applyBorder="1" applyAlignment="1">
      <alignment horizontal="center" vertical="center"/>
    </xf>
    <xf numFmtId="1" fontId="24" fillId="15" borderId="29" xfId="0" applyNumberFormat="1" applyFont="1" applyFill="1" applyBorder="1" applyAlignment="1">
      <alignment horizontal="center" vertical="center"/>
    </xf>
    <xf numFmtId="1" fontId="23" fillId="21" borderId="29" xfId="0" applyNumberFormat="1" applyFont="1" applyFill="1" applyBorder="1" applyAlignment="1">
      <alignment horizontal="center" vertical="center"/>
    </xf>
    <xf numFmtId="1" fontId="10" fillId="15" borderId="0" xfId="0" applyNumberFormat="1" applyFont="1" applyFill="1" applyAlignment="1">
      <alignment horizontal="center"/>
    </xf>
    <xf numFmtId="0" fontId="24" fillId="17" borderId="29" xfId="0" applyFont="1" applyFill="1" applyBorder="1" applyAlignment="1">
      <alignment horizontal="center" vertical="center"/>
    </xf>
    <xf numFmtId="1" fontId="10" fillId="17" borderId="0" xfId="0" applyNumberFormat="1" applyFont="1" applyFill="1" applyAlignment="1">
      <alignment horizontal="center"/>
    </xf>
    <xf numFmtId="15" fontId="0" fillId="0" borderId="0" xfId="0" applyNumberFormat="1" applyAlignment="1">
      <alignment horizontal="center"/>
    </xf>
    <xf numFmtId="0" fontId="0" fillId="20" borderId="0" xfId="0" applyFill="1" applyAlignment="1">
      <alignment horizontal="center" vertical="center" wrapText="1"/>
    </xf>
    <xf numFmtId="15" fontId="0" fillId="20" borderId="0" xfId="0" applyNumberFormat="1" applyFill="1" applyAlignment="1">
      <alignment horizontal="center" vertical="center" wrapText="1"/>
    </xf>
    <xf numFmtId="0" fontId="0" fillId="20" borderId="0" xfId="0" applyFill="1" applyAlignment="1">
      <alignment vertical="center" wrapText="1"/>
    </xf>
    <xf numFmtId="1" fontId="14" fillId="0" borderId="0" xfId="0" applyNumberFormat="1" applyFont="1" applyAlignment="1">
      <alignment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/>
    </xf>
    <xf numFmtId="0" fontId="12" fillId="10" borderId="20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vertical="center"/>
    </xf>
    <xf numFmtId="0" fontId="15" fillId="0" borderId="28" xfId="0" applyFont="1" applyBorder="1" applyAlignment="1">
      <alignment horizontal="center" wrapText="1"/>
    </xf>
    <xf numFmtId="0" fontId="0" fillId="0" borderId="28" xfId="0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/>
    </xf>
    <xf numFmtId="0" fontId="13" fillId="10" borderId="6" xfId="0" applyFont="1" applyFill="1" applyBorder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</cellXfs>
  <cellStyles count="3">
    <cellStyle name="Comma" xfId="2" builtinId="3"/>
    <cellStyle name="Comma 2" xfId="1" xr:uid="{0AD33F02-E73B-455F-B958-A114E0987333}"/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numFmt numFmtId="0" formatCode="General"/>
      <alignment horizontal="center" textRotation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endra Kumar" id="{204C1149-D793-4B83-B321-09CDF51E8181}" userId="S::devendra.kumar@taggd.in::a6e16778-a81a-4388-9e9b-120a5223cf5f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577BD2-3907-4F3D-9146-72B1A3A3C4FF}" autoFormatId="16" applyNumberFormats="0" applyBorderFormats="0" applyFontFormats="0" applyPatternFormats="0" applyAlignmentFormats="0" applyWidthHeightFormats="0">
  <queryTableRefresh nextId="75" unboundColumnsRight="1">
    <queryTableFields count="21">
      <queryTableField id="28" name="Index" tableColumnId="1"/>
      <queryTableField id="3" name="Requisition ID" tableColumnId="3"/>
      <queryTableField id="64" name="Requisition Status" tableColumnId="4"/>
      <queryTableField id="65" name="Requisition Create Date [dd/mmm/yy]" tableColumnId="26"/>
      <queryTableField id="5" name="Requisition Approved Date [dd/mmm/yy]" tableColumnId="5"/>
      <queryTableField id="6" name="Requistion Type (New / Replacement)" tableColumnId="6"/>
      <queryTableField id="7" name="Employee Name(In Case of Replacement)" tableColumnId="7"/>
      <queryTableField id="8" name="Employee Code(In Case of Replacement)" tableColumnId="8"/>
      <queryTableField id="9" name="Hiring Manager(Full Name)" tableColumnId="9"/>
      <queryTableField id="10" name="TA SPOC" tableColumnId="10"/>
      <queryTableField id="13" name="Work Level" tableColumnId="13"/>
      <queryTableField id="14" name="Grade" tableColumnId="14"/>
      <queryTableField id="15" name="Location" tableColumnId="15"/>
      <queryTableField id="16" name="Client" tableColumnId="16"/>
      <queryTableField id="30" name="Vertical (client)" tableColumnId="27"/>
      <queryTableField id="31" name="Designation" tableColumnId="28"/>
      <queryTableField id="17" name="Position Status (Open,YTJ,Joined,Hold,TBO)" tableColumnId="17"/>
      <queryTableField id="18" name="Candidate Name" tableColumnId="18"/>
      <queryTableField id="19" name="Date of offer" tableColumnId="19"/>
      <queryTableField id="20" name="Date of joining" tableColumnId="20"/>
      <queryTableField id="74" dataBound="0" tableColumnId="2"/>
    </queryTableFields>
    <queryTableDeletedFields count="27">
      <deletedField name="Requisition Create Date [dd/mmm/yy]"/>
      <deletedField name="Requisition Status"/>
      <deletedField name="Functional Assessment Score (6/10)"/>
      <deletedField name="LCI Test Score"/>
      <deletedField name="Total Profiles shared"/>
      <deletedField name="Total Interview Conducted"/>
      <deletedField name="Offered"/>
      <deletedField name="Back Up Candidates Name (Min 2)"/>
      <deletedField name="Target Date of Offer"/>
      <deletedField name="Target Date of Closure"/>
      <deletedField name="Interview Ratio"/>
      <deletedField name="Success Ratio"/>
      <deletedField name="Offer Ageing Days ( 1st Intimation)"/>
      <deletedField name="Ageing Days ( 1st Intimation)"/>
      <deletedField name="Ageing Category (1st Intimation)"/>
      <deletedField name="SLA Status (1st Intimation)"/>
      <deletedField name="Offer Ageing Days (Requisition approval)"/>
      <deletedField name="Ageing Days (Requisition approval)"/>
      <deletedField name="Ageing Category (Requisition approval)"/>
      <deletedField name="Highlights"/>
      <deletedField name="SLA Status (Requisition approval)"/>
      <deletedField name="Comments if any"/>
      <deletedField name="LCI Test Score"/>
      <deletedField name="Functional Assessment Score (6/10)"/>
      <deletedField name="Date Opening Received (1st Intimation)"/>
      <deletedField name="SBU"/>
      <deletedField name="Func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819C2-5769-4BD5-BAC4-9C687F9B2AF8}" name="Append16" displayName="Append16" ref="A1:U53" tableType="queryTable" totalsRowShown="0" headerRowDxfId="37" dataDxfId="36">
  <tableColumns count="21">
    <tableColumn id="1" xr3:uid="{4989E82A-A3B8-4842-ABD4-195FE0DCC063}" uniqueName="1" name="Index" queryTableFieldId="28" dataDxfId="35"/>
    <tableColumn id="3" xr3:uid="{52E52883-A0A7-444B-8910-F3A2DAEBE981}" uniqueName="3" name="Requisition ID" queryTableFieldId="3" dataDxfId="34"/>
    <tableColumn id="4" xr3:uid="{7187F5F0-C5FB-425A-BF96-4658C9CDCB04}" uniqueName="4" name="Requisition Status" queryTableFieldId="64"/>
    <tableColumn id="26" xr3:uid="{0E935DAF-1561-40FD-ABDA-08EA22499135}" uniqueName="26" name="Requisition Create Date" queryTableFieldId="65" dataDxfId="33"/>
    <tableColumn id="5" xr3:uid="{83F3ADAA-E678-4612-B469-048B78189B00}" uniqueName="5" name="Requisition Approved Date" queryTableFieldId="5" dataDxfId="32"/>
    <tableColumn id="6" xr3:uid="{79242EF7-E6E5-49BB-B2FF-8A1CB3812575}" uniqueName="6" name="Req Type" queryTableFieldId="6" dataDxfId="31"/>
    <tableColumn id="7" xr3:uid="{9E2DB003-FE15-4C21-AADC-3D12FE23A275}" uniqueName="7" name="Replacement Name" queryTableFieldId="7" dataDxfId="30"/>
    <tableColumn id="8" xr3:uid="{1A6D6F94-EC39-4D4E-9663-6CEF84D67D8C}" uniqueName="8" name="Replacement Code" queryTableFieldId="8" dataDxfId="29"/>
    <tableColumn id="9" xr3:uid="{F91416ED-6A99-4CD4-8323-A2C787C9688B}" uniqueName="9" name="Hiring Manager" queryTableFieldId="9" dataDxfId="28"/>
    <tableColumn id="10" xr3:uid="{C7ADC5A1-1E24-4628-8706-0F6F8CB038D3}" uniqueName="10" name="TA SPOC" queryTableFieldId="10" dataDxfId="27"/>
    <tableColumn id="13" xr3:uid="{70F6E1D6-832B-4FD1-A657-E819E13E231F}" uniqueName="13" name="Work Level" queryTableFieldId="13" dataDxfId="26"/>
    <tableColumn id="14" xr3:uid="{7DFBB68B-6474-4BF4-A47C-8ABAC37D32F8}" uniqueName="14" name="Grade" queryTableFieldId="14" dataDxfId="25"/>
    <tableColumn id="15" xr3:uid="{88EE4C93-FC0A-42E9-AE9E-A4A8EF3C8F92}" uniqueName="15" name="Location" queryTableFieldId="15" dataDxfId="24"/>
    <tableColumn id="16" xr3:uid="{191A4C7B-69A7-4B0C-A9B2-F541C2675B17}" uniqueName="16" name="Client" queryTableFieldId="16" dataDxfId="23"/>
    <tableColumn id="27" xr3:uid="{F7B5C4F8-C98A-4F75-B792-3CEFDDB56536}" uniqueName="27" name="Vertical (client)" queryTableFieldId="30" dataDxfId="22"/>
    <tableColumn id="28" xr3:uid="{B2CB0E8D-63D8-4EFE-96CD-AC50698B4609}" uniqueName="28" name="Designation" queryTableFieldId="31" dataDxfId="21"/>
    <tableColumn id="17" xr3:uid="{BFB73548-6ED6-42E1-9B14-86C66C6E70D0}" uniqueName="17" name="Status" queryTableFieldId="17" dataDxfId="20"/>
    <tableColumn id="18" xr3:uid="{B32030CD-479F-4D16-A731-039D7E654852}" uniqueName="18" name="Candidate Name" queryTableFieldId="18" dataDxfId="19"/>
    <tableColumn id="19" xr3:uid="{BD1A391E-FEB0-40BC-AF11-7814AFC548C1}" uniqueName="19" name="Date of offer" queryTableFieldId="19" dataDxfId="18"/>
    <tableColumn id="20" xr3:uid="{BC9CF728-C7CA-417E-8581-52EDD8C9F325}" uniqueName="20" name="Date of joining" queryTableFieldId="20" dataDxfId="17"/>
    <tableColumn id="2" xr3:uid="{45F4641D-01D8-4DC8-A2B7-E3D78C174F6C}" uniqueName="2" name="Whether the replacement person is existing in the system?" queryTableFieldId="74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3" dT="2025-01-10T13:38:26.64" personId="{204C1149-D793-4B83-B321-09CDF51E8181}" id="{4C95A4A5-6EB3-417C-9278-E94C9CFCEB17}">
    <text>As per HRMS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80A8-8471-454F-BC5A-C3AB456D3831}">
  <dimension ref="B2:I20"/>
  <sheetViews>
    <sheetView topLeftCell="A15" workbookViewId="0">
      <selection activeCell="G33" sqref="G33"/>
    </sheetView>
  </sheetViews>
  <sheetFormatPr defaultRowHeight="15" x14ac:dyDescent="0.25"/>
  <cols>
    <col min="2" max="2" width="13.85546875" style="3" bestFit="1" customWidth="1"/>
    <col min="3" max="3" width="17.7109375" bestFit="1" customWidth="1"/>
    <col min="4" max="4" width="19.5703125" bestFit="1" customWidth="1"/>
    <col min="6" max="6" width="23.140625" bestFit="1" customWidth="1"/>
  </cols>
  <sheetData>
    <row r="2" spans="2:9" s="7" customFormat="1" x14ac:dyDescent="0.25">
      <c r="B2" s="111" t="s">
        <v>463</v>
      </c>
      <c r="C2" s="7" t="s">
        <v>464</v>
      </c>
      <c r="D2" s="7" t="s">
        <v>466</v>
      </c>
      <c r="E2" s="7" t="s">
        <v>465</v>
      </c>
      <c r="F2" s="7" t="s">
        <v>467</v>
      </c>
      <c r="G2" s="7" t="s">
        <v>480</v>
      </c>
    </row>
    <row r="3" spans="2:9" x14ac:dyDescent="0.25">
      <c r="B3" s="3">
        <v>1</v>
      </c>
      <c r="C3" t="s">
        <v>449</v>
      </c>
      <c r="E3" t="s">
        <v>458</v>
      </c>
      <c r="G3" t="s">
        <v>485</v>
      </c>
    </row>
    <row r="4" spans="2:9" x14ac:dyDescent="0.25">
      <c r="B4" s="3">
        <v>2</v>
      </c>
      <c r="C4" t="s">
        <v>450</v>
      </c>
      <c r="E4" t="s">
        <v>458</v>
      </c>
    </row>
    <row r="5" spans="2:9" x14ac:dyDescent="0.25">
      <c r="B5" s="3">
        <v>3</v>
      </c>
      <c r="C5" t="s">
        <v>459</v>
      </c>
      <c r="D5" t="s">
        <v>460</v>
      </c>
      <c r="E5" t="s">
        <v>461</v>
      </c>
    </row>
    <row r="6" spans="2:9" x14ac:dyDescent="0.25">
      <c r="B6" s="3">
        <v>4</v>
      </c>
      <c r="C6" t="s">
        <v>462</v>
      </c>
      <c r="E6" t="s">
        <v>461</v>
      </c>
      <c r="F6" t="s">
        <v>468</v>
      </c>
      <c r="G6" t="s">
        <v>488</v>
      </c>
    </row>
    <row r="7" spans="2:9" x14ac:dyDescent="0.25">
      <c r="B7" s="3">
        <v>5</v>
      </c>
      <c r="C7" t="s">
        <v>469</v>
      </c>
      <c r="E7" t="s">
        <v>461</v>
      </c>
      <c r="F7" t="s">
        <v>470</v>
      </c>
      <c r="G7" t="s">
        <v>487</v>
      </c>
    </row>
    <row r="8" spans="2:9" x14ac:dyDescent="0.25">
      <c r="B8" s="3">
        <v>6</v>
      </c>
      <c r="C8" t="s">
        <v>1</v>
      </c>
      <c r="E8" t="s">
        <v>461</v>
      </c>
      <c r="G8" t="s">
        <v>486</v>
      </c>
    </row>
    <row r="9" spans="2:9" x14ac:dyDescent="0.25">
      <c r="B9" s="3">
        <v>7</v>
      </c>
      <c r="C9" t="s">
        <v>255</v>
      </c>
      <c r="E9" t="s">
        <v>461</v>
      </c>
      <c r="F9" t="s">
        <v>471</v>
      </c>
      <c r="G9" t="s">
        <v>488</v>
      </c>
    </row>
    <row r="12" spans="2:9" x14ac:dyDescent="0.25">
      <c r="B12" s="111" t="s">
        <v>472</v>
      </c>
      <c r="C12" s="225" t="s">
        <v>473</v>
      </c>
      <c r="D12" s="225"/>
      <c r="E12" s="225"/>
      <c r="F12" s="225"/>
      <c r="G12" s="225"/>
      <c r="H12" s="225"/>
      <c r="I12" s="225"/>
    </row>
    <row r="16" spans="2:9" s="7" customFormat="1" x14ac:dyDescent="0.25">
      <c r="B16" s="111"/>
      <c r="C16" s="7" t="s">
        <v>478</v>
      </c>
      <c r="D16" s="7" t="s">
        <v>479</v>
      </c>
      <c r="H16" s="7" t="s">
        <v>459</v>
      </c>
    </row>
    <row r="17" spans="3:8" x14ac:dyDescent="0.25">
      <c r="C17" t="s">
        <v>21</v>
      </c>
      <c r="D17" t="s">
        <v>474</v>
      </c>
      <c r="H17" t="s">
        <v>481</v>
      </c>
    </row>
    <row r="18" spans="3:8" x14ac:dyDescent="0.25">
      <c r="C18" t="s">
        <v>22</v>
      </c>
      <c r="D18" t="s">
        <v>475</v>
      </c>
      <c r="H18" t="s">
        <v>482</v>
      </c>
    </row>
    <row r="19" spans="3:8" x14ac:dyDescent="0.25">
      <c r="C19" t="s">
        <v>23</v>
      </c>
      <c r="D19" t="s">
        <v>477</v>
      </c>
      <c r="H19" t="s">
        <v>484</v>
      </c>
    </row>
    <row r="20" spans="3:8" x14ac:dyDescent="0.25">
      <c r="C20" t="s">
        <v>24</v>
      </c>
      <c r="D20" t="s">
        <v>476</v>
      </c>
      <c r="H20" t="s">
        <v>483</v>
      </c>
    </row>
  </sheetData>
  <mergeCells count="1">
    <mergeCell ref="C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85BF-5182-5A40-A96C-A8691BF5E3FE}">
  <sheetPr>
    <tabColor theme="5" tint="0.59999389629810485"/>
  </sheetPr>
  <dimension ref="A1:J10"/>
  <sheetViews>
    <sheetView workbookViewId="0">
      <selection activeCell="M15" sqref="M15"/>
    </sheetView>
  </sheetViews>
  <sheetFormatPr defaultRowHeight="15" x14ac:dyDescent="0.25"/>
  <cols>
    <col min="1" max="1" width="63.5703125" bestFit="1" customWidth="1"/>
    <col min="2" max="2" width="6.85546875" hidden="1" customWidth="1"/>
    <col min="3" max="5" width="7.28515625" hidden="1" customWidth="1"/>
    <col min="6" max="8" width="9.140625" hidden="1" customWidth="1"/>
  </cols>
  <sheetData>
    <row r="1" spans="1:10" x14ac:dyDescent="0.25">
      <c r="A1" s="188" t="s">
        <v>329</v>
      </c>
      <c r="B1" s="189">
        <v>45951</v>
      </c>
      <c r="C1" s="189">
        <v>45973</v>
      </c>
      <c r="D1" s="189">
        <v>45988</v>
      </c>
      <c r="E1" s="189">
        <v>45994</v>
      </c>
      <c r="F1" s="189">
        <v>46002</v>
      </c>
      <c r="G1" s="189">
        <v>46009</v>
      </c>
      <c r="H1" s="189">
        <v>46038</v>
      </c>
      <c r="I1" s="189">
        <v>46052</v>
      </c>
      <c r="J1" s="189">
        <v>46070</v>
      </c>
    </row>
    <row r="2" spans="1:10" ht="15.75" x14ac:dyDescent="0.25">
      <c r="A2" s="190" t="s">
        <v>410</v>
      </c>
      <c r="B2" s="190">
        <v>539</v>
      </c>
      <c r="C2" s="190">
        <v>538</v>
      </c>
      <c r="D2" s="190">
        <v>544</v>
      </c>
      <c r="E2" s="190">
        <v>539</v>
      </c>
      <c r="F2" s="190">
        <v>548</v>
      </c>
      <c r="G2" s="190">
        <v>548</v>
      </c>
      <c r="H2" s="190">
        <v>563</v>
      </c>
      <c r="I2" s="190">
        <f>545+35</f>
        <v>580</v>
      </c>
      <c r="J2" s="190">
        <f>548+35</f>
        <v>583</v>
      </c>
    </row>
    <row r="3" spans="1:10" ht="15.75" x14ac:dyDescent="0.25">
      <c r="A3" s="190" t="s">
        <v>336</v>
      </c>
      <c r="B3" s="190">
        <v>20</v>
      </c>
      <c r="C3" s="190">
        <v>19</v>
      </c>
      <c r="D3" s="190">
        <v>21</v>
      </c>
      <c r="E3" s="190">
        <v>26</v>
      </c>
      <c r="F3" s="190">
        <v>31</v>
      </c>
      <c r="G3" s="190">
        <v>29</v>
      </c>
      <c r="H3" s="190">
        <v>26</v>
      </c>
      <c r="I3" s="190">
        <v>15</v>
      </c>
      <c r="J3" s="190">
        <v>8</v>
      </c>
    </row>
    <row r="4" spans="1:10" ht="15.75" x14ac:dyDescent="0.25">
      <c r="A4" s="190" t="s">
        <v>325</v>
      </c>
      <c r="B4" s="190">
        <v>47</v>
      </c>
      <c r="C4" s="190">
        <v>31</v>
      </c>
      <c r="D4" s="190">
        <v>17</v>
      </c>
      <c r="E4" s="190">
        <v>31</v>
      </c>
      <c r="F4" s="190">
        <v>29</v>
      </c>
      <c r="G4" s="190">
        <v>35</v>
      </c>
      <c r="H4" s="190">
        <v>36</v>
      </c>
      <c r="I4" s="190">
        <v>55</v>
      </c>
      <c r="J4" s="190">
        <v>44</v>
      </c>
    </row>
    <row r="5" spans="1:10" ht="15.75" x14ac:dyDescent="0.25">
      <c r="A5" s="191" t="s">
        <v>326</v>
      </c>
      <c r="B5" s="191">
        <f t="shared" ref="B5:G5" si="0">SUM(B2:B4)</f>
        <v>606</v>
      </c>
      <c r="C5" s="191">
        <f t="shared" si="0"/>
        <v>588</v>
      </c>
      <c r="D5" s="191">
        <f t="shared" si="0"/>
        <v>582</v>
      </c>
      <c r="E5" s="191">
        <f t="shared" si="0"/>
        <v>596</v>
      </c>
      <c r="F5" s="191">
        <f t="shared" si="0"/>
        <v>608</v>
      </c>
      <c r="G5" s="191">
        <f t="shared" si="0"/>
        <v>612</v>
      </c>
      <c r="H5" s="191">
        <f t="shared" ref="H5" si="1">SUM(H2:H4)</f>
        <v>625</v>
      </c>
      <c r="I5" s="191">
        <f t="shared" ref="I5:J5" si="2">SUM(I2:I4)</f>
        <v>650</v>
      </c>
      <c r="J5" s="191">
        <f t="shared" si="2"/>
        <v>635</v>
      </c>
    </row>
    <row r="6" spans="1:10" ht="15" customHeight="1" x14ac:dyDescent="0.25">
      <c r="A6" s="219" t="s">
        <v>337</v>
      </c>
      <c r="B6" s="219">
        <v>12</v>
      </c>
      <c r="C6" s="219">
        <v>16</v>
      </c>
      <c r="D6" s="219">
        <v>20</v>
      </c>
      <c r="E6" s="219">
        <v>22</v>
      </c>
      <c r="F6" s="219">
        <v>26</v>
      </c>
      <c r="G6" s="219">
        <v>24</v>
      </c>
      <c r="H6" s="219">
        <v>18</v>
      </c>
      <c r="I6" s="219">
        <v>17</v>
      </c>
      <c r="J6" s="219">
        <v>18</v>
      </c>
    </row>
    <row r="7" spans="1:10" ht="15" customHeight="1" x14ac:dyDescent="0.25">
      <c r="A7" s="219"/>
      <c r="B7" s="219"/>
      <c r="C7" s="219"/>
      <c r="D7" s="219"/>
      <c r="E7" s="219"/>
      <c r="F7" s="219"/>
      <c r="G7" s="219"/>
      <c r="H7" s="219"/>
      <c r="I7" s="219"/>
      <c r="J7" s="219"/>
    </row>
    <row r="8" spans="1:10" ht="15.75" x14ac:dyDescent="0.25">
      <c r="A8" s="192" t="s">
        <v>327</v>
      </c>
      <c r="B8" s="192">
        <v>436</v>
      </c>
      <c r="C8" s="192">
        <v>436</v>
      </c>
      <c r="D8" s="192">
        <v>438</v>
      </c>
      <c r="E8" s="192">
        <v>431</v>
      </c>
      <c r="F8" s="192">
        <v>440</v>
      </c>
      <c r="G8" s="192">
        <v>488</v>
      </c>
      <c r="H8" s="192">
        <v>537</v>
      </c>
      <c r="I8" s="192">
        <v>537</v>
      </c>
      <c r="J8" s="192">
        <v>505</v>
      </c>
    </row>
    <row r="9" spans="1:10" ht="15.75" x14ac:dyDescent="0.25">
      <c r="A9" s="193" t="s">
        <v>328</v>
      </c>
      <c r="B9" s="193">
        <f t="shared" ref="B9:G9" si="3">B5-B8-B6</f>
        <v>158</v>
      </c>
      <c r="C9" s="193">
        <f t="shared" si="3"/>
        <v>136</v>
      </c>
      <c r="D9" s="193">
        <f t="shared" si="3"/>
        <v>124</v>
      </c>
      <c r="E9" s="193">
        <f t="shared" si="3"/>
        <v>143</v>
      </c>
      <c r="F9" s="193">
        <f t="shared" si="3"/>
        <v>142</v>
      </c>
      <c r="G9" s="193">
        <f t="shared" si="3"/>
        <v>100</v>
      </c>
      <c r="H9" s="193">
        <f t="shared" ref="H9" si="4">H5-H8-H6</f>
        <v>70</v>
      </c>
      <c r="I9" s="193">
        <f t="shared" ref="I9:J9" si="5">I5-I8-I6</f>
        <v>96</v>
      </c>
      <c r="J9" s="193">
        <f t="shared" si="5"/>
        <v>112</v>
      </c>
    </row>
    <row r="10" spans="1:10" ht="15.75" x14ac:dyDescent="0.25">
      <c r="A10" t="s">
        <v>451</v>
      </c>
      <c r="C10" s="193">
        <f t="shared" ref="C10:I10" si="6">C9-B9</f>
        <v>-22</v>
      </c>
      <c r="D10" s="193">
        <f t="shared" si="6"/>
        <v>-12</v>
      </c>
      <c r="E10" s="193">
        <f t="shared" si="6"/>
        <v>19</v>
      </c>
      <c r="F10" s="193">
        <f t="shared" si="6"/>
        <v>-1</v>
      </c>
      <c r="G10" s="193">
        <f t="shared" si="6"/>
        <v>-42</v>
      </c>
      <c r="H10" s="193">
        <f t="shared" si="6"/>
        <v>-30</v>
      </c>
      <c r="I10" s="193">
        <f t="shared" si="6"/>
        <v>26</v>
      </c>
      <c r="J10" s="193">
        <f>J9-I9</f>
        <v>16</v>
      </c>
    </row>
  </sheetData>
  <mergeCells count="10">
    <mergeCell ref="J6:J7"/>
    <mergeCell ref="I6:I7"/>
    <mergeCell ref="G6:G7"/>
    <mergeCell ref="F6:F7"/>
    <mergeCell ref="A6:A7"/>
    <mergeCell ref="B6:B7"/>
    <mergeCell ref="C6:C7"/>
    <mergeCell ref="D6:D7"/>
    <mergeCell ref="E6:E7"/>
    <mergeCell ref="H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07DE-5B6B-400D-AFA2-03C6481127AF}">
  <dimension ref="A1:D60"/>
  <sheetViews>
    <sheetView workbookViewId="0">
      <selection activeCell="C1" sqref="C1"/>
    </sheetView>
  </sheetViews>
  <sheetFormatPr defaultRowHeight="15" x14ac:dyDescent="0.25"/>
  <cols>
    <col min="1" max="1" width="21.42578125" bestFit="1" customWidth="1"/>
    <col min="2" max="2" width="18.140625" bestFit="1" customWidth="1"/>
    <col min="3" max="3" width="17.7109375" bestFit="1" customWidth="1"/>
    <col min="4" max="4" width="14.85546875" bestFit="1" customWidth="1"/>
  </cols>
  <sheetData>
    <row r="1" spans="1:4" x14ac:dyDescent="0.25">
      <c r="A1" s="131" t="s">
        <v>11</v>
      </c>
      <c r="B1" s="131" t="s">
        <v>457</v>
      </c>
      <c r="C1" s="131" t="s">
        <v>16</v>
      </c>
      <c r="D1" s="131" t="s">
        <v>17</v>
      </c>
    </row>
    <row r="2" spans="1:4" x14ac:dyDescent="0.25">
      <c r="A2" s="2" t="s">
        <v>34</v>
      </c>
      <c r="B2" s="116" t="s">
        <v>36</v>
      </c>
      <c r="C2" s="116" t="s">
        <v>37</v>
      </c>
      <c r="D2" s="1" t="s">
        <v>38</v>
      </c>
    </row>
    <row r="3" spans="1:4" x14ac:dyDescent="0.25">
      <c r="A3" s="2" t="s">
        <v>40</v>
      </c>
      <c r="B3" s="116" t="s">
        <v>42</v>
      </c>
      <c r="C3" s="116" t="s">
        <v>43</v>
      </c>
      <c r="D3" s="1" t="s">
        <v>44</v>
      </c>
    </row>
    <row r="4" spans="1:4" x14ac:dyDescent="0.25">
      <c r="A4" s="2" t="s">
        <v>47</v>
      </c>
      <c r="B4" s="116" t="s">
        <v>42</v>
      </c>
      <c r="C4" s="116" t="s">
        <v>49</v>
      </c>
      <c r="D4" s="1" t="s">
        <v>44</v>
      </c>
    </row>
    <row r="5" spans="1:4" x14ac:dyDescent="0.25">
      <c r="A5" s="2" t="s">
        <v>51</v>
      </c>
      <c r="B5" s="116" t="s">
        <v>42</v>
      </c>
      <c r="C5" s="116" t="s">
        <v>53</v>
      </c>
      <c r="D5" s="1" t="s">
        <v>44</v>
      </c>
    </row>
    <row r="6" spans="1:4" x14ac:dyDescent="0.25">
      <c r="A6" s="2" t="s">
        <v>56</v>
      </c>
      <c r="B6" s="116" t="s">
        <v>42</v>
      </c>
      <c r="C6" s="116" t="s">
        <v>57</v>
      </c>
      <c r="D6" s="1" t="s">
        <v>58</v>
      </c>
    </row>
    <row r="7" spans="1:4" x14ac:dyDescent="0.25">
      <c r="A7" s="2" t="s">
        <v>60</v>
      </c>
      <c r="B7" s="116" t="s">
        <v>36</v>
      </c>
      <c r="C7" s="116" t="s">
        <v>36</v>
      </c>
      <c r="D7" s="1" t="s">
        <v>38</v>
      </c>
    </row>
    <row r="8" spans="1:4" x14ac:dyDescent="0.25">
      <c r="A8" s="2" t="s">
        <v>64</v>
      </c>
      <c r="B8" s="116" t="s">
        <v>36</v>
      </c>
      <c r="C8" s="116" t="s">
        <v>36</v>
      </c>
      <c r="D8" s="1" t="s">
        <v>38</v>
      </c>
    </row>
    <row r="9" spans="1:4" x14ac:dyDescent="0.25">
      <c r="A9" s="2" t="s">
        <v>66</v>
      </c>
      <c r="B9" s="116" t="s">
        <v>42</v>
      </c>
      <c r="C9" s="116" t="s">
        <v>43</v>
      </c>
      <c r="D9" s="1" t="s">
        <v>44</v>
      </c>
    </row>
    <row r="10" spans="1:4" x14ac:dyDescent="0.25">
      <c r="A10" s="2" t="s">
        <v>68</v>
      </c>
      <c r="B10" s="116" t="s">
        <v>42</v>
      </c>
      <c r="C10" s="116" t="s">
        <v>49</v>
      </c>
      <c r="D10" s="1" t="s">
        <v>44</v>
      </c>
    </row>
    <row r="11" spans="1:4" x14ac:dyDescent="0.25">
      <c r="A11" s="2" t="s">
        <v>71</v>
      </c>
      <c r="B11" s="116" t="s">
        <v>42</v>
      </c>
      <c r="C11" s="116" t="s">
        <v>72</v>
      </c>
      <c r="D11" s="1" t="s">
        <v>44</v>
      </c>
    </row>
    <row r="12" spans="1:4" x14ac:dyDescent="0.25">
      <c r="A12" s="2" t="s">
        <v>74</v>
      </c>
      <c r="B12" s="116" t="s">
        <v>42</v>
      </c>
      <c r="C12" s="116" t="s">
        <v>43</v>
      </c>
      <c r="D12" s="1" t="s">
        <v>44</v>
      </c>
    </row>
    <row r="13" spans="1:4" x14ac:dyDescent="0.25">
      <c r="A13" s="2" t="s">
        <v>78</v>
      </c>
      <c r="B13" s="116" t="s">
        <v>80</v>
      </c>
      <c r="C13" s="116" t="s">
        <v>80</v>
      </c>
      <c r="D13" s="1" t="s">
        <v>38</v>
      </c>
    </row>
    <row r="14" spans="1:4" x14ac:dyDescent="0.25">
      <c r="A14" s="2" t="s">
        <v>82</v>
      </c>
      <c r="B14" s="116" t="s">
        <v>36</v>
      </c>
      <c r="C14" s="116" t="s">
        <v>36</v>
      </c>
      <c r="D14" s="1" t="s">
        <v>38</v>
      </c>
    </row>
    <row r="15" spans="1:4" x14ac:dyDescent="0.25">
      <c r="A15" s="2" t="s">
        <v>85</v>
      </c>
      <c r="B15" s="116" t="s">
        <v>42</v>
      </c>
      <c r="C15" s="116" t="s">
        <v>49</v>
      </c>
      <c r="D15" s="1" t="s">
        <v>44</v>
      </c>
    </row>
    <row r="16" spans="1:4" x14ac:dyDescent="0.25">
      <c r="A16" s="2" t="s">
        <v>88</v>
      </c>
      <c r="B16" s="116" t="s">
        <v>42</v>
      </c>
      <c r="C16" s="116" t="s">
        <v>72</v>
      </c>
      <c r="D16" s="1" t="s">
        <v>44</v>
      </c>
    </row>
    <row r="17" spans="1:4" x14ac:dyDescent="0.25">
      <c r="A17" s="2" t="s">
        <v>91</v>
      </c>
      <c r="B17" s="116" t="s">
        <v>36</v>
      </c>
      <c r="C17" s="116" t="s">
        <v>93</v>
      </c>
      <c r="D17" s="1" t="s">
        <v>38</v>
      </c>
    </row>
    <row r="18" spans="1:4" x14ac:dyDescent="0.25">
      <c r="A18" s="2" t="s">
        <v>95</v>
      </c>
      <c r="B18" s="116" t="s">
        <v>42</v>
      </c>
      <c r="C18" s="116" t="s">
        <v>96</v>
      </c>
      <c r="D18" s="1" t="s">
        <v>44</v>
      </c>
    </row>
    <row r="19" spans="1:4" x14ac:dyDescent="0.25">
      <c r="A19" s="2" t="s">
        <v>98</v>
      </c>
      <c r="B19" s="116" t="s">
        <v>36</v>
      </c>
      <c r="C19" s="116" t="s">
        <v>93</v>
      </c>
      <c r="D19" s="1" t="s">
        <v>38</v>
      </c>
    </row>
    <row r="20" spans="1:4" x14ac:dyDescent="0.25">
      <c r="A20" s="2" t="s">
        <v>101</v>
      </c>
      <c r="B20" s="116" t="s">
        <v>36</v>
      </c>
      <c r="C20" s="116" t="s">
        <v>102</v>
      </c>
      <c r="D20" s="1" t="s">
        <v>38</v>
      </c>
    </row>
    <row r="21" spans="1:4" x14ac:dyDescent="0.25">
      <c r="A21" s="2" t="s">
        <v>105</v>
      </c>
      <c r="B21" s="116" t="s">
        <v>42</v>
      </c>
      <c r="C21" s="116" t="s">
        <v>49</v>
      </c>
      <c r="D21" s="1" t="s">
        <v>44</v>
      </c>
    </row>
    <row r="22" spans="1:4" x14ac:dyDescent="0.25">
      <c r="A22" s="2" t="s">
        <v>107</v>
      </c>
      <c r="B22" s="116" t="s">
        <v>42</v>
      </c>
      <c r="C22" s="116" t="s">
        <v>53</v>
      </c>
      <c r="D22" s="1" t="s">
        <v>44</v>
      </c>
    </row>
    <row r="23" spans="1:4" x14ac:dyDescent="0.25">
      <c r="A23" s="2" t="s">
        <v>110</v>
      </c>
      <c r="B23" s="116" t="s">
        <v>42</v>
      </c>
      <c r="C23" s="116" t="s">
        <v>43</v>
      </c>
      <c r="D23" s="1" t="s">
        <v>44</v>
      </c>
    </row>
    <row r="24" spans="1:4" x14ac:dyDescent="0.25">
      <c r="A24" s="2" t="s">
        <v>113</v>
      </c>
      <c r="B24" s="116" t="s">
        <v>42</v>
      </c>
      <c r="C24" s="116" t="s">
        <v>72</v>
      </c>
      <c r="D24" s="1" t="s">
        <v>44</v>
      </c>
    </row>
    <row r="25" spans="1:4" x14ac:dyDescent="0.25">
      <c r="A25" s="2" t="s">
        <v>115</v>
      </c>
      <c r="B25" s="116" t="s">
        <v>36</v>
      </c>
      <c r="C25" s="116" t="s">
        <v>37</v>
      </c>
      <c r="D25" s="1" t="s">
        <v>38</v>
      </c>
    </row>
    <row r="26" spans="1:4" x14ac:dyDescent="0.25">
      <c r="A26" s="2" t="s">
        <v>117</v>
      </c>
      <c r="B26" s="116" t="s">
        <v>42</v>
      </c>
      <c r="C26" s="116" t="s">
        <v>118</v>
      </c>
      <c r="D26" s="1" t="s">
        <v>44</v>
      </c>
    </row>
    <row r="27" spans="1:4" x14ac:dyDescent="0.25">
      <c r="A27" s="2" t="s">
        <v>120</v>
      </c>
      <c r="B27" s="116" t="s">
        <v>36</v>
      </c>
      <c r="C27" s="116" t="s">
        <v>36</v>
      </c>
      <c r="D27" s="1" t="s">
        <v>38</v>
      </c>
    </row>
    <row r="28" spans="1:4" x14ac:dyDescent="0.25">
      <c r="A28" s="2" t="s">
        <v>123</v>
      </c>
      <c r="B28" s="116" t="s">
        <v>42</v>
      </c>
      <c r="C28" s="116" t="s">
        <v>49</v>
      </c>
      <c r="D28" s="1" t="s">
        <v>44</v>
      </c>
    </row>
    <row r="29" spans="1:4" x14ac:dyDescent="0.25">
      <c r="A29" s="2" t="s">
        <v>125</v>
      </c>
      <c r="B29" s="116" t="s">
        <v>36</v>
      </c>
      <c r="C29" s="116" t="s">
        <v>93</v>
      </c>
      <c r="D29" s="1" t="s">
        <v>38</v>
      </c>
    </row>
    <row r="30" spans="1:4" x14ac:dyDescent="0.25">
      <c r="A30" s="2" t="s">
        <v>127</v>
      </c>
      <c r="B30" s="116" t="s">
        <v>36</v>
      </c>
      <c r="C30" s="116" t="s">
        <v>93</v>
      </c>
      <c r="D30" s="1" t="s">
        <v>38</v>
      </c>
    </row>
    <row r="31" spans="1:4" x14ac:dyDescent="0.25">
      <c r="A31" s="2" t="s">
        <v>129</v>
      </c>
      <c r="B31" s="116" t="s">
        <v>42</v>
      </c>
      <c r="C31" s="116" t="s">
        <v>130</v>
      </c>
      <c r="D31" s="1" t="s">
        <v>58</v>
      </c>
    </row>
    <row r="32" spans="1:4" x14ac:dyDescent="0.25">
      <c r="A32" s="2" t="s">
        <v>219</v>
      </c>
      <c r="B32" s="1" t="s">
        <v>79</v>
      </c>
      <c r="C32" s="1" t="s">
        <v>79</v>
      </c>
      <c r="D32" s="1" t="s">
        <v>79</v>
      </c>
    </row>
    <row r="33" spans="1:4" x14ac:dyDescent="0.25">
      <c r="A33" s="2" t="s">
        <v>132</v>
      </c>
      <c r="B33" s="116" t="s">
        <v>42</v>
      </c>
      <c r="C33" s="116" t="s">
        <v>42</v>
      </c>
      <c r="D33" s="1" t="s">
        <v>58</v>
      </c>
    </row>
    <row r="34" spans="1:4" x14ac:dyDescent="0.25">
      <c r="A34" s="2" t="s">
        <v>135</v>
      </c>
      <c r="B34" s="116" t="s">
        <v>42</v>
      </c>
      <c r="C34" s="116" t="s">
        <v>49</v>
      </c>
      <c r="D34" s="1" t="s">
        <v>44</v>
      </c>
    </row>
    <row r="35" spans="1:4" x14ac:dyDescent="0.25">
      <c r="A35" s="2" t="s">
        <v>137</v>
      </c>
      <c r="B35" s="116" t="s">
        <v>36</v>
      </c>
      <c r="C35" s="116" t="s">
        <v>93</v>
      </c>
      <c r="D35" s="1" t="s">
        <v>38</v>
      </c>
    </row>
    <row r="36" spans="1:4" x14ac:dyDescent="0.25">
      <c r="A36" s="2" t="s">
        <v>140</v>
      </c>
      <c r="B36" s="116" t="s">
        <v>42</v>
      </c>
      <c r="C36" s="116" t="s">
        <v>130</v>
      </c>
      <c r="D36" s="1" t="s">
        <v>58</v>
      </c>
    </row>
    <row r="37" spans="1:4" x14ac:dyDescent="0.25">
      <c r="A37" s="2" t="s">
        <v>144</v>
      </c>
      <c r="B37" s="116" t="s">
        <v>42</v>
      </c>
      <c r="C37" s="116" t="s">
        <v>49</v>
      </c>
      <c r="D37" s="1" t="s">
        <v>44</v>
      </c>
    </row>
    <row r="38" spans="1:4" x14ac:dyDescent="0.25">
      <c r="A38" s="2" t="s">
        <v>147</v>
      </c>
      <c r="B38" s="116" t="s">
        <v>42</v>
      </c>
      <c r="C38" s="116" t="s">
        <v>42</v>
      </c>
      <c r="D38" s="1" t="s">
        <v>58</v>
      </c>
    </row>
    <row r="39" spans="1:4" x14ac:dyDescent="0.25">
      <c r="A39" s="2" t="s">
        <v>150</v>
      </c>
      <c r="B39" s="116" t="s">
        <v>42</v>
      </c>
      <c r="C39" s="116" t="s">
        <v>130</v>
      </c>
      <c r="D39" s="1" t="s">
        <v>58</v>
      </c>
    </row>
    <row r="40" spans="1:4" x14ac:dyDescent="0.25">
      <c r="A40" s="2" t="s">
        <v>153</v>
      </c>
      <c r="B40" s="1" t="s">
        <v>79</v>
      </c>
      <c r="C40" s="1" t="s">
        <v>79</v>
      </c>
      <c r="D40" s="1" t="s">
        <v>79</v>
      </c>
    </row>
    <row r="41" spans="1:4" x14ac:dyDescent="0.25">
      <c r="A41" s="2" t="s">
        <v>155</v>
      </c>
      <c r="B41" s="116" t="s">
        <v>36</v>
      </c>
      <c r="C41" s="116" t="s">
        <v>93</v>
      </c>
      <c r="D41" s="1" t="s">
        <v>38</v>
      </c>
    </row>
    <row r="42" spans="1:4" x14ac:dyDescent="0.25">
      <c r="A42" s="2" t="s">
        <v>157</v>
      </c>
      <c r="B42" s="116" t="s">
        <v>42</v>
      </c>
      <c r="C42" s="116" t="s">
        <v>43</v>
      </c>
      <c r="D42" s="1" t="s">
        <v>44</v>
      </c>
    </row>
    <row r="43" spans="1:4" x14ac:dyDescent="0.25">
      <c r="A43" s="2" t="s">
        <v>159</v>
      </c>
      <c r="B43" s="116" t="s">
        <v>42</v>
      </c>
      <c r="C43" s="116" t="s">
        <v>53</v>
      </c>
      <c r="D43" s="1" t="s">
        <v>44</v>
      </c>
    </row>
    <row r="44" spans="1:4" x14ac:dyDescent="0.25">
      <c r="A44" s="2" t="s">
        <v>162</v>
      </c>
      <c r="B44" s="116" t="s">
        <v>42</v>
      </c>
      <c r="C44" s="116" t="s">
        <v>72</v>
      </c>
      <c r="D44" s="1" t="s">
        <v>44</v>
      </c>
    </row>
    <row r="45" spans="1:4" x14ac:dyDescent="0.25">
      <c r="A45" s="2" t="s">
        <v>165</v>
      </c>
      <c r="B45" s="116" t="s">
        <v>42</v>
      </c>
      <c r="C45" s="116" t="s">
        <v>42</v>
      </c>
      <c r="D45" s="1" t="s">
        <v>58</v>
      </c>
    </row>
    <row r="46" spans="1:4" x14ac:dyDescent="0.25">
      <c r="A46" s="2" t="s">
        <v>194</v>
      </c>
      <c r="B46" s="116" t="s">
        <v>42</v>
      </c>
      <c r="C46" s="1" t="s">
        <v>130</v>
      </c>
      <c r="D46" s="1" t="s">
        <v>58</v>
      </c>
    </row>
    <row r="47" spans="1:4" x14ac:dyDescent="0.25">
      <c r="A47" s="2" t="s">
        <v>170</v>
      </c>
      <c r="B47" s="116" t="s">
        <v>42</v>
      </c>
      <c r="C47" s="116" t="s">
        <v>130</v>
      </c>
      <c r="D47" s="1" t="s">
        <v>58</v>
      </c>
    </row>
    <row r="48" spans="1:4" x14ac:dyDescent="0.25">
      <c r="A48" s="2" t="s">
        <v>173</v>
      </c>
      <c r="B48" s="116" t="s">
        <v>42</v>
      </c>
      <c r="C48" s="116" t="s">
        <v>130</v>
      </c>
      <c r="D48" s="1" t="s">
        <v>58</v>
      </c>
    </row>
    <row r="49" spans="1:4" x14ac:dyDescent="0.25">
      <c r="A49" s="2" t="s">
        <v>176</v>
      </c>
      <c r="B49" s="116" t="s">
        <v>42</v>
      </c>
      <c r="C49" s="116" t="s">
        <v>72</v>
      </c>
      <c r="D49" s="1" t="s">
        <v>44</v>
      </c>
    </row>
    <row r="50" spans="1:4" x14ac:dyDescent="0.25">
      <c r="A50" s="2" t="s">
        <v>178</v>
      </c>
      <c r="B50" s="116" t="s">
        <v>42</v>
      </c>
      <c r="C50" s="116" t="s">
        <v>49</v>
      </c>
      <c r="D50" s="1" t="s">
        <v>44</v>
      </c>
    </row>
    <row r="51" spans="1:4" x14ac:dyDescent="0.25">
      <c r="A51" s="2" t="s">
        <v>181</v>
      </c>
      <c r="B51" s="116" t="s">
        <v>42</v>
      </c>
      <c r="C51" s="116" t="s">
        <v>42</v>
      </c>
      <c r="D51" s="1" t="s">
        <v>44</v>
      </c>
    </row>
    <row r="52" spans="1:4" x14ac:dyDescent="0.25">
      <c r="A52" s="2" t="s">
        <v>184</v>
      </c>
      <c r="B52" s="116" t="s">
        <v>36</v>
      </c>
      <c r="C52" s="116" t="s">
        <v>93</v>
      </c>
      <c r="D52" s="1" t="s">
        <v>38</v>
      </c>
    </row>
    <row r="53" spans="1:4" x14ac:dyDescent="0.25">
      <c r="A53" s="2" t="s">
        <v>187</v>
      </c>
      <c r="B53" s="116" t="s">
        <v>42</v>
      </c>
      <c r="C53" s="116" t="s">
        <v>130</v>
      </c>
      <c r="D53" s="1" t="s">
        <v>58</v>
      </c>
    </row>
    <row r="54" spans="1:4" x14ac:dyDescent="0.25">
      <c r="A54" s="2" t="s">
        <v>190</v>
      </c>
      <c r="B54" s="116" t="s">
        <v>36</v>
      </c>
      <c r="C54" s="116" t="s">
        <v>93</v>
      </c>
      <c r="D54" s="1" t="s">
        <v>38</v>
      </c>
    </row>
    <row r="55" spans="1:4" x14ac:dyDescent="0.25">
      <c r="A55" s="2" t="s">
        <v>220</v>
      </c>
      <c r="B55" s="1" t="s">
        <v>221</v>
      </c>
      <c r="C55" s="1" t="s">
        <v>222</v>
      </c>
      <c r="D55" s="2" t="s">
        <v>220</v>
      </c>
    </row>
    <row r="56" spans="1:4" x14ac:dyDescent="0.25">
      <c r="A56" s="2" t="s">
        <v>61</v>
      </c>
      <c r="B56" s="116" t="s">
        <v>36</v>
      </c>
      <c r="C56" s="116" t="s">
        <v>36</v>
      </c>
      <c r="D56" s="1" t="s">
        <v>38</v>
      </c>
    </row>
    <row r="57" spans="1:4" x14ac:dyDescent="0.25">
      <c r="A57" s="2" t="s">
        <v>195</v>
      </c>
      <c r="B57" s="116" t="s">
        <v>36</v>
      </c>
      <c r="C57" s="116" t="s">
        <v>36</v>
      </c>
      <c r="D57" s="1" t="s">
        <v>38</v>
      </c>
    </row>
    <row r="58" spans="1:4" x14ac:dyDescent="0.25">
      <c r="A58" s="2" t="s">
        <v>197</v>
      </c>
      <c r="B58" s="116" t="s">
        <v>42</v>
      </c>
      <c r="C58" s="116" t="s">
        <v>72</v>
      </c>
      <c r="D58" s="1" t="s">
        <v>44</v>
      </c>
    </row>
    <row r="59" spans="1:4" x14ac:dyDescent="0.25">
      <c r="A59" s="2" t="s">
        <v>223</v>
      </c>
      <c r="B59" s="116" t="s">
        <v>224</v>
      </c>
      <c r="C59" s="116" t="s">
        <v>225</v>
      </c>
      <c r="D59" s="1" t="s">
        <v>226</v>
      </c>
    </row>
    <row r="60" spans="1:4" x14ac:dyDescent="0.25">
      <c r="A60" s="2" t="s">
        <v>227</v>
      </c>
      <c r="B60" s="116" t="s">
        <v>224</v>
      </c>
      <c r="C60" s="116" t="s">
        <v>225</v>
      </c>
      <c r="D60" s="1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171A-D545-4630-B081-9B16973A8382}">
  <sheetPr>
    <tabColor theme="5" tint="0.79998168889431442"/>
  </sheetPr>
  <dimension ref="D3:H21"/>
  <sheetViews>
    <sheetView showGridLines="0" workbookViewId="0">
      <selection activeCell="M10" sqref="M10"/>
    </sheetView>
  </sheetViews>
  <sheetFormatPr defaultRowHeight="15" x14ac:dyDescent="0.25"/>
  <cols>
    <col min="5" max="5" width="45" customWidth="1"/>
  </cols>
  <sheetData>
    <row r="3" spans="4:8" ht="15.75" x14ac:dyDescent="0.25">
      <c r="E3" s="220" t="s">
        <v>258</v>
      </c>
      <c r="F3" s="220"/>
      <c r="G3" s="220"/>
      <c r="H3" s="220"/>
    </row>
    <row r="4" spans="4:8" ht="15.75" x14ac:dyDescent="0.25">
      <c r="E4" s="173" t="s">
        <v>259</v>
      </c>
      <c r="F4" s="174">
        <v>456</v>
      </c>
      <c r="G4" s="174">
        <v>456</v>
      </c>
      <c r="H4" s="174">
        <v>456</v>
      </c>
    </row>
    <row r="5" spans="4:8" ht="15.75" x14ac:dyDescent="0.25">
      <c r="E5" s="175" t="s">
        <v>260</v>
      </c>
      <c r="F5" s="176">
        <v>46054</v>
      </c>
      <c r="G5" s="176">
        <f>EOMONTH(F5,1)</f>
        <v>46112</v>
      </c>
      <c r="H5" s="176">
        <f>EOMONTH(G5,1)</f>
        <v>46142</v>
      </c>
    </row>
    <row r="6" spans="4:8" x14ac:dyDescent="0.25">
      <c r="D6" s="143"/>
      <c r="E6" s="177" t="s">
        <v>350</v>
      </c>
      <c r="F6" s="178">
        <v>562</v>
      </c>
      <c r="G6" s="178">
        <f>F18</f>
        <v>618</v>
      </c>
      <c r="H6" s="178">
        <f>G18</f>
        <v>638</v>
      </c>
    </row>
    <row r="7" spans="4:8" x14ac:dyDescent="0.25">
      <c r="D7" s="143"/>
      <c r="E7" s="177" t="s">
        <v>372</v>
      </c>
      <c r="F7" s="178">
        <f>33+3</f>
        <v>36</v>
      </c>
      <c r="G7" s="178">
        <v>40</v>
      </c>
      <c r="H7" s="178">
        <v>40</v>
      </c>
    </row>
    <row r="8" spans="4:8" x14ac:dyDescent="0.25">
      <c r="D8" s="221" t="s">
        <v>261</v>
      </c>
      <c r="E8" s="179" t="s">
        <v>262</v>
      </c>
      <c r="F8" s="180">
        <v>20</v>
      </c>
      <c r="G8" s="180">
        <v>15</v>
      </c>
      <c r="H8" s="180">
        <v>15</v>
      </c>
    </row>
    <row r="9" spans="4:8" x14ac:dyDescent="0.25">
      <c r="D9" s="221"/>
      <c r="E9" s="179" t="s">
        <v>263</v>
      </c>
      <c r="F9" s="180">
        <v>3</v>
      </c>
      <c r="G9" s="180">
        <v>5</v>
      </c>
      <c r="H9" s="180">
        <v>12</v>
      </c>
    </row>
    <row r="10" spans="4:8" ht="30" x14ac:dyDescent="0.25">
      <c r="D10" s="221"/>
      <c r="E10" s="181" t="s">
        <v>264</v>
      </c>
      <c r="F10" s="182">
        <v>5</v>
      </c>
      <c r="G10" s="182">
        <v>13</v>
      </c>
      <c r="H10" s="182">
        <v>2</v>
      </c>
    </row>
    <row r="11" spans="4:8" ht="30" x14ac:dyDescent="0.25">
      <c r="D11" s="221" t="s">
        <v>265</v>
      </c>
      <c r="E11" s="183" t="s">
        <v>266</v>
      </c>
      <c r="F11" s="180">
        <v>52</v>
      </c>
      <c r="G11" s="180"/>
      <c r="H11" s="180"/>
    </row>
    <row r="12" spans="4:8" x14ac:dyDescent="0.25">
      <c r="D12" s="221"/>
      <c r="E12" s="184" t="s">
        <v>267</v>
      </c>
      <c r="F12" s="185">
        <f>7+3</f>
        <v>10</v>
      </c>
      <c r="G12" s="185">
        <f>3+25</f>
        <v>28</v>
      </c>
      <c r="H12" s="185">
        <f>1+13</f>
        <v>14</v>
      </c>
    </row>
    <row r="13" spans="4:8" x14ac:dyDescent="0.25">
      <c r="D13" s="221"/>
      <c r="E13" s="183" t="s">
        <v>268</v>
      </c>
      <c r="F13" s="180">
        <v>18</v>
      </c>
      <c r="G13" s="180"/>
      <c r="H13" s="180"/>
    </row>
    <row r="14" spans="4:8" x14ac:dyDescent="0.25">
      <c r="D14" s="221" t="s">
        <v>269</v>
      </c>
      <c r="E14" s="179" t="s">
        <v>270</v>
      </c>
      <c r="F14" s="180">
        <v>0</v>
      </c>
      <c r="G14" s="180"/>
      <c r="H14" s="180"/>
    </row>
    <row r="15" spans="4:8" ht="30" x14ac:dyDescent="0.25">
      <c r="D15" s="221"/>
      <c r="E15" s="181" t="s">
        <v>271</v>
      </c>
      <c r="F15" s="182">
        <v>0</v>
      </c>
      <c r="G15" s="182"/>
      <c r="H15" s="182"/>
    </row>
    <row r="16" spans="4:8" x14ac:dyDescent="0.25">
      <c r="D16" s="143"/>
      <c r="E16" s="179" t="s">
        <v>272</v>
      </c>
      <c r="F16" s="180">
        <v>0</v>
      </c>
      <c r="G16" s="180"/>
      <c r="H16" s="180"/>
    </row>
    <row r="17" spans="4:8" x14ac:dyDescent="0.25">
      <c r="D17" s="143"/>
      <c r="E17" s="181" t="s">
        <v>273</v>
      </c>
      <c r="F17" s="182">
        <v>0</v>
      </c>
      <c r="G17" s="182"/>
      <c r="H17" s="182"/>
    </row>
    <row r="18" spans="4:8" x14ac:dyDescent="0.25">
      <c r="D18" s="143"/>
      <c r="E18" s="177" t="s">
        <v>274</v>
      </c>
      <c r="F18" s="178">
        <f>F6-F9-F10+F12+F13-F15-F17+F7</f>
        <v>618</v>
      </c>
      <c r="G18" s="178">
        <f>G6-G9-G10+G12+G13-G15-G17+10</f>
        <v>638</v>
      </c>
      <c r="H18" s="178">
        <f>H6-H9-H10+H12+H13-H15-H17</f>
        <v>638</v>
      </c>
    </row>
    <row r="19" spans="4:8" x14ac:dyDescent="0.25">
      <c r="D19" s="143"/>
      <c r="E19" s="177" t="s">
        <v>275</v>
      </c>
      <c r="F19" s="178">
        <f>F18+10</f>
        <v>628</v>
      </c>
      <c r="G19" s="178">
        <f>G18+10</f>
        <v>648</v>
      </c>
      <c r="H19" s="178">
        <f>H18+10</f>
        <v>648</v>
      </c>
    </row>
    <row r="21" spans="4:8" x14ac:dyDescent="0.25">
      <c r="E21" s="186" t="s">
        <v>352</v>
      </c>
      <c r="F21" s="187">
        <f>F4-F19</f>
        <v>-172</v>
      </c>
      <c r="G21" s="187">
        <f>G4-G19</f>
        <v>-192</v>
      </c>
      <c r="H21" s="187">
        <f>H4-H19</f>
        <v>-192</v>
      </c>
    </row>
  </sheetData>
  <mergeCells count="4">
    <mergeCell ref="E3:H3"/>
    <mergeCell ref="D8:D10"/>
    <mergeCell ref="D11:D13"/>
    <mergeCell ref="D14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112F-00BA-4D78-A36B-FAC10E928081}">
  <sheetPr>
    <tabColor rgb="FF002060"/>
  </sheetPr>
  <dimension ref="A1:AR54"/>
  <sheetViews>
    <sheetView showGridLines="0" tabSelected="1" workbookViewId="0">
      <pane xSplit="9" ySplit="3" topLeftCell="AB4" activePane="bottomRight" state="frozen"/>
      <selection pane="topRight" activeCell="F1" sqref="F1"/>
      <selection pane="bottomLeft" activeCell="A4" sqref="A4"/>
      <selection pane="bottomRight" activeCell="AN3" sqref="AN3"/>
    </sheetView>
  </sheetViews>
  <sheetFormatPr defaultRowHeight="15" outlineLevelCol="1" x14ac:dyDescent="0.25"/>
  <cols>
    <col min="1" max="1" width="17.28515625" hidden="1" customWidth="1"/>
    <col min="2" max="2" width="24.85546875" hidden="1" customWidth="1"/>
    <col min="3" max="3" width="24.85546875" customWidth="1"/>
    <col min="4" max="6" width="24.85546875" hidden="1" customWidth="1"/>
    <col min="7" max="7" width="15.7109375" customWidth="1"/>
    <col min="8" max="8" width="17.7109375" customWidth="1"/>
    <col min="9" max="9" width="9.140625" customWidth="1"/>
    <col min="10" max="10" width="9.140625" style="7" hidden="1" customWidth="1"/>
    <col min="12" max="12" width="2.28515625" customWidth="1"/>
    <col min="13" max="13" width="6.5703125" hidden="1" customWidth="1"/>
    <col min="14" max="15" width="8.5703125" hidden="1" customWidth="1" outlineLevel="1"/>
    <col min="16" max="16" width="9.140625" customWidth="1" outlineLevel="1"/>
    <col min="17" max="20" width="4.85546875" customWidth="1" outlineLevel="1"/>
    <col min="21" max="21" width="11.85546875" style="7" customWidth="1" outlineLevel="1"/>
    <col min="22" max="22" width="4" customWidth="1" outlineLevel="1"/>
    <col min="23" max="26" width="4.85546875" customWidth="1" outlineLevel="1"/>
    <col min="27" max="27" width="10.7109375" style="7" customWidth="1" outlineLevel="1"/>
    <col min="28" max="28" width="9.5703125" style="7" customWidth="1" outlineLevel="1"/>
    <col min="29" max="29" width="3.42578125" customWidth="1" outlineLevel="1"/>
    <col min="30" max="30" width="14" style="7" customWidth="1" outlineLevel="1"/>
    <col min="31" max="31" width="3.42578125" customWidth="1" outlineLevel="1"/>
    <col min="32" max="33" width="9.5703125" style="7" customWidth="1" outlineLevel="1"/>
    <col min="34" max="34" width="3.42578125" customWidth="1" outlineLevel="1"/>
    <col min="35" max="35" width="10" customWidth="1" outlineLevel="1"/>
    <col min="36" max="36" width="10.5703125" customWidth="1" outlineLevel="1"/>
    <col min="37" max="37" width="9.5703125" customWidth="1" outlineLevel="1"/>
    <col min="38" max="38" width="9.140625" customWidth="1" outlineLevel="1"/>
    <col min="39" max="39" width="9.140625" style="7" customWidth="1" outlineLevel="1"/>
    <col min="40" max="41" width="10.140625" style="7" customWidth="1" outlineLevel="1"/>
    <col min="42" max="42" width="14.140625" style="7" customWidth="1"/>
    <col min="43" max="43" width="23.42578125" style="3" customWidth="1"/>
    <col min="44" max="44" width="40.28515625" customWidth="1"/>
  </cols>
  <sheetData>
    <row r="1" spans="1:44" s="126" customFormat="1" ht="47.25" x14ac:dyDescent="0.25">
      <c r="A1" s="121"/>
      <c r="B1" s="120"/>
      <c r="C1" s="194"/>
      <c r="D1" s="121"/>
      <c r="E1" s="121"/>
      <c r="F1" s="121"/>
      <c r="G1" s="121"/>
      <c r="H1" s="121"/>
      <c r="I1" s="121"/>
      <c r="J1" s="216" t="s">
        <v>2</v>
      </c>
      <c r="K1" s="122" t="s">
        <v>449</v>
      </c>
      <c r="L1" s="123"/>
      <c r="M1" s="122" t="s">
        <v>4</v>
      </c>
      <c r="N1" s="144"/>
      <c r="O1" s="154"/>
      <c r="P1" s="122" t="s">
        <v>450</v>
      </c>
      <c r="Q1" s="213" t="s">
        <v>6</v>
      </c>
      <c r="R1" s="214"/>
      <c r="S1" s="214"/>
      <c r="T1" s="214"/>
      <c r="U1" s="215"/>
      <c r="V1" s="124"/>
      <c r="W1" s="213" t="s">
        <v>7</v>
      </c>
      <c r="X1" s="214"/>
      <c r="Y1" s="214"/>
      <c r="Z1" s="214"/>
      <c r="AA1" s="215"/>
      <c r="AB1" s="125"/>
      <c r="AC1" s="124"/>
      <c r="AD1" s="212" t="s">
        <v>469</v>
      </c>
      <c r="AE1" s="124"/>
      <c r="AF1" s="218" t="s">
        <v>1</v>
      </c>
      <c r="AG1" s="218"/>
      <c r="AH1" s="124"/>
      <c r="AI1" s="213" t="s">
        <v>8</v>
      </c>
      <c r="AJ1" s="214"/>
      <c r="AK1" s="214"/>
      <c r="AL1" s="214"/>
      <c r="AM1" s="215"/>
      <c r="AN1" s="148"/>
      <c r="AO1" s="148"/>
      <c r="AP1" s="132"/>
      <c r="AQ1" s="195"/>
    </row>
    <row r="2" spans="1:44" x14ac:dyDescent="0.25">
      <c r="A2" s="108"/>
      <c r="B2" s="110"/>
      <c r="C2" s="107"/>
      <c r="D2" s="107"/>
      <c r="E2" s="107"/>
      <c r="F2" s="107"/>
      <c r="G2" s="107"/>
      <c r="H2" s="107"/>
      <c r="I2" s="107"/>
      <c r="J2" s="217"/>
      <c r="K2" s="119">
        <f>SUM(K4:K55)</f>
        <v>2662.5659800000008</v>
      </c>
      <c r="L2" s="8"/>
      <c r="M2" s="119"/>
      <c r="N2" s="145">
        <v>1.5163834159027012</v>
      </c>
      <c r="O2" s="145">
        <v>1.53</v>
      </c>
      <c r="P2" s="78">
        <f>AVERAGE(P4:P55)</f>
        <v>2.0129707735248603</v>
      </c>
      <c r="Q2" s="56">
        <f>IFERROR(K2/(P2*3),"")</f>
        <v>440.9015794000909</v>
      </c>
      <c r="R2" s="56">
        <f>IFERROR(Q2/8,"")</f>
        <v>55.112697425011362</v>
      </c>
      <c r="S2" s="56">
        <f t="shared" ref="S2" si="0">IFERROR(R2/8,"")</f>
        <v>6.8890871781264202</v>
      </c>
      <c r="T2" s="56">
        <f>IFERROR(S2/3,"")</f>
        <v>2.2963623927088066</v>
      </c>
      <c r="U2" s="98">
        <f>SUM(Q2:T2)</f>
        <v>505.19972639593749</v>
      </c>
      <c r="W2" s="55">
        <f>SUM(W4:W55)</f>
        <v>428</v>
      </c>
      <c r="X2" s="55">
        <f t="shared" ref="X2:Z2" si="1">SUM(X4:X55)</f>
        <v>104</v>
      </c>
      <c r="Y2" s="55">
        <f t="shared" si="1"/>
        <v>14</v>
      </c>
      <c r="Z2" s="55">
        <f t="shared" si="1"/>
        <v>2</v>
      </c>
      <c r="AA2" s="98">
        <f>SUM(AA4:AA55)</f>
        <v>548</v>
      </c>
      <c r="AB2" s="35">
        <f>U2-AA2</f>
        <v>-42.800273604062511</v>
      </c>
      <c r="AD2" s="152">
        <f>SUM(AD4:AD52)</f>
        <v>35</v>
      </c>
      <c r="AF2" s="152">
        <f>SUM(AF4:AF54)</f>
        <v>8</v>
      </c>
      <c r="AG2" s="152">
        <f>SUM(AG4:AG54)</f>
        <v>44</v>
      </c>
      <c r="AI2" s="55">
        <f>SUM(AI4:AI54)</f>
        <v>39</v>
      </c>
      <c r="AJ2" s="55">
        <f t="shared" ref="AJ2:AL2" si="2">SUM(AJ4:AJ54)</f>
        <v>9</v>
      </c>
      <c r="AK2" s="55">
        <f t="shared" si="2"/>
        <v>4</v>
      </c>
      <c r="AL2" s="55">
        <f t="shared" si="2"/>
        <v>0</v>
      </c>
      <c r="AM2" s="98">
        <f>SUM(AI2:AL2)</f>
        <v>52</v>
      </c>
      <c r="AN2" s="149">
        <f>SUM(AN4:AN52)</f>
        <v>7</v>
      </c>
      <c r="AO2" s="149">
        <f>SUM(AO4:AO52)</f>
        <v>18</v>
      </c>
      <c r="AP2" s="35">
        <f>U2-(AA2+AM2+AD2-AO2)</f>
        <v>-111.80027360406251</v>
      </c>
    </row>
    <row r="3" spans="1:44" s="7" customFormat="1" ht="50.1" customHeight="1" x14ac:dyDescent="0.25">
      <c r="A3" s="102" t="s">
        <v>9</v>
      </c>
      <c r="B3" s="102" t="s">
        <v>10</v>
      </c>
      <c r="C3" s="134" t="s">
        <v>10</v>
      </c>
      <c r="D3" s="16" t="s">
        <v>12</v>
      </c>
      <c r="E3" s="16" t="s">
        <v>13</v>
      </c>
      <c r="F3" s="16" t="s">
        <v>14</v>
      </c>
      <c r="G3" s="16" t="s">
        <v>457</v>
      </c>
      <c r="H3" s="16" t="s">
        <v>16</v>
      </c>
      <c r="I3" s="16" t="s">
        <v>17</v>
      </c>
      <c r="J3" s="25" t="s">
        <v>18</v>
      </c>
      <c r="K3" s="61" t="s">
        <v>248</v>
      </c>
      <c r="L3" s="14"/>
      <c r="M3" s="61"/>
      <c r="N3" s="146" t="s">
        <v>253</v>
      </c>
      <c r="O3" s="146" t="s">
        <v>347</v>
      </c>
      <c r="P3" s="61" t="s">
        <v>248</v>
      </c>
      <c r="Q3" s="27" t="s">
        <v>21</v>
      </c>
      <c r="R3" s="16" t="s">
        <v>22</v>
      </c>
      <c r="S3" s="16" t="s">
        <v>23</v>
      </c>
      <c r="T3" s="16" t="s">
        <v>24</v>
      </c>
      <c r="U3" s="93" t="s">
        <v>25</v>
      </c>
      <c r="W3" s="16" t="s">
        <v>21</v>
      </c>
      <c r="X3" s="16" t="s">
        <v>22</v>
      </c>
      <c r="Y3" s="16" t="s">
        <v>23</v>
      </c>
      <c r="Z3" s="16" t="s">
        <v>24</v>
      </c>
      <c r="AA3" s="93" t="s">
        <v>26</v>
      </c>
      <c r="AB3" s="36" t="s">
        <v>0</v>
      </c>
      <c r="AD3" s="153" t="s">
        <v>373</v>
      </c>
      <c r="AF3" s="153" t="s">
        <v>256</v>
      </c>
      <c r="AG3" s="153" t="s">
        <v>257</v>
      </c>
      <c r="AI3" s="82" t="s">
        <v>27</v>
      </c>
      <c r="AJ3" s="57" t="s">
        <v>28</v>
      </c>
      <c r="AK3" s="57" t="s">
        <v>29</v>
      </c>
      <c r="AL3" s="57" t="s">
        <v>30</v>
      </c>
      <c r="AM3" s="101" t="s">
        <v>31</v>
      </c>
      <c r="AN3" s="150" t="s">
        <v>254</v>
      </c>
      <c r="AO3" s="150" t="s">
        <v>255</v>
      </c>
      <c r="AP3" s="39" t="s">
        <v>32</v>
      </c>
      <c r="AQ3" s="111"/>
      <c r="AR3" s="143"/>
    </row>
    <row r="4" spans="1:44" x14ac:dyDescent="0.25">
      <c r="A4" t="s">
        <v>33</v>
      </c>
      <c r="B4" s="53" t="s">
        <v>34</v>
      </c>
      <c r="C4" s="10" t="s">
        <v>34</v>
      </c>
      <c r="D4" s="4" t="s">
        <v>35</v>
      </c>
      <c r="E4" s="106">
        <v>42097</v>
      </c>
      <c r="F4" s="106">
        <v>46112</v>
      </c>
      <c r="G4" s="13" t="s">
        <v>36</v>
      </c>
      <c r="H4" s="13" t="s">
        <v>37</v>
      </c>
      <c r="I4" s="13" t="s">
        <v>38</v>
      </c>
      <c r="J4" s="25">
        <f>IFERROR(VLOOKUP(C4,CPH!$A:$E,5,0),"")</f>
        <v>43500</v>
      </c>
      <c r="K4" s="33">
        <v>485.16597999999999</v>
      </c>
      <c r="L4" s="133"/>
      <c r="M4" s="26"/>
      <c r="N4" s="147">
        <v>2.6</v>
      </c>
      <c r="O4" s="147">
        <v>2.5</v>
      </c>
      <c r="P4" s="33">
        <f>IFERROR(N4*1.3,1.8)</f>
        <v>3.3800000000000003</v>
      </c>
      <c r="Q4" s="28">
        <f>IFERROR(K4/(P4*3),"")</f>
        <v>47.846743589743589</v>
      </c>
      <c r="R4" s="9">
        <f>IFERROR(Q4/8,"")</f>
        <v>5.9808429487179486</v>
      </c>
      <c r="S4" s="9">
        <f t="shared" ref="S4:S43" si="3">IFERROR(R4/8,"")</f>
        <v>0.74760536858974358</v>
      </c>
      <c r="T4" s="9">
        <f>IFERROR(S4/3,"")</f>
        <v>0.24920178952991454</v>
      </c>
      <c r="U4" s="94">
        <f>SUM(Q4:T4)</f>
        <v>54.824393696581197</v>
      </c>
      <c r="W4" s="34">
        <f>IFERROR(VLOOKUP($C4,'HC &amp; Open Position'!$D:$J,MATCH(W$3,'HC &amp; Open Position'!$D$3:$J$3,1),0),"")</f>
        <v>37</v>
      </c>
      <c r="X4" s="4">
        <f>IFERROR(VLOOKUP($C4,'HC &amp; Open Position'!$D:$J,MATCH(X$3,'HC &amp; Open Position'!$D$3:$J$3,1),0),"")</f>
        <v>22</v>
      </c>
      <c r="Y4" s="4">
        <f>IFERROR(VLOOKUP($C4,'HC &amp; Open Position'!$D:$J,MATCH(Y$3,'HC &amp; Open Position'!$D$3:$J$3,1),0),"")</f>
        <v>1</v>
      </c>
      <c r="Z4" s="4">
        <f>IFERROR(VLOOKUP($C4,'HC &amp; Open Position'!$D:$J,MATCH(Z$3,'HC &amp; Open Position'!$D$3:$J$3,1),0),"")</f>
        <v>0</v>
      </c>
      <c r="AA4" s="94">
        <f>SUM(W4:Z4)</f>
        <v>60</v>
      </c>
      <c r="AB4" s="35">
        <f>U4-AA4</f>
        <v>-5.1756063034188031</v>
      </c>
      <c r="AD4" s="152"/>
      <c r="AF4" s="152"/>
      <c r="AG4" s="152"/>
      <c r="AI4" s="34">
        <f>IFERROR(VLOOKUP($C4,'HC &amp; Open Position'!$D$3:$P$55,9,0),"")</f>
        <v>0</v>
      </c>
      <c r="AJ4" s="4">
        <f>IFERROR(VLOOKUP($C4,'HC &amp; Open Position'!$D$3:$P$55,10,0),"")</f>
        <v>0</v>
      </c>
      <c r="AK4" s="4">
        <f>IFERROR(VLOOKUP($C4,'HC &amp; Open Position'!$D$3:$P$55,11,0),"")</f>
        <v>0</v>
      </c>
      <c r="AL4" s="4">
        <f>IFERROR(VLOOKUP($C4,'HC &amp; Open Position'!$D$3:$P$55,12,0),"")</f>
        <v>0</v>
      </c>
      <c r="AM4" s="94">
        <f>SUM(AI4:AL4)</f>
        <v>0</v>
      </c>
      <c r="AN4" s="151"/>
      <c r="AO4" s="151">
        <v>2</v>
      </c>
      <c r="AP4" s="35">
        <f>U4-SUM(AA4+AM4+AD4-AO4)</f>
        <v>-3.1756063034188031</v>
      </c>
    </row>
    <row r="5" spans="1:44" x14ac:dyDescent="0.25">
      <c r="A5" t="s">
        <v>39</v>
      </c>
      <c r="B5" s="53" t="s">
        <v>40</v>
      </c>
      <c r="C5" s="10" t="s">
        <v>40</v>
      </c>
      <c r="D5" s="4" t="s">
        <v>41</v>
      </c>
      <c r="E5" s="106">
        <v>43286</v>
      </c>
      <c r="F5" s="106">
        <v>45504</v>
      </c>
      <c r="G5" s="13" t="s">
        <v>42</v>
      </c>
      <c r="H5" s="13" t="s">
        <v>43</v>
      </c>
      <c r="I5" s="13" t="s">
        <v>44</v>
      </c>
      <c r="J5" s="25">
        <f>IFERROR(VLOOKUP(C5,CPH!$A:$E,5,0),"")</f>
        <v>74000</v>
      </c>
      <c r="K5" s="33">
        <v>20.6</v>
      </c>
      <c r="L5" s="133"/>
      <c r="M5" s="26"/>
      <c r="N5" s="147">
        <v>1.5896957936507938</v>
      </c>
      <c r="O5" s="147">
        <v>1.1865638614260854</v>
      </c>
      <c r="P5" s="33">
        <f>IFERROR(N5*1.3,1.8)</f>
        <v>2.066604531746032</v>
      </c>
      <c r="Q5" s="28">
        <f>IFERROR(K5/(P5*3),"")</f>
        <v>3.3226805424960335</v>
      </c>
      <c r="R5" s="9">
        <f t="shared" ref="R5:R40" si="4">IFERROR(Q5/8,"")</f>
        <v>0.41533506781200419</v>
      </c>
      <c r="S5" s="9">
        <f t="shared" si="3"/>
        <v>5.1916883476500524E-2</v>
      </c>
      <c r="T5" s="9">
        <f t="shared" ref="T5:T40" si="5">IFERROR(S5/3,"")</f>
        <v>1.7305627825500176E-2</v>
      </c>
      <c r="U5" s="94">
        <f t="shared" ref="U5:U43" si="6">SUM(Q5:T5)</f>
        <v>3.8072381216100388</v>
      </c>
      <c r="W5" s="34">
        <f>IFERROR(VLOOKUP($C5,'HC &amp; Open Position'!$D:$J,MATCH(W$3,'HC &amp; Open Position'!$D$3:$J$3,1),0),"")</f>
        <v>4</v>
      </c>
      <c r="X5" s="4">
        <f>IFERROR(VLOOKUP($C5,'HC &amp; Open Position'!$D:$J,MATCH(X$3,'HC &amp; Open Position'!$D$3:$J$3,1),0),"")</f>
        <v>1</v>
      </c>
      <c r="Y5" s="4">
        <f>IFERROR(VLOOKUP($C5,'HC &amp; Open Position'!$D:$J,MATCH(Y$3,'HC &amp; Open Position'!$D$3:$J$3,1),0),"")</f>
        <v>0</v>
      </c>
      <c r="Z5" s="4">
        <f>IFERROR(VLOOKUP($C5,'HC &amp; Open Position'!$D:$J,MATCH(Z$3,'HC &amp; Open Position'!$D$3:$J$3,1),0),"")</f>
        <v>0</v>
      </c>
      <c r="AA5" s="94">
        <f t="shared" ref="AA5:AA43" si="7">SUM(W5:Z5)</f>
        <v>5</v>
      </c>
      <c r="AB5" s="35">
        <f t="shared" ref="AB5:AB45" si="8">U5-AA5</f>
        <v>-1.1927618783899612</v>
      </c>
      <c r="AD5" s="152"/>
      <c r="AF5" s="152"/>
      <c r="AG5" s="152">
        <v>1</v>
      </c>
      <c r="AI5" s="34">
        <f>IFERROR(VLOOKUP($C5,'HC &amp; Open Position'!$D$3:$P$55,9,0),"")</f>
        <v>0</v>
      </c>
      <c r="AJ5" s="4">
        <f>IFERROR(VLOOKUP($C5,'HC &amp; Open Position'!$D$3:$P$55,10,0),"")</f>
        <v>1</v>
      </c>
      <c r="AK5" s="4">
        <f>IFERROR(VLOOKUP($C5,'HC &amp; Open Position'!$D$3:$P$55,11,0),"")</f>
        <v>0</v>
      </c>
      <c r="AL5" s="4">
        <f>IFERROR(VLOOKUP($C5,'HC &amp; Open Position'!$D$3:$P$55,12,0),"")</f>
        <v>0</v>
      </c>
      <c r="AM5" s="94">
        <f t="shared" ref="AM5:AM43" si="9">SUM(AI5:AL5)</f>
        <v>1</v>
      </c>
      <c r="AN5" s="151"/>
      <c r="AO5" s="151"/>
      <c r="AP5" s="35">
        <f t="shared" ref="AP5:AP53" si="10">U5-SUM(AA5+AM5+AD5-AO5)</f>
        <v>-2.1927618783899612</v>
      </c>
      <c r="AR5" t="s">
        <v>452</v>
      </c>
    </row>
    <row r="6" spans="1:44" x14ac:dyDescent="0.25">
      <c r="A6" t="s">
        <v>54</v>
      </c>
      <c r="B6" s="53" t="s">
        <v>55</v>
      </c>
      <c r="C6" s="10" t="s">
        <v>56</v>
      </c>
      <c r="D6" s="4" t="s">
        <v>41</v>
      </c>
      <c r="E6" s="106">
        <v>44866</v>
      </c>
      <c r="F6" s="106">
        <v>45322</v>
      </c>
      <c r="G6" s="13" t="s">
        <v>42</v>
      </c>
      <c r="H6" s="13" t="s">
        <v>57</v>
      </c>
      <c r="I6" s="13" t="s">
        <v>58</v>
      </c>
      <c r="J6" s="25">
        <f>IFERROR(VLOOKUP(C6,CPH!$A:$E,5,0),"")</f>
        <v>83000</v>
      </c>
      <c r="K6" s="33">
        <v>47</v>
      </c>
      <c r="L6" s="133"/>
      <c r="M6" s="26"/>
      <c r="N6" s="147">
        <v>1.8</v>
      </c>
      <c r="O6" s="147">
        <v>1.257450127377294</v>
      </c>
      <c r="P6" s="33">
        <v>1.8</v>
      </c>
      <c r="Q6" s="28">
        <f t="shared" ref="Q6:Q45" si="11">IFERROR(K6/(P6*3),"")</f>
        <v>8.7037037037037024</v>
      </c>
      <c r="R6" s="9">
        <f t="shared" si="4"/>
        <v>1.0879629629629628</v>
      </c>
      <c r="S6" s="9">
        <f t="shared" si="3"/>
        <v>0.13599537037037035</v>
      </c>
      <c r="T6" s="9">
        <f t="shared" si="5"/>
        <v>4.5331790123456783E-2</v>
      </c>
      <c r="U6" s="94">
        <f t="shared" si="6"/>
        <v>9.9729938271604919</v>
      </c>
      <c r="W6" s="34">
        <f>IFERROR(VLOOKUP($C6,'HC &amp; Open Position'!$D:$J,MATCH(W$3,'HC &amp; Open Position'!$D$3:$J$3,1),0),"")</f>
        <v>11</v>
      </c>
      <c r="X6" s="4">
        <f>IFERROR(VLOOKUP($C6,'HC &amp; Open Position'!$D:$J,MATCH(X$3,'HC &amp; Open Position'!$D$3:$J$3,1),0),"")</f>
        <v>4</v>
      </c>
      <c r="Y6" s="4">
        <f>IFERROR(VLOOKUP($C6,'HC &amp; Open Position'!$D:$J,MATCH(Y$3,'HC &amp; Open Position'!$D$3:$J$3,1),0),"")</f>
        <v>1</v>
      </c>
      <c r="Z6" s="4">
        <f>IFERROR(VLOOKUP($C6,'HC &amp; Open Position'!$D:$J,MATCH(Z$3,'HC &amp; Open Position'!$D$3:$J$3,1),0),"")</f>
        <v>0</v>
      </c>
      <c r="AA6" s="94">
        <f t="shared" si="7"/>
        <v>16</v>
      </c>
      <c r="AB6" s="35">
        <f t="shared" si="8"/>
        <v>-6.0270061728395081</v>
      </c>
      <c r="AD6" s="152"/>
      <c r="AF6" s="152"/>
      <c r="AG6" s="152"/>
      <c r="AI6" s="34">
        <f>IFERROR(VLOOKUP($C6,'HC &amp; Open Position'!$D$3:$P$55,9,0),"")</f>
        <v>0</v>
      </c>
      <c r="AJ6" s="4">
        <f>IFERROR(VLOOKUP($C6,'HC &amp; Open Position'!$D$3:$P$55,10,0),"")</f>
        <v>0</v>
      </c>
      <c r="AK6" s="4">
        <f>IFERROR(VLOOKUP($C6,'HC &amp; Open Position'!$D$3:$P$55,11,0),"")</f>
        <v>0</v>
      </c>
      <c r="AL6" s="4">
        <f>IFERROR(VLOOKUP($C6,'HC &amp; Open Position'!$D$3:$P$55,12,0),"")</f>
        <v>0</v>
      </c>
      <c r="AM6" s="94">
        <f t="shared" si="9"/>
        <v>0</v>
      </c>
      <c r="AN6" s="151"/>
      <c r="AO6" s="151">
        <v>1</v>
      </c>
      <c r="AP6" s="35">
        <f t="shared" si="10"/>
        <v>-5.0270061728395081</v>
      </c>
      <c r="AQ6" s="3" t="s">
        <v>455</v>
      </c>
      <c r="AR6" t="s">
        <v>453</v>
      </c>
    </row>
    <row r="7" spans="1:44" x14ac:dyDescent="0.25">
      <c r="A7" t="s">
        <v>59</v>
      </c>
      <c r="B7" s="53" t="s">
        <v>60</v>
      </c>
      <c r="C7" s="10" t="s">
        <v>60</v>
      </c>
      <c r="D7" s="4" t="s">
        <v>35</v>
      </c>
      <c r="E7" s="106">
        <v>44287</v>
      </c>
      <c r="F7" s="106">
        <v>45350</v>
      </c>
      <c r="G7" s="13" t="s">
        <v>36</v>
      </c>
      <c r="H7" s="13" t="s">
        <v>36</v>
      </c>
      <c r="I7" s="13" t="s">
        <v>38</v>
      </c>
      <c r="J7" s="25">
        <f>IFERROR(VLOOKUP(C7,CPH!$A:$E,5,0),"")</f>
        <v>32000</v>
      </c>
      <c r="K7" s="33">
        <v>77.099999999999994</v>
      </c>
      <c r="L7" s="133"/>
      <c r="M7" s="26"/>
      <c r="N7" s="147">
        <v>1.7</v>
      </c>
      <c r="O7" s="147">
        <v>1.75</v>
      </c>
      <c r="P7" s="33">
        <f>IFERROR(N7*1.3,1.8)</f>
        <v>2.21</v>
      </c>
      <c r="Q7" s="28">
        <f t="shared" si="11"/>
        <v>11.628959276018099</v>
      </c>
      <c r="R7" s="9">
        <f t="shared" si="4"/>
        <v>1.4536199095022624</v>
      </c>
      <c r="S7" s="9">
        <f t="shared" si="3"/>
        <v>0.1817024886877828</v>
      </c>
      <c r="T7" s="9">
        <f t="shared" si="5"/>
        <v>6.0567496229260935E-2</v>
      </c>
      <c r="U7" s="94">
        <f t="shared" si="6"/>
        <v>13.324849170437405</v>
      </c>
      <c r="W7" s="34">
        <f>IFERROR(VLOOKUP($C7,'HC &amp; Open Position'!$D:$J,MATCH(W$3,'HC &amp; Open Position'!$D$3:$J$3,1),0),"")</f>
        <v>12</v>
      </c>
      <c r="X7" s="4">
        <f>IFERROR(VLOOKUP($C7,'HC &amp; Open Position'!$D:$J,MATCH(X$3,'HC &amp; Open Position'!$D$3:$J$3,1),0),"")</f>
        <v>2</v>
      </c>
      <c r="Y7" s="4">
        <f>IFERROR(VLOOKUP($C7,'HC &amp; Open Position'!$D:$J,MATCH(Y$3,'HC &amp; Open Position'!$D$3:$J$3,1),0),"")</f>
        <v>0</v>
      </c>
      <c r="Z7" s="4">
        <f>IFERROR(VLOOKUP($C7,'HC &amp; Open Position'!$D:$J,MATCH(Z$3,'HC &amp; Open Position'!$D$3:$J$3,1),0),"")</f>
        <v>0</v>
      </c>
      <c r="AA7" s="94">
        <f t="shared" si="7"/>
        <v>14</v>
      </c>
      <c r="AB7" s="35">
        <f t="shared" si="8"/>
        <v>-0.67515082956259498</v>
      </c>
      <c r="AD7" s="152">
        <v>2</v>
      </c>
      <c r="AF7" s="152"/>
      <c r="AG7" s="152"/>
      <c r="AI7" s="34">
        <f>IFERROR(VLOOKUP($C7,'HC &amp; Open Position'!$D$3:$P$55,9,0),"")</f>
        <v>0</v>
      </c>
      <c r="AJ7" s="4">
        <f>IFERROR(VLOOKUP($C7,'HC &amp; Open Position'!$D$3:$P$55,10,0),"")</f>
        <v>0</v>
      </c>
      <c r="AK7" s="4">
        <f>IFERROR(VLOOKUP($C7,'HC &amp; Open Position'!$D$3:$P$55,11,0),"")</f>
        <v>0</v>
      </c>
      <c r="AL7" s="4">
        <f>IFERROR(VLOOKUP($C7,'HC &amp; Open Position'!$D$3:$P$55,12,0),"")</f>
        <v>0</v>
      </c>
      <c r="AM7" s="94">
        <f t="shared" si="9"/>
        <v>0</v>
      </c>
      <c r="AN7" s="151"/>
      <c r="AO7" s="151"/>
      <c r="AP7" s="35">
        <f t="shared" si="10"/>
        <v>-2.675150829562595</v>
      </c>
      <c r="AQ7" s="3" t="s">
        <v>455</v>
      </c>
      <c r="AR7" t="s">
        <v>1</v>
      </c>
    </row>
    <row r="8" spans="1:44" x14ac:dyDescent="0.25">
      <c r="B8" s="53" t="s">
        <v>61</v>
      </c>
      <c r="C8" s="10" t="s">
        <v>61</v>
      </c>
      <c r="D8" s="4"/>
      <c r="E8" s="106"/>
      <c r="F8" s="106"/>
      <c r="G8" s="13" t="s">
        <v>36</v>
      </c>
      <c r="H8" s="13" t="s">
        <v>36</v>
      </c>
      <c r="I8" s="13" t="s">
        <v>38</v>
      </c>
      <c r="J8" s="25"/>
      <c r="K8" s="33">
        <v>9.4499999999999993</v>
      </c>
      <c r="L8" s="133"/>
      <c r="M8" s="26"/>
      <c r="N8" s="147">
        <v>1.7</v>
      </c>
      <c r="O8" s="147">
        <v>0.6</v>
      </c>
      <c r="P8" s="33">
        <f>IFERROR(N8*1.3,1.8)</f>
        <v>2.21</v>
      </c>
      <c r="Q8" s="28">
        <f t="shared" si="11"/>
        <v>1.4253393665158369</v>
      </c>
      <c r="R8" s="9">
        <f t="shared" si="4"/>
        <v>0.17816742081447962</v>
      </c>
      <c r="S8" s="9">
        <f t="shared" si="3"/>
        <v>2.2270927601809952E-2</v>
      </c>
      <c r="T8" s="9">
        <f t="shared" si="5"/>
        <v>7.4236425339366504E-3</v>
      </c>
      <c r="U8" s="94">
        <f t="shared" si="6"/>
        <v>1.6332013574660633</v>
      </c>
      <c r="W8" s="34">
        <f>IFERROR(VLOOKUP($C8,'HC &amp; Open Position'!$D:$J,MATCH(W$3,'HC &amp; Open Position'!$D$3:$J$3,1),0),"")</f>
        <v>4</v>
      </c>
      <c r="X8" s="4">
        <f>IFERROR(VLOOKUP($C8,'HC &amp; Open Position'!$D:$J,MATCH(X$3,'HC &amp; Open Position'!$D$3:$J$3,1),0),"")</f>
        <v>2</v>
      </c>
      <c r="Y8" s="4">
        <f>IFERROR(VLOOKUP($C8,'HC &amp; Open Position'!$D:$J,MATCH(Y$3,'HC &amp; Open Position'!$D$3:$J$3,1),0),"")</f>
        <v>0</v>
      </c>
      <c r="Z8" s="4">
        <f>IFERROR(VLOOKUP($C8,'HC &amp; Open Position'!$D:$J,MATCH(Z$3,'HC &amp; Open Position'!$D$3:$J$3,1),0),"")</f>
        <v>0</v>
      </c>
      <c r="AA8" s="94">
        <f t="shared" si="7"/>
        <v>6</v>
      </c>
      <c r="AB8" s="35">
        <f t="shared" si="8"/>
        <v>-4.3667986425339365</v>
      </c>
      <c r="AD8" s="152"/>
      <c r="AF8" s="152"/>
      <c r="AG8" s="152"/>
      <c r="AI8" s="34">
        <f>IFERROR(VLOOKUP($C8,'HC &amp; Open Position'!$D$3:$P$55,9,0),"")</f>
        <v>0</v>
      </c>
      <c r="AJ8" s="4">
        <f>IFERROR(VLOOKUP($C8,'HC &amp; Open Position'!$D$3:$P$55,10,0),"")</f>
        <v>0</v>
      </c>
      <c r="AK8" s="4">
        <f>IFERROR(VLOOKUP($C8,'HC &amp; Open Position'!$D$3:$P$55,11,0),"")</f>
        <v>0</v>
      </c>
      <c r="AL8" s="4">
        <f>IFERROR(VLOOKUP($C8,'HC &amp; Open Position'!$D$3:$P$55,12,0),"")</f>
        <v>0</v>
      </c>
      <c r="AM8" s="94">
        <f t="shared" si="9"/>
        <v>0</v>
      </c>
      <c r="AN8" s="151"/>
      <c r="AO8" s="151"/>
      <c r="AP8" s="35">
        <f t="shared" si="10"/>
        <v>-4.3667986425339365</v>
      </c>
      <c r="AQ8" s="3" t="s">
        <v>455</v>
      </c>
      <c r="AR8" t="s">
        <v>454</v>
      </c>
    </row>
    <row r="9" spans="1:44" x14ac:dyDescent="0.25">
      <c r="A9" t="s">
        <v>65</v>
      </c>
      <c r="B9" s="53" t="s">
        <v>66</v>
      </c>
      <c r="C9" s="10" t="s">
        <v>66</v>
      </c>
      <c r="D9" s="4" t="s">
        <v>52</v>
      </c>
      <c r="E9" s="106">
        <v>44978</v>
      </c>
      <c r="F9" s="106">
        <v>46073</v>
      </c>
      <c r="G9" s="13" t="s">
        <v>42</v>
      </c>
      <c r="H9" s="13" t="s">
        <v>43</v>
      </c>
      <c r="I9" s="13" t="s">
        <v>44</v>
      </c>
      <c r="J9" s="25">
        <f>IFERROR(VLOOKUP(C9,CPH!$A:$E,5,0),"")</f>
        <v>21000</v>
      </c>
      <c r="K9" s="33">
        <v>17.54</v>
      </c>
      <c r="L9" s="133"/>
      <c r="M9" s="26"/>
      <c r="N9" s="147">
        <v>0.9</v>
      </c>
      <c r="O9" s="147">
        <v>1.1922184428620537</v>
      </c>
      <c r="P9" s="33">
        <v>1.5</v>
      </c>
      <c r="Q9" s="28">
        <f t="shared" si="11"/>
        <v>3.8977777777777778</v>
      </c>
      <c r="R9" s="9">
        <f t="shared" si="4"/>
        <v>0.48722222222222222</v>
      </c>
      <c r="S9" s="9">
        <f t="shared" si="3"/>
        <v>6.0902777777777778E-2</v>
      </c>
      <c r="T9" s="9">
        <f t="shared" si="5"/>
        <v>2.0300925925925927E-2</v>
      </c>
      <c r="U9" s="94">
        <f t="shared" si="6"/>
        <v>4.4662037037037035</v>
      </c>
      <c r="W9" s="34">
        <f>IFERROR(VLOOKUP($C9,'HC &amp; Open Position'!$D:$J,MATCH(W$3,'HC &amp; Open Position'!$D$3:$J$3,1),0),"")</f>
        <v>9</v>
      </c>
      <c r="X9" s="4">
        <f>IFERROR(VLOOKUP($C9,'HC &amp; Open Position'!$D:$J,MATCH(X$3,'HC &amp; Open Position'!$D$3:$J$3,1),0),"")</f>
        <v>0</v>
      </c>
      <c r="Y9" s="4">
        <f>IFERROR(VLOOKUP($C9,'HC &amp; Open Position'!$D:$J,MATCH(Y$3,'HC &amp; Open Position'!$D$3:$J$3,1),0),"")</f>
        <v>1</v>
      </c>
      <c r="Z9" s="4">
        <f>IFERROR(VLOOKUP($C9,'HC &amp; Open Position'!$D:$J,MATCH(Z$3,'HC &amp; Open Position'!$D$3:$J$3,1),0),"")</f>
        <v>0</v>
      </c>
      <c r="AA9" s="94">
        <f t="shared" si="7"/>
        <v>10</v>
      </c>
      <c r="AB9" s="35">
        <f t="shared" si="8"/>
        <v>-5.5337962962962965</v>
      </c>
      <c r="AD9" s="152"/>
      <c r="AF9" s="152">
        <v>1</v>
      </c>
      <c r="AG9" s="152">
        <v>2</v>
      </c>
      <c r="AI9" s="34">
        <f>IFERROR(VLOOKUP($C9,'HC &amp; Open Position'!$D$3:$P$55,9,0),"")</f>
        <v>3</v>
      </c>
      <c r="AJ9" s="4">
        <f>IFERROR(VLOOKUP($C9,'HC &amp; Open Position'!$D$3:$P$55,10,0),"")</f>
        <v>0</v>
      </c>
      <c r="AK9" s="4">
        <f>IFERROR(VLOOKUP($C9,'HC &amp; Open Position'!$D$3:$P$55,11,0),"")</f>
        <v>0</v>
      </c>
      <c r="AL9" s="4">
        <f>IFERROR(VLOOKUP($C9,'HC &amp; Open Position'!$D$3:$P$55,12,0),"")</f>
        <v>0</v>
      </c>
      <c r="AM9" s="94">
        <f t="shared" si="9"/>
        <v>3</v>
      </c>
      <c r="AN9" s="151">
        <v>1</v>
      </c>
      <c r="AO9" s="151"/>
      <c r="AP9" s="35">
        <f t="shared" si="10"/>
        <v>-8.5337962962962965</v>
      </c>
      <c r="AQ9" s="3" t="s">
        <v>79</v>
      </c>
      <c r="AR9" t="s">
        <v>456</v>
      </c>
    </row>
    <row r="10" spans="1:44" x14ac:dyDescent="0.25">
      <c r="A10" t="s">
        <v>67</v>
      </c>
      <c r="B10" s="53" t="s">
        <v>68</v>
      </c>
      <c r="C10" s="10" t="s">
        <v>68</v>
      </c>
      <c r="D10" s="4" t="s">
        <v>69</v>
      </c>
      <c r="E10" s="106">
        <v>44405</v>
      </c>
      <c r="F10" s="106">
        <v>45818</v>
      </c>
      <c r="G10" s="13" t="s">
        <v>42</v>
      </c>
      <c r="H10" s="13" t="s">
        <v>49</v>
      </c>
      <c r="I10" s="13" t="s">
        <v>44</v>
      </c>
      <c r="J10" s="25">
        <f>IFERROR(VLOOKUP(C10,CPH!$A:$E,5,0),"")</f>
        <v>60000</v>
      </c>
      <c r="K10" s="33">
        <v>17.8</v>
      </c>
      <c r="L10" s="133"/>
      <c r="M10" s="26"/>
      <c r="N10" s="147">
        <v>1.1000000000000001</v>
      </c>
      <c r="O10" s="147">
        <v>2.66</v>
      </c>
      <c r="P10" s="33">
        <v>2.8</v>
      </c>
      <c r="Q10" s="28">
        <f t="shared" si="11"/>
        <v>2.1190476190476195</v>
      </c>
      <c r="R10" s="9">
        <f t="shared" si="4"/>
        <v>0.26488095238095244</v>
      </c>
      <c r="S10" s="9">
        <f t="shared" si="3"/>
        <v>3.3110119047619055E-2</v>
      </c>
      <c r="T10" s="9">
        <f t="shared" si="5"/>
        <v>1.1036706349206352E-2</v>
      </c>
      <c r="U10" s="94">
        <f t="shared" si="6"/>
        <v>2.4280753968253976</v>
      </c>
      <c r="W10" s="34">
        <f>IFERROR(VLOOKUP($C10,'HC &amp; Open Position'!$D:$J,MATCH(W$3,'HC &amp; Open Position'!$D$3:$J$3,1),0),"")</f>
        <v>2</v>
      </c>
      <c r="X10" s="4">
        <f>IFERROR(VLOOKUP($C10,'HC &amp; Open Position'!$D:$J,MATCH(X$3,'HC &amp; Open Position'!$D$3:$J$3,1),0),"")</f>
        <v>1</v>
      </c>
      <c r="Y10" s="4">
        <f>IFERROR(VLOOKUP($C10,'HC &amp; Open Position'!$D:$J,MATCH(Y$3,'HC &amp; Open Position'!$D$3:$J$3,1),0),"")</f>
        <v>0</v>
      </c>
      <c r="Z10" s="4">
        <f>IFERROR(VLOOKUP($C10,'HC &amp; Open Position'!$D:$J,MATCH(Z$3,'HC &amp; Open Position'!$D$3:$J$3,1),0),"")</f>
        <v>0</v>
      </c>
      <c r="AA10" s="94">
        <f t="shared" si="7"/>
        <v>3</v>
      </c>
      <c r="AB10" s="35">
        <f t="shared" si="8"/>
        <v>-0.57192460317460236</v>
      </c>
      <c r="AD10" s="152"/>
      <c r="AF10" s="152"/>
      <c r="AG10" s="152"/>
      <c r="AI10" s="34">
        <f>IFERROR(VLOOKUP($C10,'HC &amp; Open Position'!$D$3:$P$55,9,0),"")</f>
        <v>0</v>
      </c>
      <c r="AJ10" s="4">
        <f>IFERROR(VLOOKUP($C10,'HC &amp; Open Position'!$D$3:$P$55,10,0),"")</f>
        <v>0</v>
      </c>
      <c r="AK10" s="4">
        <f>IFERROR(VLOOKUP($C10,'HC &amp; Open Position'!$D$3:$P$55,11,0),"")</f>
        <v>0</v>
      </c>
      <c r="AL10" s="4">
        <f>IFERROR(VLOOKUP($C10,'HC &amp; Open Position'!$D$3:$P$55,12,0),"")</f>
        <v>0</v>
      </c>
      <c r="AM10" s="94">
        <f t="shared" si="9"/>
        <v>0</v>
      </c>
      <c r="AN10" s="151"/>
      <c r="AO10" s="151"/>
      <c r="AP10" s="35">
        <f t="shared" si="10"/>
        <v>-0.57192460317460236</v>
      </c>
    </row>
    <row r="11" spans="1:44" x14ac:dyDescent="0.25">
      <c r="A11" t="s">
        <v>70</v>
      </c>
      <c r="B11" s="53" t="s">
        <v>71</v>
      </c>
      <c r="C11" s="10" t="s">
        <v>71</v>
      </c>
      <c r="D11" s="4" t="s">
        <v>52</v>
      </c>
      <c r="E11" s="106">
        <v>44574</v>
      </c>
      <c r="F11" s="106">
        <v>45303</v>
      </c>
      <c r="G11" s="13" t="s">
        <v>42</v>
      </c>
      <c r="H11" s="13" t="s">
        <v>72</v>
      </c>
      <c r="I11" s="13" t="s">
        <v>44</v>
      </c>
      <c r="J11" s="25">
        <f>IFERROR(VLOOKUP(C11,CPH!$A:$E,5,0),"")</f>
        <v>26600</v>
      </c>
      <c r="K11" s="33">
        <v>40.64</v>
      </c>
      <c r="L11" s="133"/>
      <c r="M11" s="26"/>
      <c r="N11" s="147">
        <v>1.333035165847666</v>
      </c>
      <c r="O11" s="147">
        <v>1.2710224296674346</v>
      </c>
      <c r="P11" s="33">
        <f>IFERROR(N11*1.3,1.8)</f>
        <v>1.7329457156019659</v>
      </c>
      <c r="Q11" s="28">
        <f t="shared" si="11"/>
        <v>7.8171327264922548</v>
      </c>
      <c r="R11" s="9">
        <f t="shared" si="4"/>
        <v>0.97714159081153185</v>
      </c>
      <c r="S11" s="9">
        <f t="shared" si="3"/>
        <v>0.12214269885144148</v>
      </c>
      <c r="T11" s="9">
        <f t="shared" si="5"/>
        <v>4.0714232950480496E-2</v>
      </c>
      <c r="U11" s="94">
        <f t="shared" si="6"/>
        <v>8.9571312491057071</v>
      </c>
      <c r="W11" s="34">
        <f>IFERROR(VLOOKUP($C11,'HC &amp; Open Position'!$D:$J,MATCH(W$3,'HC &amp; Open Position'!$D$3:$J$3,1),0),"")</f>
        <v>10</v>
      </c>
      <c r="X11" s="4">
        <f>IFERROR(VLOOKUP($C11,'HC &amp; Open Position'!$D:$J,MATCH(X$3,'HC &amp; Open Position'!$D$3:$J$3,1),0),"")</f>
        <v>1</v>
      </c>
      <c r="Y11" s="4">
        <f>IFERROR(VLOOKUP($C11,'HC &amp; Open Position'!$D:$J,MATCH(Y$3,'HC &amp; Open Position'!$D$3:$J$3,1),0),"")</f>
        <v>0</v>
      </c>
      <c r="Z11" s="4">
        <f>IFERROR(VLOOKUP($C11,'HC &amp; Open Position'!$D:$J,MATCH(Z$3,'HC &amp; Open Position'!$D$3:$J$3,1),0),"")</f>
        <v>0</v>
      </c>
      <c r="AA11" s="94">
        <f t="shared" si="7"/>
        <v>11</v>
      </c>
      <c r="AB11" s="35">
        <f t="shared" si="8"/>
        <v>-2.0428687508942929</v>
      </c>
      <c r="AD11" s="152">
        <v>1</v>
      </c>
      <c r="AF11" s="152"/>
      <c r="AG11" s="152">
        <v>2</v>
      </c>
      <c r="AI11" s="34">
        <f>IFERROR(VLOOKUP($C11,'HC &amp; Open Position'!$D$3:$P$55,9,0),"")</f>
        <v>2</v>
      </c>
      <c r="AJ11" s="4">
        <f>IFERROR(VLOOKUP($C11,'HC &amp; Open Position'!$D$3:$P$55,10,0),"")</f>
        <v>0</v>
      </c>
      <c r="AK11" s="4">
        <f>IFERROR(VLOOKUP($C11,'HC &amp; Open Position'!$D$3:$P$55,11,0),"")</f>
        <v>0</v>
      </c>
      <c r="AL11" s="4">
        <f>IFERROR(VLOOKUP($C11,'HC &amp; Open Position'!$D$3:$P$55,12,0),"")</f>
        <v>0</v>
      </c>
      <c r="AM11" s="94">
        <f t="shared" si="9"/>
        <v>2</v>
      </c>
      <c r="AN11" s="151"/>
      <c r="AO11" s="151">
        <v>2</v>
      </c>
      <c r="AP11" s="35">
        <f t="shared" si="10"/>
        <v>-3.0428687508942929</v>
      </c>
    </row>
    <row r="12" spans="1:44" x14ac:dyDescent="0.25">
      <c r="A12" t="s">
        <v>73</v>
      </c>
      <c r="B12" s="53" t="s">
        <v>74</v>
      </c>
      <c r="C12" s="10" t="s">
        <v>74</v>
      </c>
      <c r="D12" s="4" t="s">
        <v>75</v>
      </c>
      <c r="E12" s="106">
        <v>44593</v>
      </c>
      <c r="F12" s="106">
        <v>45688</v>
      </c>
      <c r="G12" s="13" t="s">
        <v>42</v>
      </c>
      <c r="H12" s="13" t="s">
        <v>43</v>
      </c>
      <c r="I12" s="13" t="s">
        <v>58</v>
      </c>
      <c r="J12" s="25">
        <f>IFERROR(VLOOKUP(C12,CPH!$A:$E,5,0),"")</f>
        <v>45000</v>
      </c>
      <c r="K12" s="33">
        <v>-2.25</v>
      </c>
      <c r="L12" s="133"/>
      <c r="M12" s="26"/>
      <c r="N12" s="147">
        <v>1.9763085585585585</v>
      </c>
      <c r="O12" s="147">
        <v>0.54495356913985904</v>
      </c>
      <c r="P12" s="33">
        <f>IFERROR(N12*1.3,1.8)</f>
        <v>2.5692011261261261</v>
      </c>
      <c r="Q12" s="28">
        <f t="shared" si="11"/>
        <v>-0.29191953575501484</v>
      </c>
      <c r="R12" s="9">
        <f t="shared" si="4"/>
        <v>-3.6489941969376855E-2</v>
      </c>
      <c r="S12" s="9">
        <f t="shared" si="3"/>
        <v>-4.5612427461721068E-3</v>
      </c>
      <c r="T12" s="9">
        <f t="shared" si="5"/>
        <v>-1.5204142487240356E-3</v>
      </c>
      <c r="U12" s="94">
        <f t="shared" si="6"/>
        <v>-0.33449113471928776</v>
      </c>
      <c r="W12" s="34">
        <f>IFERROR(VLOOKUP($C12,'HC &amp; Open Position'!$D:$J,MATCH(W$3,'HC &amp; Open Position'!$D$3:$J$3,1),0),"")</f>
        <v>1</v>
      </c>
      <c r="X12" s="4">
        <f>IFERROR(VLOOKUP($C12,'HC &amp; Open Position'!$D:$J,MATCH(X$3,'HC &amp; Open Position'!$D$3:$J$3,1),0),"")</f>
        <v>0</v>
      </c>
      <c r="Y12" s="4">
        <f>IFERROR(VLOOKUP($C12,'HC &amp; Open Position'!$D:$J,MATCH(Y$3,'HC &amp; Open Position'!$D$3:$J$3,1),0),"")</f>
        <v>0</v>
      </c>
      <c r="Z12" s="4">
        <f>IFERROR(VLOOKUP($C12,'HC &amp; Open Position'!$D:$J,MATCH(Z$3,'HC &amp; Open Position'!$D$3:$J$3,1),0),"")</f>
        <v>0</v>
      </c>
      <c r="AA12" s="94">
        <f t="shared" si="7"/>
        <v>1</v>
      </c>
      <c r="AB12" s="35">
        <f t="shared" si="8"/>
        <v>-1.3344911347192878</v>
      </c>
      <c r="AD12" s="152"/>
      <c r="AF12" s="152"/>
      <c r="AG12" s="152"/>
      <c r="AI12" s="34">
        <f>IFERROR(VLOOKUP($C12,'HC &amp; Open Position'!$D$3:$P$55,9,0),"")</f>
        <v>0</v>
      </c>
      <c r="AJ12" s="4">
        <f>IFERROR(VLOOKUP($C12,'HC &amp; Open Position'!$D$3:$P$55,10,0),"")</f>
        <v>0</v>
      </c>
      <c r="AK12" s="4">
        <f>IFERROR(VLOOKUP($C12,'HC &amp; Open Position'!$D$3:$P$55,11,0),"")</f>
        <v>0</v>
      </c>
      <c r="AL12" s="4">
        <f>IFERROR(VLOOKUP($C12,'HC &amp; Open Position'!$D$3:$P$55,12,0),"")</f>
        <v>0</v>
      </c>
      <c r="AM12" s="94">
        <f t="shared" si="9"/>
        <v>0</v>
      </c>
      <c r="AN12" s="151"/>
      <c r="AO12" s="151"/>
      <c r="AP12" s="35">
        <f t="shared" si="10"/>
        <v>-1.3344911347192878</v>
      </c>
    </row>
    <row r="13" spans="1:44" x14ac:dyDescent="0.25">
      <c r="A13" t="s">
        <v>76</v>
      </c>
      <c r="B13" s="53" t="s">
        <v>77</v>
      </c>
      <c r="C13" s="10" t="s">
        <v>78</v>
      </c>
      <c r="D13" s="4" t="s">
        <v>75</v>
      </c>
      <c r="E13" s="106">
        <v>44635</v>
      </c>
      <c r="F13" s="106" t="s">
        <v>79</v>
      </c>
      <c r="G13" s="13" t="s">
        <v>80</v>
      </c>
      <c r="H13" s="13" t="s">
        <v>80</v>
      </c>
      <c r="I13" s="13" t="s">
        <v>38</v>
      </c>
      <c r="J13" s="25">
        <f>IFERROR(VLOOKUP(C13,CPH!$A:$E,5,0),"")</f>
        <v>54000</v>
      </c>
      <c r="K13" s="33">
        <v>430</v>
      </c>
      <c r="L13" s="133"/>
      <c r="M13" s="26"/>
      <c r="N13" s="147">
        <v>2.1443547029562109</v>
      </c>
      <c r="O13" s="147">
        <v>1.5963807135099548</v>
      </c>
      <c r="P13" s="33">
        <f>IFERROR(N13*1.3,1.8)</f>
        <v>2.7876611138430745</v>
      </c>
      <c r="Q13" s="28">
        <f t="shared" si="11"/>
        <v>51.417058056864654</v>
      </c>
      <c r="R13" s="9">
        <f t="shared" si="4"/>
        <v>6.4271322571080818</v>
      </c>
      <c r="S13" s="9">
        <f t="shared" si="3"/>
        <v>0.80339153213851022</v>
      </c>
      <c r="T13" s="9">
        <f t="shared" si="5"/>
        <v>0.26779717737950343</v>
      </c>
      <c r="U13" s="94">
        <f t="shared" si="6"/>
        <v>58.915379023490758</v>
      </c>
      <c r="W13" s="34">
        <f>IFERROR(VLOOKUP($C13,'HC &amp; Open Position'!$D:$J,MATCH(W$3,'HC &amp; Open Position'!$D$3:$J$3,1),0),"")</f>
        <v>33</v>
      </c>
      <c r="X13" s="4">
        <f>IFERROR(VLOOKUP($C13,'HC &amp; Open Position'!$D:$J,MATCH(X$3,'HC &amp; Open Position'!$D$3:$J$3,1),0),"")</f>
        <v>13</v>
      </c>
      <c r="Y13" s="4">
        <f>IFERROR(VLOOKUP($C13,'HC &amp; Open Position'!$D:$J,MATCH(Y$3,'HC &amp; Open Position'!$D$3:$J$3,1),0),"")</f>
        <v>2</v>
      </c>
      <c r="Z13" s="4">
        <f>IFERROR(VLOOKUP($C13,'HC &amp; Open Position'!$D:$J,MATCH(Z$3,'HC &amp; Open Position'!$D$3:$J$3,1),0),"")</f>
        <v>0</v>
      </c>
      <c r="AA13" s="94">
        <f t="shared" si="7"/>
        <v>48</v>
      </c>
      <c r="AB13" s="35">
        <f t="shared" si="8"/>
        <v>10.915379023490758</v>
      </c>
      <c r="AD13" s="152"/>
      <c r="AF13" s="152"/>
      <c r="AG13" s="152"/>
      <c r="AI13" s="34">
        <f>IFERROR(VLOOKUP($C13,'HC &amp; Open Position'!$D$3:$P$55,9,0),"")</f>
        <v>0</v>
      </c>
      <c r="AJ13" s="4">
        <f>IFERROR(VLOOKUP($C13,'HC &amp; Open Position'!$D$3:$P$55,10,0),"")</f>
        <v>0</v>
      </c>
      <c r="AK13" s="4">
        <f>IFERROR(VLOOKUP($C13,'HC &amp; Open Position'!$D$3:$P$55,11,0),"")</f>
        <v>0</v>
      </c>
      <c r="AL13" s="4">
        <f>IFERROR(VLOOKUP($C13,'HC &amp; Open Position'!$D$3:$P$55,12,0),"")</f>
        <v>0</v>
      </c>
      <c r="AM13" s="94">
        <f t="shared" si="9"/>
        <v>0</v>
      </c>
      <c r="AN13" s="151"/>
      <c r="AO13" s="151"/>
      <c r="AP13" s="35">
        <f t="shared" si="10"/>
        <v>10.915379023490758</v>
      </c>
    </row>
    <row r="14" spans="1:44" x14ac:dyDescent="0.25">
      <c r="A14" t="s">
        <v>81</v>
      </c>
      <c r="B14" s="53" t="s">
        <v>82</v>
      </c>
      <c r="C14" s="10" t="s">
        <v>82</v>
      </c>
      <c r="D14" s="4" t="s">
        <v>48</v>
      </c>
      <c r="E14" s="106">
        <v>44643</v>
      </c>
      <c r="F14" s="106">
        <v>45738</v>
      </c>
      <c r="G14" s="13" t="s">
        <v>36</v>
      </c>
      <c r="H14" s="13" t="s">
        <v>36</v>
      </c>
      <c r="I14" s="13" t="s">
        <v>38</v>
      </c>
      <c r="J14" s="25">
        <f>IFERROR(VLOOKUP(C14,CPH!$A:$E,5,0),"")</f>
        <v>69000</v>
      </c>
      <c r="K14" s="33">
        <v>18.84</v>
      </c>
      <c r="L14" s="133"/>
      <c r="M14" s="26"/>
      <c r="N14" s="147">
        <v>3.0824875</v>
      </c>
      <c r="O14" s="147">
        <v>1.7737017589683401</v>
      </c>
      <c r="P14" s="33">
        <f>IFERROR(N14*1.3,1.8)</f>
        <v>4.0072337500000001</v>
      </c>
      <c r="Q14" s="28">
        <f t="shared" si="11"/>
        <v>1.5671658784566787</v>
      </c>
      <c r="R14" s="9">
        <f t="shared" si="4"/>
        <v>0.19589573480708483</v>
      </c>
      <c r="S14" s="9">
        <f t="shared" si="3"/>
        <v>2.4486966850885604E-2</v>
      </c>
      <c r="T14" s="9">
        <f t="shared" si="5"/>
        <v>8.1623222836285352E-3</v>
      </c>
      <c r="U14" s="94">
        <f t="shared" si="6"/>
        <v>1.7957109023982776</v>
      </c>
      <c r="W14" s="34">
        <f>IFERROR(VLOOKUP($C14,'HC &amp; Open Position'!$D:$J,MATCH(W$3,'HC &amp; Open Position'!$D$3:$J$3,1),0),"")</f>
        <v>2</v>
      </c>
      <c r="X14" s="4">
        <f>IFERROR(VLOOKUP($C14,'HC &amp; Open Position'!$D:$J,MATCH(X$3,'HC &amp; Open Position'!$D$3:$J$3,1),0),"")</f>
        <v>1</v>
      </c>
      <c r="Y14" s="4">
        <f>IFERROR(VLOOKUP($C14,'HC &amp; Open Position'!$D:$J,MATCH(Y$3,'HC &amp; Open Position'!$D$3:$J$3,1),0),"")</f>
        <v>0</v>
      </c>
      <c r="Z14" s="4">
        <f>IFERROR(VLOOKUP($C14,'HC &amp; Open Position'!$D:$J,MATCH(Z$3,'HC &amp; Open Position'!$D$3:$J$3,1),0),"")</f>
        <v>0</v>
      </c>
      <c r="AA14" s="94">
        <f t="shared" si="7"/>
        <v>3</v>
      </c>
      <c r="AB14" s="35">
        <f t="shared" si="8"/>
        <v>-1.2042890976017224</v>
      </c>
      <c r="AD14" s="152"/>
      <c r="AF14" s="152"/>
      <c r="AG14" s="152"/>
      <c r="AI14" s="34">
        <f>IFERROR(VLOOKUP($C14,'HC &amp; Open Position'!$D$3:$P$55,9,0),"")</f>
        <v>0</v>
      </c>
      <c r="AJ14" s="4">
        <f>IFERROR(VLOOKUP($C14,'HC &amp; Open Position'!$D$3:$P$55,10,0),"")</f>
        <v>0</v>
      </c>
      <c r="AK14" s="4">
        <f>IFERROR(VLOOKUP($C14,'HC &amp; Open Position'!$D$3:$P$55,11,0),"")</f>
        <v>0</v>
      </c>
      <c r="AL14" s="4">
        <f>IFERROR(VLOOKUP($C14,'HC &amp; Open Position'!$D$3:$P$55,12,0),"")</f>
        <v>0</v>
      </c>
      <c r="AM14" s="94">
        <f t="shared" si="9"/>
        <v>0</v>
      </c>
      <c r="AN14" s="151"/>
      <c r="AO14" s="151"/>
      <c r="AP14" s="35">
        <f t="shared" si="10"/>
        <v>-1.2042890976017224</v>
      </c>
    </row>
    <row r="15" spans="1:44" x14ac:dyDescent="0.25">
      <c r="A15" t="s">
        <v>83</v>
      </c>
      <c r="B15" s="53" t="s">
        <v>84</v>
      </c>
      <c r="C15" s="10" t="s">
        <v>85</v>
      </c>
      <c r="D15" s="4" t="s">
        <v>35</v>
      </c>
      <c r="E15" s="106">
        <v>44707</v>
      </c>
      <c r="F15" s="106">
        <v>45437</v>
      </c>
      <c r="G15" s="13" t="s">
        <v>42</v>
      </c>
      <c r="H15" s="13" t="s">
        <v>49</v>
      </c>
      <c r="I15" s="13" t="s">
        <v>44</v>
      </c>
      <c r="J15" s="25">
        <f>IFERROR(VLOOKUP(C15,CPH!$A:$E,5,0),"")</f>
        <v>54000</v>
      </c>
      <c r="K15" s="33">
        <v>0</v>
      </c>
      <c r="L15" s="133"/>
      <c r="M15" s="26"/>
      <c r="N15" s="147" t="s">
        <v>79</v>
      </c>
      <c r="O15" s="147" t="s">
        <v>79</v>
      </c>
      <c r="P15" s="33">
        <f>IFERROR(N15*1.3,1.8)</f>
        <v>1.8</v>
      </c>
      <c r="Q15" s="28">
        <f t="shared" si="11"/>
        <v>0</v>
      </c>
      <c r="R15" s="9">
        <f t="shared" si="4"/>
        <v>0</v>
      </c>
      <c r="S15" s="9">
        <f t="shared" si="3"/>
        <v>0</v>
      </c>
      <c r="T15" s="9">
        <f t="shared" si="5"/>
        <v>0</v>
      </c>
      <c r="U15" s="94">
        <f t="shared" si="6"/>
        <v>0</v>
      </c>
      <c r="W15" s="34" t="str">
        <f>IFERROR(VLOOKUP($C15,'HC &amp; Open Position'!$D:$J,MATCH(W$3,'HC &amp; Open Position'!$D$3:$J$3,1),0),"")</f>
        <v/>
      </c>
      <c r="X15" s="4" t="str">
        <f>IFERROR(VLOOKUP($C15,'HC &amp; Open Position'!$D:$J,MATCH(X$3,'HC &amp; Open Position'!$D$3:$J$3,1),0),"")</f>
        <v/>
      </c>
      <c r="Y15" s="4" t="str">
        <f>IFERROR(VLOOKUP($C15,'HC &amp; Open Position'!$D:$J,MATCH(Y$3,'HC &amp; Open Position'!$D$3:$J$3,1),0),"")</f>
        <v/>
      </c>
      <c r="Z15" s="4" t="str">
        <f>IFERROR(VLOOKUP($C15,'HC &amp; Open Position'!$D:$J,MATCH(Z$3,'HC &amp; Open Position'!$D$3:$J$3,1),0),"")</f>
        <v/>
      </c>
      <c r="AA15" s="94">
        <f t="shared" si="7"/>
        <v>0</v>
      </c>
      <c r="AB15" s="35">
        <f t="shared" si="8"/>
        <v>0</v>
      </c>
      <c r="AD15" s="152"/>
      <c r="AF15" s="152"/>
      <c r="AG15" s="152"/>
      <c r="AI15" s="34" t="str">
        <f>IFERROR(VLOOKUP($C15,'HC &amp; Open Position'!$D$3:$P$55,9,0),"")</f>
        <v/>
      </c>
      <c r="AJ15" s="4" t="str">
        <f>IFERROR(VLOOKUP($C15,'HC &amp; Open Position'!$D$3:$P$55,10,0),"")</f>
        <v/>
      </c>
      <c r="AK15" s="4" t="str">
        <f>IFERROR(VLOOKUP($C15,'HC &amp; Open Position'!$D$3:$P$55,11,0),"")</f>
        <v/>
      </c>
      <c r="AL15" s="4" t="str">
        <f>IFERROR(VLOOKUP($C15,'HC &amp; Open Position'!$D$3:$P$55,12,0),"")</f>
        <v/>
      </c>
      <c r="AM15" s="94">
        <f t="shared" si="9"/>
        <v>0</v>
      </c>
      <c r="AN15" s="151"/>
      <c r="AO15" s="151"/>
      <c r="AP15" s="35">
        <f t="shared" si="10"/>
        <v>0</v>
      </c>
    </row>
    <row r="16" spans="1:44" x14ac:dyDescent="0.25">
      <c r="A16" t="s">
        <v>86</v>
      </c>
      <c r="B16" s="53" t="s">
        <v>87</v>
      </c>
      <c r="C16" s="10" t="s">
        <v>88</v>
      </c>
      <c r="D16" s="4" t="s">
        <v>89</v>
      </c>
      <c r="E16" s="106">
        <v>44599</v>
      </c>
      <c r="F16" s="106">
        <v>48250</v>
      </c>
      <c r="G16" s="13" t="s">
        <v>42</v>
      </c>
      <c r="H16" s="13" t="s">
        <v>72</v>
      </c>
      <c r="I16" s="13" t="s">
        <v>44</v>
      </c>
      <c r="J16" s="25">
        <f>IFERROR(VLOOKUP(C16,CPH!$A:$E,5,0),"")</f>
        <v>22000</v>
      </c>
      <c r="K16" s="33">
        <v>14.31</v>
      </c>
      <c r="L16" s="133"/>
      <c r="M16" s="26"/>
      <c r="N16" s="147">
        <v>0.28332427296460416</v>
      </c>
      <c r="O16" s="147">
        <v>0.5242425882179701</v>
      </c>
      <c r="P16" s="33">
        <v>1.2</v>
      </c>
      <c r="Q16" s="28">
        <f t="shared" si="11"/>
        <v>3.9750000000000005</v>
      </c>
      <c r="R16" s="9">
        <f t="shared" si="4"/>
        <v>0.49687500000000007</v>
      </c>
      <c r="S16" s="9">
        <f t="shared" si="3"/>
        <v>6.2109375000000008E-2</v>
      </c>
      <c r="T16" s="9">
        <f t="shared" si="5"/>
        <v>2.0703125000000003E-2</v>
      </c>
      <c r="U16" s="94">
        <f t="shared" si="6"/>
        <v>4.5546875000000009</v>
      </c>
      <c r="W16" s="34">
        <f>IFERROR(VLOOKUP($C16,'HC &amp; Open Position'!$D:$J,MATCH(W$3,'HC &amp; Open Position'!$D$3:$J$3,1),0),"")</f>
        <v>6</v>
      </c>
      <c r="X16" s="4">
        <f>IFERROR(VLOOKUP($C16,'HC &amp; Open Position'!$D:$J,MATCH(X$3,'HC &amp; Open Position'!$D$3:$J$3,1),0),"")</f>
        <v>1</v>
      </c>
      <c r="Y16" s="4">
        <f>IFERROR(VLOOKUP($C16,'HC &amp; Open Position'!$D:$J,MATCH(Y$3,'HC &amp; Open Position'!$D$3:$J$3,1),0),"")</f>
        <v>0</v>
      </c>
      <c r="Z16" s="4">
        <f>IFERROR(VLOOKUP($C16,'HC &amp; Open Position'!$D:$J,MATCH(Z$3,'HC &amp; Open Position'!$D$3:$J$3,1),0),"")</f>
        <v>0</v>
      </c>
      <c r="AA16" s="94">
        <f t="shared" si="7"/>
        <v>7</v>
      </c>
      <c r="AB16" s="35">
        <f t="shared" si="8"/>
        <v>-2.4453124999999991</v>
      </c>
      <c r="AD16" s="152"/>
      <c r="AF16" s="152"/>
      <c r="AG16" s="152"/>
      <c r="AI16" s="34">
        <f>IFERROR(VLOOKUP($C16,'HC &amp; Open Position'!$D$3:$P$55,9,0),"")</f>
        <v>0</v>
      </c>
      <c r="AJ16" s="4">
        <f>IFERROR(VLOOKUP($C16,'HC &amp; Open Position'!$D$3:$P$55,10,0),"")</f>
        <v>0</v>
      </c>
      <c r="AK16" s="4">
        <f>IFERROR(VLOOKUP($C16,'HC &amp; Open Position'!$D$3:$P$55,11,0),"")</f>
        <v>0</v>
      </c>
      <c r="AL16" s="4">
        <f>IFERROR(VLOOKUP($C16,'HC &amp; Open Position'!$D$3:$P$55,12,0),"")</f>
        <v>0</v>
      </c>
      <c r="AM16" s="94">
        <f t="shared" si="9"/>
        <v>0</v>
      </c>
      <c r="AN16" s="151"/>
      <c r="AO16" s="151">
        <v>1</v>
      </c>
      <c r="AP16" s="35">
        <f t="shared" si="10"/>
        <v>-1.4453124999999991</v>
      </c>
    </row>
    <row r="17" spans="1:43" x14ac:dyDescent="0.25">
      <c r="A17" t="s">
        <v>90</v>
      </c>
      <c r="B17" s="53" t="s">
        <v>91</v>
      </c>
      <c r="C17" s="10" t="s">
        <v>91</v>
      </c>
      <c r="D17" s="4" t="s">
        <v>92</v>
      </c>
      <c r="E17" s="106">
        <v>42584</v>
      </c>
      <c r="F17" s="106">
        <v>46235</v>
      </c>
      <c r="G17" s="13" t="s">
        <v>36</v>
      </c>
      <c r="H17" s="13" t="s">
        <v>93</v>
      </c>
      <c r="I17" s="13" t="s">
        <v>38</v>
      </c>
      <c r="J17" s="25">
        <f>IFERROR(VLOOKUP(C17,CPH!$A:$E,5,0),"")</f>
        <v>27000</v>
      </c>
      <c r="K17" s="33">
        <v>11.55</v>
      </c>
      <c r="L17" s="133"/>
      <c r="M17" s="26"/>
      <c r="N17" s="147">
        <v>1.9794459090909091</v>
      </c>
      <c r="O17" s="147">
        <v>1.7161431789337993</v>
      </c>
      <c r="P17" s="33">
        <f>IFERROR(N17*1.3,1.8)</f>
        <v>2.5732796818181818</v>
      </c>
      <c r="Q17" s="28">
        <f t="shared" si="11"/>
        <v>1.4961451828196679</v>
      </c>
      <c r="R17" s="9">
        <f t="shared" si="4"/>
        <v>0.18701814785245849</v>
      </c>
      <c r="S17" s="9">
        <f t="shared" si="3"/>
        <v>2.3377268481557311E-2</v>
      </c>
      <c r="T17" s="9">
        <f t="shared" si="5"/>
        <v>7.7924228271857706E-3</v>
      </c>
      <c r="U17" s="94">
        <f t="shared" si="6"/>
        <v>1.7143330219808695</v>
      </c>
      <c r="W17" s="34">
        <f>IFERROR(VLOOKUP($C17,'HC &amp; Open Position'!$D:$J,MATCH(W$3,'HC &amp; Open Position'!$D$3:$J$3,1),0),"")</f>
        <v>2</v>
      </c>
      <c r="X17" s="4">
        <f>IFERROR(VLOOKUP($C17,'HC &amp; Open Position'!$D:$J,MATCH(X$3,'HC &amp; Open Position'!$D$3:$J$3,1),0),"")</f>
        <v>1</v>
      </c>
      <c r="Y17" s="4">
        <f>IFERROR(VLOOKUP($C17,'HC &amp; Open Position'!$D:$J,MATCH(Y$3,'HC &amp; Open Position'!$D$3:$J$3,1),0),"")</f>
        <v>0</v>
      </c>
      <c r="Z17" s="4">
        <f>IFERROR(VLOOKUP($C17,'HC &amp; Open Position'!$D:$J,MATCH(Z$3,'HC &amp; Open Position'!$D$3:$J$3,1),0),"")</f>
        <v>0</v>
      </c>
      <c r="AA17" s="94">
        <f t="shared" si="7"/>
        <v>3</v>
      </c>
      <c r="AB17" s="35">
        <f t="shared" si="8"/>
        <v>-1.2856669780191305</v>
      </c>
      <c r="AD17" s="152"/>
      <c r="AF17" s="152"/>
      <c r="AG17" s="152"/>
      <c r="AI17" s="34">
        <f>IFERROR(VLOOKUP($C17,'HC &amp; Open Position'!$D$3:$P$55,9,0),"")</f>
        <v>0</v>
      </c>
      <c r="AJ17" s="4">
        <f>IFERROR(VLOOKUP($C17,'HC &amp; Open Position'!$D$3:$P$55,10,0),"")</f>
        <v>0</v>
      </c>
      <c r="AK17" s="4">
        <f>IFERROR(VLOOKUP($C17,'HC &amp; Open Position'!$D$3:$P$55,11,0),"")</f>
        <v>0</v>
      </c>
      <c r="AL17" s="4">
        <f>IFERROR(VLOOKUP($C17,'HC &amp; Open Position'!$D$3:$P$55,12,0),"")</f>
        <v>0</v>
      </c>
      <c r="AM17" s="94">
        <f t="shared" si="9"/>
        <v>0</v>
      </c>
      <c r="AN17" s="151"/>
      <c r="AO17" s="151"/>
      <c r="AP17" s="35">
        <f t="shared" si="10"/>
        <v>-1.2856669780191305</v>
      </c>
    </row>
    <row r="18" spans="1:43" s="156" customFormat="1" x14ac:dyDescent="0.25">
      <c r="A18" s="156" t="s">
        <v>94</v>
      </c>
      <c r="B18" s="53" t="s">
        <v>95</v>
      </c>
      <c r="C18" s="10" t="s">
        <v>95</v>
      </c>
      <c r="D18" s="13" t="s">
        <v>48</v>
      </c>
      <c r="E18" s="157">
        <v>42310</v>
      </c>
      <c r="F18" s="157">
        <v>46325</v>
      </c>
      <c r="G18" s="13" t="s">
        <v>42</v>
      </c>
      <c r="H18" s="13" t="s">
        <v>96</v>
      </c>
      <c r="I18" s="13" t="s">
        <v>44</v>
      </c>
      <c r="J18" s="25">
        <f>IFERROR(VLOOKUP(C18,CPH!$A:$E,5,0),"")</f>
        <v>65000</v>
      </c>
      <c r="K18" s="33">
        <v>534.89</v>
      </c>
      <c r="L18" s="133"/>
      <c r="M18" s="158"/>
      <c r="N18" s="159">
        <v>1.7</v>
      </c>
      <c r="O18" s="159">
        <v>1.68</v>
      </c>
      <c r="P18" s="33">
        <f>IFERROR(N18*1.3,1.8)</f>
        <v>2.21</v>
      </c>
      <c r="Q18" s="160">
        <f t="shared" si="11"/>
        <v>80.67722473604826</v>
      </c>
      <c r="R18" s="161">
        <f t="shared" si="4"/>
        <v>10.084653092006032</v>
      </c>
      <c r="S18" s="161">
        <f t="shared" si="3"/>
        <v>1.2605816365007541</v>
      </c>
      <c r="T18" s="161">
        <f t="shared" si="5"/>
        <v>0.42019387883358467</v>
      </c>
      <c r="U18" s="98">
        <f t="shared" si="6"/>
        <v>92.442653343388642</v>
      </c>
      <c r="W18" s="34">
        <f>IFERROR(VLOOKUP($C18,'HC &amp; Open Position'!$D:$J,MATCH(W$3,'HC &amp; Open Position'!$D$3:$J$3,1),0),"")</f>
        <v>65</v>
      </c>
      <c r="X18" s="4">
        <f>IFERROR(VLOOKUP($C18,'HC &amp; Open Position'!$D:$J,MATCH(X$3,'HC &amp; Open Position'!$D$3:$J$3,1),0),"")</f>
        <v>16</v>
      </c>
      <c r="Y18" s="4">
        <f>IFERROR(VLOOKUP($C18,'HC &amp; Open Position'!$D:$J,MATCH(Y$3,'HC &amp; Open Position'!$D$3:$J$3,1),0),"")</f>
        <v>1</v>
      </c>
      <c r="Z18" s="4">
        <f>IFERROR(VLOOKUP($C18,'HC &amp; Open Position'!$D:$J,MATCH(Z$3,'HC &amp; Open Position'!$D$3:$J$3,1),0),"")</f>
        <v>0</v>
      </c>
      <c r="AA18" s="98">
        <f t="shared" si="7"/>
        <v>82</v>
      </c>
      <c r="AB18" s="162">
        <f t="shared" si="8"/>
        <v>10.442653343388642</v>
      </c>
      <c r="AD18" s="152">
        <v>10</v>
      </c>
      <c r="AF18" s="163">
        <v>4</v>
      </c>
      <c r="AG18" s="163">
        <v>2</v>
      </c>
      <c r="AI18" s="34">
        <f>IFERROR(VLOOKUP($C18,'HC &amp; Open Position'!$D$3:$P$55,9,0),"")</f>
        <v>4</v>
      </c>
      <c r="AJ18" s="4">
        <f>IFERROR(VLOOKUP($C18,'HC &amp; Open Position'!$D$3:$P$55,10,0),"")</f>
        <v>1</v>
      </c>
      <c r="AK18" s="4">
        <f>IFERROR(VLOOKUP($C18,'HC &amp; Open Position'!$D$3:$P$55,11,0),"")</f>
        <v>1</v>
      </c>
      <c r="AL18" s="4">
        <f>IFERROR(VLOOKUP($C18,'HC &amp; Open Position'!$D$3:$P$55,12,0),"")</f>
        <v>0</v>
      </c>
      <c r="AM18" s="98">
        <f t="shared" si="9"/>
        <v>6</v>
      </c>
      <c r="AN18" s="164">
        <v>3</v>
      </c>
      <c r="AO18" s="164">
        <v>3</v>
      </c>
      <c r="AP18" s="35">
        <f t="shared" si="10"/>
        <v>-2.5573466566113581</v>
      </c>
      <c r="AQ18" s="165"/>
    </row>
    <row r="19" spans="1:43" x14ac:dyDescent="0.25">
      <c r="A19" t="s">
        <v>100</v>
      </c>
      <c r="B19" s="53" t="s">
        <v>101</v>
      </c>
      <c r="C19" s="10" t="s">
        <v>101</v>
      </c>
      <c r="D19" s="4" t="s">
        <v>75</v>
      </c>
      <c r="E19" s="106">
        <v>41816</v>
      </c>
      <c r="F19" s="106">
        <v>45838</v>
      </c>
      <c r="G19" s="13" t="s">
        <v>36</v>
      </c>
      <c r="H19" s="13" t="s">
        <v>102</v>
      </c>
      <c r="I19" s="13" t="s">
        <v>38</v>
      </c>
      <c r="J19" s="25">
        <f>IFERROR(VLOOKUP(C19,CPH!$A:$E,5,0),"")</f>
        <v>45000</v>
      </c>
      <c r="K19" s="33">
        <v>150</v>
      </c>
      <c r="L19" s="133"/>
      <c r="M19" s="26"/>
      <c r="N19" s="147">
        <v>1.6261990896103176</v>
      </c>
      <c r="O19" s="147">
        <v>1.8872641186674011</v>
      </c>
      <c r="P19" s="33">
        <f>IFERROR(N19*1.3,1.8)</f>
        <v>2.1140588164934129</v>
      </c>
      <c r="Q19" s="28">
        <f t="shared" si="11"/>
        <v>23.651186811791241</v>
      </c>
      <c r="R19" s="9">
        <f t="shared" si="4"/>
        <v>2.9563983514739052</v>
      </c>
      <c r="S19" s="9">
        <f t="shared" si="3"/>
        <v>0.36954979393423815</v>
      </c>
      <c r="T19" s="9">
        <f t="shared" si="5"/>
        <v>0.12318326464474605</v>
      </c>
      <c r="U19" s="94">
        <f t="shared" si="6"/>
        <v>27.100318221844127</v>
      </c>
      <c r="W19" s="34">
        <f>IFERROR(VLOOKUP($C19,'HC &amp; Open Position'!$D:$J,MATCH(W$3,'HC &amp; Open Position'!$D$3:$J$3,1),0),"")</f>
        <v>14</v>
      </c>
      <c r="X19" s="4">
        <f>IFERROR(VLOOKUP($C19,'HC &amp; Open Position'!$D:$J,MATCH(X$3,'HC &amp; Open Position'!$D$3:$J$3,1),0),"")</f>
        <v>1</v>
      </c>
      <c r="Y19" s="4">
        <f>IFERROR(VLOOKUP($C19,'HC &amp; Open Position'!$D:$J,MATCH(Y$3,'HC &amp; Open Position'!$D$3:$J$3,1),0),"")</f>
        <v>1</v>
      </c>
      <c r="Z19" s="4">
        <f>IFERROR(VLOOKUP($C19,'HC &amp; Open Position'!$D:$J,MATCH(Z$3,'HC &amp; Open Position'!$D$3:$J$3,1),0),"")</f>
        <v>0</v>
      </c>
      <c r="AA19" s="94">
        <f t="shared" si="7"/>
        <v>16</v>
      </c>
      <c r="AB19" s="35">
        <f t="shared" si="8"/>
        <v>11.100318221844127</v>
      </c>
      <c r="AD19" s="207">
        <v>3</v>
      </c>
      <c r="AF19" s="152"/>
      <c r="AG19" s="152"/>
      <c r="AI19" s="34">
        <f>IFERROR(VLOOKUP($C19,'HC &amp; Open Position'!$D$3:$P$55,9,0),"")</f>
        <v>0</v>
      </c>
      <c r="AJ19" s="4">
        <f>IFERROR(VLOOKUP($C19,'HC &amp; Open Position'!$D$3:$P$55,10,0),"")</f>
        <v>0</v>
      </c>
      <c r="AK19" s="4">
        <f>IFERROR(VLOOKUP($C19,'HC &amp; Open Position'!$D$3:$P$55,11,0),"")</f>
        <v>0</v>
      </c>
      <c r="AL19" s="4">
        <f>IFERROR(VLOOKUP($C19,'HC &amp; Open Position'!$D$3:$P$55,12,0),"")</f>
        <v>0</v>
      </c>
      <c r="AM19" s="94">
        <f t="shared" si="9"/>
        <v>0</v>
      </c>
      <c r="AN19" s="151"/>
      <c r="AO19" s="151"/>
      <c r="AP19" s="35">
        <f t="shared" si="10"/>
        <v>8.1003182218441268</v>
      </c>
    </row>
    <row r="20" spans="1:43" x14ac:dyDescent="0.25">
      <c r="A20" t="s">
        <v>112</v>
      </c>
      <c r="B20" s="53" t="s">
        <v>113</v>
      </c>
      <c r="C20" s="10" t="s">
        <v>113</v>
      </c>
      <c r="D20" s="4" t="s">
        <v>111</v>
      </c>
      <c r="E20" s="106">
        <v>44844</v>
      </c>
      <c r="F20" s="106">
        <v>45574</v>
      </c>
      <c r="G20" s="13" t="s">
        <v>42</v>
      </c>
      <c r="H20" s="13" t="s">
        <v>72</v>
      </c>
      <c r="I20" s="13" t="s">
        <v>44</v>
      </c>
      <c r="J20" s="25">
        <f>IFERROR(VLOOKUP(C20,CPH!$A:$E,5,0),"")</f>
        <v>70000</v>
      </c>
      <c r="K20" s="33">
        <v>24</v>
      </c>
      <c r="L20" s="133"/>
      <c r="M20" s="26"/>
      <c r="N20" s="147">
        <v>1.1249726620046621</v>
      </c>
      <c r="O20" s="147">
        <v>1.1878418594714821</v>
      </c>
      <c r="P20" s="33">
        <f>IFERROR(N20*1.3,1.8)</f>
        <v>1.4624644606060608</v>
      </c>
      <c r="Q20" s="28">
        <f t="shared" si="11"/>
        <v>5.4702183988010997</v>
      </c>
      <c r="R20" s="9">
        <f t="shared" si="4"/>
        <v>0.68377729985013747</v>
      </c>
      <c r="S20" s="9">
        <f t="shared" si="3"/>
        <v>8.5472162481267183E-2</v>
      </c>
      <c r="T20" s="9">
        <f t="shared" si="5"/>
        <v>2.8490720827089061E-2</v>
      </c>
      <c r="U20" s="94">
        <f t="shared" si="6"/>
        <v>6.2679585819595935</v>
      </c>
      <c r="W20" s="34">
        <f>IFERROR(VLOOKUP($C20,'HC &amp; Open Position'!$D:$J,MATCH(W$3,'HC &amp; Open Position'!$D$3:$J$3,1),0),"")</f>
        <v>4</v>
      </c>
      <c r="X20" s="4">
        <f>IFERROR(VLOOKUP($C20,'HC &amp; Open Position'!$D:$J,MATCH(X$3,'HC &amp; Open Position'!$D$3:$J$3,1),0),"")</f>
        <v>1</v>
      </c>
      <c r="Y20" s="4">
        <f>IFERROR(VLOOKUP($C20,'HC &amp; Open Position'!$D:$J,MATCH(Y$3,'HC &amp; Open Position'!$D$3:$J$3,1),0),"")</f>
        <v>0</v>
      </c>
      <c r="Z20" s="4">
        <f>IFERROR(VLOOKUP($C20,'HC &amp; Open Position'!$D:$J,MATCH(Z$3,'HC &amp; Open Position'!$D$3:$J$3,1),0),"")</f>
        <v>0</v>
      </c>
      <c r="AA20" s="94">
        <f t="shared" si="7"/>
        <v>5</v>
      </c>
      <c r="AB20" s="35">
        <f t="shared" si="8"/>
        <v>1.2679585819595935</v>
      </c>
      <c r="AD20" s="152"/>
      <c r="AF20" s="152"/>
      <c r="AG20" s="152"/>
      <c r="AI20" s="34">
        <f>IFERROR(VLOOKUP($C20,'HC &amp; Open Position'!$D$3:$P$55,9,0),"")</f>
        <v>0</v>
      </c>
      <c r="AJ20" s="4">
        <f>IFERROR(VLOOKUP($C20,'HC &amp; Open Position'!$D$3:$P$55,10,0),"")</f>
        <v>0</v>
      </c>
      <c r="AK20" s="4">
        <f>IFERROR(VLOOKUP($C20,'HC &amp; Open Position'!$D$3:$P$55,11,0),"")</f>
        <v>0</v>
      </c>
      <c r="AL20" s="4">
        <f>IFERROR(VLOOKUP($C20,'HC &amp; Open Position'!$D$3:$P$55,12,0),"")</f>
        <v>0</v>
      </c>
      <c r="AM20" s="94">
        <f t="shared" si="9"/>
        <v>0</v>
      </c>
      <c r="AN20" s="151"/>
      <c r="AO20" s="151"/>
      <c r="AP20" s="35">
        <f t="shared" si="10"/>
        <v>1.2679585819595935</v>
      </c>
    </row>
    <row r="21" spans="1:43" x14ac:dyDescent="0.25">
      <c r="A21" t="s">
        <v>116</v>
      </c>
      <c r="B21" s="53" t="s">
        <v>117</v>
      </c>
      <c r="C21" s="10" t="s">
        <v>117</v>
      </c>
      <c r="D21" s="4" t="s">
        <v>52</v>
      </c>
      <c r="E21" s="106">
        <v>45020</v>
      </c>
      <c r="F21" s="106">
        <v>45750</v>
      </c>
      <c r="G21" s="13" t="s">
        <v>42</v>
      </c>
      <c r="H21" s="13" t="s">
        <v>118</v>
      </c>
      <c r="I21" s="13" t="s">
        <v>44</v>
      </c>
      <c r="J21" s="25">
        <f>IFERROR(VLOOKUP(C21,CPH!$A:$E,5,0),"")</f>
        <v>33000</v>
      </c>
      <c r="K21" s="33">
        <v>87.6</v>
      </c>
      <c r="L21" s="133"/>
      <c r="M21" s="26"/>
      <c r="N21" s="147">
        <v>0.9</v>
      </c>
      <c r="O21" s="147">
        <v>0.97</v>
      </c>
      <c r="P21" s="33">
        <v>1.8</v>
      </c>
      <c r="Q21" s="28">
        <f t="shared" si="11"/>
        <v>16.222222222222221</v>
      </c>
      <c r="R21" s="9">
        <f t="shared" si="4"/>
        <v>2.0277777777777777</v>
      </c>
      <c r="S21" s="9">
        <f t="shared" si="3"/>
        <v>0.25347222222222221</v>
      </c>
      <c r="T21" s="9">
        <f t="shared" si="5"/>
        <v>8.4490740740740741E-2</v>
      </c>
      <c r="U21" s="94">
        <f t="shared" si="6"/>
        <v>18.587962962962962</v>
      </c>
      <c r="W21" s="34">
        <f>IFERROR(VLOOKUP($C21,'HC &amp; Open Position'!$D:$J,MATCH(W$3,'HC &amp; Open Position'!$D$3:$J$3,1),0),"")</f>
        <v>33</v>
      </c>
      <c r="X21" s="4">
        <f>IFERROR(VLOOKUP($C21,'HC &amp; Open Position'!$D:$J,MATCH(X$3,'HC &amp; Open Position'!$D$3:$J$3,1),0),"")</f>
        <v>5</v>
      </c>
      <c r="Y21" s="4">
        <f>IFERROR(VLOOKUP($C21,'HC &amp; Open Position'!$D:$J,MATCH(Y$3,'HC &amp; Open Position'!$D$3:$J$3,1),0),"")</f>
        <v>1</v>
      </c>
      <c r="Z21" s="4">
        <f>IFERROR(VLOOKUP($C21,'HC &amp; Open Position'!$D:$J,MATCH(Z$3,'HC &amp; Open Position'!$D$3:$J$3,1),0),"")</f>
        <v>0</v>
      </c>
      <c r="AA21" s="94">
        <f t="shared" si="7"/>
        <v>39</v>
      </c>
      <c r="AB21" s="35">
        <f t="shared" si="8"/>
        <v>-20.412037037037038</v>
      </c>
      <c r="AD21" s="152"/>
      <c r="AF21" s="152">
        <v>1</v>
      </c>
      <c r="AG21" s="152">
        <v>2</v>
      </c>
      <c r="AI21" s="34">
        <f>IFERROR(VLOOKUP($C21,'HC &amp; Open Position'!$D$3:$P$55,9,0),"")</f>
        <v>3</v>
      </c>
      <c r="AJ21" s="4">
        <f>IFERROR(VLOOKUP($C21,'HC &amp; Open Position'!$D$3:$P$55,10,0),"")</f>
        <v>0</v>
      </c>
      <c r="AK21" s="4">
        <f>IFERROR(VLOOKUP($C21,'HC &amp; Open Position'!$D$3:$P$55,11,0),"")</f>
        <v>0</v>
      </c>
      <c r="AL21" s="4">
        <f>IFERROR(VLOOKUP($C21,'HC &amp; Open Position'!$D$3:$P$55,12,0),"")</f>
        <v>0</v>
      </c>
      <c r="AM21" s="94">
        <f t="shared" si="9"/>
        <v>3</v>
      </c>
      <c r="AN21" s="151">
        <v>1</v>
      </c>
      <c r="AO21" s="151"/>
      <c r="AP21" s="35">
        <f t="shared" si="10"/>
        <v>-23.412037037037038</v>
      </c>
    </row>
    <row r="22" spans="1:43" x14ac:dyDescent="0.25">
      <c r="A22" t="s">
        <v>124</v>
      </c>
      <c r="B22" s="53" t="s">
        <v>125</v>
      </c>
      <c r="C22" s="10" t="s">
        <v>125</v>
      </c>
      <c r="D22" s="4" t="s">
        <v>52</v>
      </c>
      <c r="E22" s="106">
        <v>45063</v>
      </c>
      <c r="F22" s="106">
        <v>45428</v>
      </c>
      <c r="G22" s="13" t="s">
        <v>36</v>
      </c>
      <c r="H22" s="13" t="s">
        <v>93</v>
      </c>
      <c r="I22" s="13" t="s">
        <v>38</v>
      </c>
      <c r="J22" s="25">
        <f>IFERROR(VLOOKUP(C22,CPH!$A:$E,5,0),"")</f>
        <v>33320</v>
      </c>
      <c r="K22" s="33">
        <v>9.19</v>
      </c>
      <c r="L22" s="133"/>
      <c r="M22" s="26"/>
      <c r="N22" s="147">
        <v>4.0363875744548654</v>
      </c>
      <c r="O22" s="147">
        <v>1.578144827436468</v>
      </c>
      <c r="P22" s="33">
        <v>2</v>
      </c>
      <c r="Q22" s="28">
        <f t="shared" si="11"/>
        <v>1.5316666666666665</v>
      </c>
      <c r="R22" s="9">
        <f t="shared" si="4"/>
        <v>0.19145833333333331</v>
      </c>
      <c r="S22" s="9">
        <f t="shared" si="3"/>
        <v>2.3932291666666664E-2</v>
      </c>
      <c r="T22" s="9">
        <f t="shared" si="5"/>
        <v>7.9774305555555553E-3</v>
      </c>
      <c r="U22" s="94">
        <f t="shared" si="6"/>
        <v>1.755034722222222</v>
      </c>
      <c r="W22" s="34">
        <f>IFERROR(VLOOKUP($C22,'HC &amp; Open Position'!$D:$J,MATCH(W$3,'HC &amp; Open Position'!$D$3:$J$3,1),0),"")</f>
        <v>2</v>
      </c>
      <c r="X22" s="4">
        <f>IFERROR(VLOOKUP($C22,'HC &amp; Open Position'!$D:$J,MATCH(X$3,'HC &amp; Open Position'!$D$3:$J$3,1),0),"")</f>
        <v>1</v>
      </c>
      <c r="Y22" s="4">
        <f>IFERROR(VLOOKUP($C22,'HC &amp; Open Position'!$D:$J,MATCH(Y$3,'HC &amp; Open Position'!$D$3:$J$3,1),0),"")</f>
        <v>1</v>
      </c>
      <c r="Z22" s="4">
        <f>IFERROR(VLOOKUP($C22,'HC &amp; Open Position'!$D:$J,MATCH(Z$3,'HC &amp; Open Position'!$D$3:$J$3,1),0),"")</f>
        <v>0</v>
      </c>
      <c r="AA22" s="94">
        <f t="shared" si="7"/>
        <v>4</v>
      </c>
      <c r="AB22" s="35">
        <f t="shared" si="8"/>
        <v>-2.2449652777777782</v>
      </c>
      <c r="AD22" s="152"/>
      <c r="AF22" s="152"/>
      <c r="AG22" s="152"/>
      <c r="AI22" s="34">
        <f>IFERROR(VLOOKUP($C22,'HC &amp; Open Position'!$D$3:$P$55,9,0),"")</f>
        <v>0</v>
      </c>
      <c r="AJ22" s="4">
        <f>IFERROR(VLOOKUP($C22,'HC &amp; Open Position'!$D$3:$P$55,10,0),"")</f>
        <v>0</v>
      </c>
      <c r="AK22" s="4">
        <f>IFERROR(VLOOKUP($C22,'HC &amp; Open Position'!$D$3:$P$55,11,0),"")</f>
        <v>0</v>
      </c>
      <c r="AL22" s="4">
        <f>IFERROR(VLOOKUP($C22,'HC &amp; Open Position'!$D$3:$P$55,12,0),"")</f>
        <v>0</v>
      </c>
      <c r="AM22" s="94">
        <f t="shared" si="9"/>
        <v>0</v>
      </c>
      <c r="AN22" s="151"/>
      <c r="AO22" s="151"/>
      <c r="AP22" s="35">
        <f t="shared" si="10"/>
        <v>-2.2449652777777782</v>
      </c>
    </row>
    <row r="23" spans="1:43" x14ac:dyDescent="0.25">
      <c r="A23" t="s">
        <v>128</v>
      </c>
      <c r="B23" s="53" t="s">
        <v>129</v>
      </c>
      <c r="C23" s="10" t="s">
        <v>129</v>
      </c>
      <c r="D23" s="4" t="s">
        <v>52</v>
      </c>
      <c r="E23" s="106">
        <v>45147</v>
      </c>
      <c r="F23" s="106">
        <v>45877</v>
      </c>
      <c r="G23" s="13" t="s">
        <v>42</v>
      </c>
      <c r="H23" s="13" t="s">
        <v>130</v>
      </c>
      <c r="I23" s="13" t="s">
        <v>58</v>
      </c>
      <c r="J23" s="25">
        <f>IFERROR(VLOOKUP(C23,CPH!$A:$E,5,0),"")</f>
        <v>60000</v>
      </c>
      <c r="K23" s="33">
        <v>13.35</v>
      </c>
      <c r="L23" s="133"/>
      <c r="M23" s="26"/>
      <c r="N23" s="147">
        <v>1.7</v>
      </c>
      <c r="O23" s="147">
        <v>2.2342623817971443</v>
      </c>
      <c r="P23" s="33">
        <f t="shared" ref="P23:P30" si="12">IFERROR(N23*1.3,1.8)</f>
        <v>2.21</v>
      </c>
      <c r="Q23" s="28">
        <f t="shared" si="11"/>
        <v>2.0135746606334841</v>
      </c>
      <c r="R23" s="9">
        <f t="shared" si="4"/>
        <v>0.25169683257918551</v>
      </c>
      <c r="S23" s="9">
        <f t="shared" si="3"/>
        <v>3.1462104072398189E-2</v>
      </c>
      <c r="T23" s="9">
        <f t="shared" si="5"/>
        <v>1.0487368024132729E-2</v>
      </c>
      <c r="U23" s="94">
        <f t="shared" si="6"/>
        <v>2.3072209653092006</v>
      </c>
      <c r="W23" s="34">
        <f>IFERROR(VLOOKUP($C23,'HC &amp; Open Position'!$D:$J,MATCH(W$3,'HC &amp; Open Position'!$D$3:$J$3,1),0),"")</f>
        <v>4</v>
      </c>
      <c r="X23" s="4">
        <f>IFERROR(VLOOKUP($C23,'HC &amp; Open Position'!$D:$J,MATCH(X$3,'HC &amp; Open Position'!$D$3:$J$3,1),0),"")</f>
        <v>2</v>
      </c>
      <c r="Y23" s="4">
        <f>IFERROR(VLOOKUP($C23,'HC &amp; Open Position'!$D:$J,MATCH(Y$3,'HC &amp; Open Position'!$D$3:$J$3,1),0),"")</f>
        <v>0</v>
      </c>
      <c r="Z23" s="4">
        <f>IFERROR(VLOOKUP($C23,'HC &amp; Open Position'!$D:$J,MATCH(Z$3,'HC &amp; Open Position'!$D$3:$J$3,1),0),"")</f>
        <v>0</v>
      </c>
      <c r="AA23" s="94">
        <f t="shared" si="7"/>
        <v>6</v>
      </c>
      <c r="AB23" s="35">
        <f t="shared" si="8"/>
        <v>-3.6927790346907994</v>
      </c>
      <c r="AD23" s="152"/>
      <c r="AF23" s="152"/>
      <c r="AG23" s="152"/>
      <c r="AI23" s="34">
        <f>IFERROR(VLOOKUP($C23,'HC &amp; Open Position'!$D$3:$P$55,9,0),"")</f>
        <v>0</v>
      </c>
      <c r="AJ23" s="4">
        <f>IFERROR(VLOOKUP($C23,'HC &amp; Open Position'!$D$3:$P$55,10,0),"")</f>
        <v>0</v>
      </c>
      <c r="AK23" s="4">
        <f>IFERROR(VLOOKUP($C23,'HC &amp; Open Position'!$D$3:$P$55,11,0),"")</f>
        <v>0</v>
      </c>
      <c r="AL23" s="4">
        <f>IFERROR(VLOOKUP($C23,'HC &amp; Open Position'!$D$3:$P$55,12,0),"")</f>
        <v>0</v>
      </c>
      <c r="AM23" s="94">
        <f t="shared" si="9"/>
        <v>0</v>
      </c>
      <c r="AN23" s="151"/>
      <c r="AO23" s="151"/>
      <c r="AP23" s="35">
        <f t="shared" si="10"/>
        <v>-3.6927790346907994</v>
      </c>
    </row>
    <row r="24" spans="1:43" x14ac:dyDescent="0.25">
      <c r="A24" t="s">
        <v>134</v>
      </c>
      <c r="B24" s="53" t="s">
        <v>135</v>
      </c>
      <c r="C24" s="10" t="s">
        <v>135</v>
      </c>
      <c r="D24" s="4" t="s">
        <v>52</v>
      </c>
      <c r="E24" s="106">
        <v>45232</v>
      </c>
      <c r="F24" s="106">
        <v>45962</v>
      </c>
      <c r="G24" s="13" t="s">
        <v>42</v>
      </c>
      <c r="H24" s="13" t="s">
        <v>49</v>
      </c>
      <c r="I24" s="13" t="s">
        <v>44</v>
      </c>
      <c r="J24" s="25">
        <f>IFERROR(VLOOKUP(C24,CPH!$A:$E,5,0),"")</f>
        <v>60000</v>
      </c>
      <c r="K24" s="33">
        <v>21.8</v>
      </c>
      <c r="L24" s="133"/>
      <c r="M24" s="26"/>
      <c r="N24" s="147">
        <v>1.3742101449923139</v>
      </c>
      <c r="O24" s="147">
        <v>1.2812589682813242</v>
      </c>
      <c r="P24" s="33">
        <f t="shared" si="12"/>
        <v>1.786473188490008</v>
      </c>
      <c r="Q24" s="28">
        <f t="shared" si="11"/>
        <v>4.0676046601117575</v>
      </c>
      <c r="R24" s="9">
        <f t="shared" si="4"/>
        <v>0.50845058251396968</v>
      </c>
      <c r="S24" s="9">
        <f t="shared" si="3"/>
        <v>6.3556322814246211E-2</v>
      </c>
      <c r="T24" s="9">
        <f t="shared" si="5"/>
        <v>2.118544093808207E-2</v>
      </c>
      <c r="U24" s="94">
        <f t="shared" si="6"/>
        <v>4.6607970063780559</v>
      </c>
      <c r="W24" s="34">
        <f>IFERROR(VLOOKUP($C24,'HC &amp; Open Position'!$D:$J,MATCH(W$3,'HC &amp; Open Position'!$D$3:$J$3,1),0),"")</f>
        <v>4</v>
      </c>
      <c r="X24" s="4">
        <f>IFERROR(VLOOKUP($C24,'HC &amp; Open Position'!$D:$J,MATCH(X$3,'HC &amp; Open Position'!$D$3:$J$3,1),0),"")</f>
        <v>1</v>
      </c>
      <c r="Y24" s="4">
        <f>IFERROR(VLOOKUP($C24,'HC &amp; Open Position'!$D:$J,MATCH(Y$3,'HC &amp; Open Position'!$D$3:$J$3,1),0),"")</f>
        <v>0</v>
      </c>
      <c r="Z24" s="4">
        <f>IFERROR(VLOOKUP($C24,'HC &amp; Open Position'!$D:$J,MATCH(Z$3,'HC &amp; Open Position'!$D$3:$J$3,1),0),"")</f>
        <v>0</v>
      </c>
      <c r="AA24" s="94">
        <f t="shared" si="7"/>
        <v>5</v>
      </c>
      <c r="AB24" s="35">
        <f t="shared" si="8"/>
        <v>-0.33920299362194406</v>
      </c>
      <c r="AD24" s="152">
        <v>3</v>
      </c>
      <c r="AF24" s="152"/>
      <c r="AG24" s="152">
        <v>1</v>
      </c>
      <c r="AI24" s="34">
        <f>IFERROR(VLOOKUP($C24,'HC &amp; Open Position'!$D$3:$P$55,9,0),"")</f>
        <v>0</v>
      </c>
      <c r="AJ24" s="4">
        <f>IFERROR(VLOOKUP($C24,'HC &amp; Open Position'!$D$3:$P$55,10,0),"")</f>
        <v>1</v>
      </c>
      <c r="AK24" s="4">
        <f>IFERROR(VLOOKUP($C24,'HC &amp; Open Position'!$D$3:$P$55,11,0),"")</f>
        <v>0</v>
      </c>
      <c r="AL24" s="4">
        <f>IFERROR(VLOOKUP($C24,'HC &amp; Open Position'!$D$3:$P$55,12,0),"")</f>
        <v>0</v>
      </c>
      <c r="AM24" s="94">
        <f t="shared" si="9"/>
        <v>1</v>
      </c>
      <c r="AN24" s="151"/>
      <c r="AO24" s="151">
        <v>1</v>
      </c>
      <c r="AP24" s="35">
        <f t="shared" si="10"/>
        <v>-3.3392029936219441</v>
      </c>
    </row>
    <row r="25" spans="1:43" x14ac:dyDescent="0.25">
      <c r="A25" t="s">
        <v>136</v>
      </c>
      <c r="B25" s="53" t="s">
        <v>137</v>
      </c>
      <c r="C25" s="10" t="s">
        <v>137</v>
      </c>
      <c r="D25" s="4" t="s">
        <v>48</v>
      </c>
      <c r="E25" s="106">
        <v>45260</v>
      </c>
      <c r="F25" s="106">
        <v>46355</v>
      </c>
      <c r="G25" s="13" t="s">
        <v>36</v>
      </c>
      <c r="H25" s="13" t="s">
        <v>93</v>
      </c>
      <c r="I25" s="13" t="s">
        <v>38</v>
      </c>
      <c r="J25" s="25">
        <f>IFERROR(VLOOKUP(C25,CPH!$A:$E,5,0),"")</f>
        <v>69700</v>
      </c>
      <c r="K25" s="33">
        <v>42</v>
      </c>
      <c r="L25" s="133"/>
      <c r="M25" s="26"/>
      <c r="N25" s="147">
        <v>1.5</v>
      </c>
      <c r="O25" s="147">
        <v>1.83</v>
      </c>
      <c r="P25" s="33">
        <f t="shared" si="12"/>
        <v>1.9500000000000002</v>
      </c>
      <c r="Q25" s="28">
        <f t="shared" si="11"/>
        <v>7.1794871794871788</v>
      </c>
      <c r="R25" s="9">
        <f t="shared" si="4"/>
        <v>0.89743589743589736</v>
      </c>
      <c r="S25" s="9">
        <f t="shared" si="3"/>
        <v>0.11217948717948717</v>
      </c>
      <c r="T25" s="9">
        <f t="shared" si="5"/>
        <v>3.7393162393162392E-2</v>
      </c>
      <c r="U25" s="94">
        <f t="shared" si="6"/>
        <v>8.2264957264957257</v>
      </c>
      <c r="W25" s="34">
        <f>IFERROR(VLOOKUP($C25,'HC &amp; Open Position'!$D:$J,MATCH(W$3,'HC &amp; Open Position'!$D$3:$J$3,1),0),"")</f>
        <v>15</v>
      </c>
      <c r="X25" s="4">
        <f>IFERROR(VLOOKUP($C25,'HC &amp; Open Position'!$D:$J,MATCH(X$3,'HC &amp; Open Position'!$D$3:$J$3,1),0),"")</f>
        <v>1</v>
      </c>
      <c r="Y25" s="4">
        <f>IFERROR(VLOOKUP($C25,'HC &amp; Open Position'!$D:$J,MATCH(Y$3,'HC &amp; Open Position'!$D$3:$J$3,1),0),"")</f>
        <v>0</v>
      </c>
      <c r="Z25" s="4">
        <f>IFERROR(VLOOKUP($C25,'HC &amp; Open Position'!$D:$J,MATCH(Z$3,'HC &amp; Open Position'!$D$3:$J$3,1),0),"")</f>
        <v>0</v>
      </c>
      <c r="AA25" s="94">
        <f t="shared" si="7"/>
        <v>16</v>
      </c>
      <c r="AB25" s="35">
        <f t="shared" si="8"/>
        <v>-7.7735042735042743</v>
      </c>
      <c r="AD25" s="152">
        <v>3</v>
      </c>
      <c r="AF25" s="152"/>
      <c r="AG25" s="152">
        <v>2</v>
      </c>
      <c r="AI25" s="34">
        <f>IFERROR(VLOOKUP($C25,'HC &amp; Open Position'!$D$3:$P$55,9,0),"")</f>
        <v>1</v>
      </c>
      <c r="AJ25" s="4">
        <f>IFERROR(VLOOKUP($C25,'HC &amp; Open Position'!$D$3:$P$55,10,0),"")</f>
        <v>1</v>
      </c>
      <c r="AK25" s="4">
        <f>IFERROR(VLOOKUP($C25,'HC &amp; Open Position'!$D$3:$P$55,11,0),"")</f>
        <v>0</v>
      </c>
      <c r="AL25" s="4">
        <f>IFERROR(VLOOKUP($C25,'HC &amp; Open Position'!$D$3:$P$55,12,0),"")</f>
        <v>0</v>
      </c>
      <c r="AM25" s="94">
        <f t="shared" si="9"/>
        <v>2</v>
      </c>
      <c r="AN25" s="151"/>
      <c r="AO25" s="151"/>
      <c r="AP25" s="35">
        <f t="shared" si="10"/>
        <v>-12.773504273504274</v>
      </c>
    </row>
    <row r="26" spans="1:43" x14ac:dyDescent="0.25">
      <c r="A26" t="s">
        <v>138</v>
      </c>
      <c r="B26" s="53" t="s">
        <v>139</v>
      </c>
      <c r="C26" s="10" t="s">
        <v>140</v>
      </c>
      <c r="D26" s="4" t="s">
        <v>141</v>
      </c>
      <c r="E26" s="106">
        <v>45338</v>
      </c>
      <c r="F26" s="106">
        <v>46433</v>
      </c>
      <c r="G26" s="13" t="s">
        <v>42</v>
      </c>
      <c r="H26" s="13" t="s">
        <v>130</v>
      </c>
      <c r="I26" s="13" t="s">
        <v>58</v>
      </c>
      <c r="J26" s="25">
        <f>IFERROR(VLOOKUP(C26,CPH!$A:$E,5,0),"")</f>
        <v>23000</v>
      </c>
      <c r="K26" s="33">
        <v>47.6</v>
      </c>
      <c r="L26" s="133"/>
      <c r="M26" s="26"/>
      <c r="N26" s="147">
        <v>1.3</v>
      </c>
      <c r="O26" s="147">
        <v>1.1000000000000001</v>
      </c>
      <c r="P26" s="33">
        <f t="shared" si="12"/>
        <v>1.6900000000000002</v>
      </c>
      <c r="Q26" s="28">
        <f t="shared" si="11"/>
        <v>9.388560157790927</v>
      </c>
      <c r="R26" s="9">
        <f t="shared" si="4"/>
        <v>1.1735700197238659</v>
      </c>
      <c r="S26" s="9">
        <f t="shared" si="3"/>
        <v>0.14669625246548323</v>
      </c>
      <c r="T26" s="9">
        <f t="shared" si="5"/>
        <v>4.8898750821827743E-2</v>
      </c>
      <c r="U26" s="94">
        <f t="shared" si="6"/>
        <v>10.757725180802103</v>
      </c>
      <c r="W26" s="34">
        <f>IFERROR(VLOOKUP($C26,'HC &amp; Open Position'!$D:$J,MATCH(W$3,'HC &amp; Open Position'!$D$3:$J$3,1),0),"")</f>
        <v>12</v>
      </c>
      <c r="X26" s="4">
        <f>IFERROR(VLOOKUP($C26,'HC &amp; Open Position'!$D:$J,MATCH(X$3,'HC &amp; Open Position'!$D$3:$J$3,1),0),"")</f>
        <v>2</v>
      </c>
      <c r="Y26" s="4">
        <f>IFERROR(VLOOKUP($C26,'HC &amp; Open Position'!$D:$J,MATCH(Y$3,'HC &amp; Open Position'!$D$3:$J$3,1),0),"")</f>
        <v>0</v>
      </c>
      <c r="Z26" s="4">
        <f>IFERROR(VLOOKUP($C26,'HC &amp; Open Position'!$D:$J,MATCH(Z$3,'HC &amp; Open Position'!$D$3:$J$3,1),0),"")</f>
        <v>0</v>
      </c>
      <c r="AA26" s="94">
        <f t="shared" si="7"/>
        <v>14</v>
      </c>
      <c r="AB26" s="35">
        <f t="shared" si="8"/>
        <v>-3.2422748191978972</v>
      </c>
      <c r="AD26" s="152">
        <v>2</v>
      </c>
      <c r="AF26" s="152"/>
      <c r="AG26" s="152"/>
      <c r="AI26" s="34">
        <f>IFERROR(VLOOKUP($C26,'HC &amp; Open Position'!$D$3:$P$55,9,0),"")</f>
        <v>0</v>
      </c>
      <c r="AJ26" s="4">
        <f>IFERROR(VLOOKUP($C26,'HC &amp; Open Position'!$D$3:$P$55,10,0),"")</f>
        <v>0</v>
      </c>
      <c r="AK26" s="4">
        <f>IFERROR(VLOOKUP($C26,'HC &amp; Open Position'!$D$3:$P$55,11,0),"")</f>
        <v>0</v>
      </c>
      <c r="AL26" s="4">
        <f>IFERROR(VLOOKUP($C26,'HC &amp; Open Position'!$D$3:$P$55,12,0),"")</f>
        <v>0</v>
      </c>
      <c r="AM26" s="94">
        <f t="shared" si="9"/>
        <v>0</v>
      </c>
      <c r="AN26" s="151"/>
      <c r="AO26" s="151">
        <v>1</v>
      </c>
      <c r="AP26" s="35">
        <f t="shared" si="10"/>
        <v>-4.2422748191978972</v>
      </c>
    </row>
    <row r="27" spans="1:43" x14ac:dyDescent="0.25">
      <c r="A27" t="s">
        <v>142</v>
      </c>
      <c r="B27" s="53" t="s">
        <v>143</v>
      </c>
      <c r="C27" s="10" t="s">
        <v>144</v>
      </c>
      <c r="D27" s="4" t="s">
        <v>48</v>
      </c>
      <c r="E27" s="106">
        <v>45343</v>
      </c>
      <c r="F27" s="106">
        <v>46073</v>
      </c>
      <c r="G27" s="13" t="s">
        <v>42</v>
      </c>
      <c r="H27" s="13" t="s">
        <v>49</v>
      </c>
      <c r="I27" s="13" t="s">
        <v>44</v>
      </c>
      <c r="J27" s="25">
        <f>IFERROR(VLOOKUP(C27,CPH!$A:$E,5,0),"")</f>
        <v>51800</v>
      </c>
      <c r="K27" s="33">
        <v>24</v>
      </c>
      <c r="L27" s="133"/>
      <c r="M27" s="26"/>
      <c r="N27" s="147">
        <v>1.9</v>
      </c>
      <c r="O27" s="147">
        <v>1.42</v>
      </c>
      <c r="P27" s="33">
        <f t="shared" si="12"/>
        <v>2.4699999999999998</v>
      </c>
      <c r="Q27" s="28">
        <f t="shared" si="11"/>
        <v>3.238866396761134</v>
      </c>
      <c r="R27" s="9">
        <f t="shared" si="4"/>
        <v>0.40485829959514175</v>
      </c>
      <c r="S27" s="9">
        <f t="shared" si="3"/>
        <v>5.0607287449392718E-2</v>
      </c>
      <c r="T27" s="9">
        <f t="shared" si="5"/>
        <v>1.6869095816464241E-2</v>
      </c>
      <c r="U27" s="94">
        <f t="shared" si="6"/>
        <v>3.7112010796221324</v>
      </c>
      <c r="W27" s="34">
        <f>IFERROR(VLOOKUP($C27,'HC &amp; Open Position'!$D:$J,MATCH(W$3,'HC &amp; Open Position'!$D$3:$J$3,1),0),"")</f>
        <v>7</v>
      </c>
      <c r="X27" s="4">
        <f>IFERROR(VLOOKUP($C27,'HC &amp; Open Position'!$D:$J,MATCH(X$3,'HC &amp; Open Position'!$D$3:$J$3,1),0),"")</f>
        <v>0</v>
      </c>
      <c r="Y27" s="4">
        <f>IFERROR(VLOOKUP($C27,'HC &amp; Open Position'!$D:$J,MATCH(Y$3,'HC &amp; Open Position'!$D$3:$J$3,1),0),"")</f>
        <v>1</v>
      </c>
      <c r="Z27" s="4">
        <f>IFERROR(VLOOKUP($C27,'HC &amp; Open Position'!$D:$J,MATCH(Z$3,'HC &amp; Open Position'!$D$3:$J$3,1),0),"")</f>
        <v>0</v>
      </c>
      <c r="AA27" s="94">
        <f t="shared" si="7"/>
        <v>8</v>
      </c>
      <c r="AB27" s="35">
        <f t="shared" si="8"/>
        <v>-4.288798920377868</v>
      </c>
      <c r="AD27" s="152">
        <v>2</v>
      </c>
      <c r="AF27" s="152"/>
      <c r="AG27" s="152">
        <v>2</v>
      </c>
      <c r="AI27" s="34">
        <f>IFERROR(VLOOKUP($C27,'HC &amp; Open Position'!$D$3:$P$55,9,0),"")</f>
        <v>1</v>
      </c>
      <c r="AJ27" s="4">
        <f>IFERROR(VLOOKUP($C27,'HC &amp; Open Position'!$D$3:$P$55,10,0),"")</f>
        <v>1</v>
      </c>
      <c r="AK27" s="4">
        <f>IFERROR(VLOOKUP($C27,'HC &amp; Open Position'!$D$3:$P$55,11,0),"")</f>
        <v>0</v>
      </c>
      <c r="AL27" s="4">
        <f>IFERROR(VLOOKUP($C27,'HC &amp; Open Position'!$D$3:$P$55,12,0),"")</f>
        <v>0</v>
      </c>
      <c r="AM27" s="94">
        <f t="shared" si="9"/>
        <v>2</v>
      </c>
      <c r="AN27" s="151"/>
      <c r="AO27" s="151">
        <v>1</v>
      </c>
      <c r="AP27" s="35">
        <f t="shared" si="10"/>
        <v>-7.288798920377868</v>
      </c>
    </row>
    <row r="28" spans="1:43" x14ac:dyDescent="0.25">
      <c r="A28" t="s">
        <v>148</v>
      </c>
      <c r="B28" s="53" t="s">
        <v>149</v>
      </c>
      <c r="C28" s="10" t="s">
        <v>150</v>
      </c>
      <c r="D28" s="4" t="s">
        <v>48</v>
      </c>
      <c r="E28" s="106">
        <v>45292</v>
      </c>
      <c r="F28" s="106">
        <v>46394</v>
      </c>
      <c r="G28" s="13" t="s">
        <v>42</v>
      </c>
      <c r="H28" s="13" t="s">
        <v>130</v>
      </c>
      <c r="I28" s="13" t="s">
        <v>58</v>
      </c>
      <c r="J28" s="25">
        <f>IFERROR(VLOOKUP(C28,CPH!$A:$E,5,0),"")</f>
        <v>59000</v>
      </c>
      <c r="K28" s="33">
        <v>87.17</v>
      </c>
      <c r="L28" s="133"/>
      <c r="M28" s="26"/>
      <c r="N28" s="147">
        <v>1.3</v>
      </c>
      <c r="O28" s="147">
        <v>0.8662117653510738</v>
      </c>
      <c r="P28" s="33">
        <f t="shared" si="12"/>
        <v>1.6900000000000002</v>
      </c>
      <c r="Q28" s="28">
        <f t="shared" si="11"/>
        <v>17.193293885601577</v>
      </c>
      <c r="R28" s="9">
        <f t="shared" si="4"/>
        <v>2.1491617357001971</v>
      </c>
      <c r="S28" s="9">
        <f t="shared" si="3"/>
        <v>0.26864521696252464</v>
      </c>
      <c r="T28" s="9">
        <f t="shared" si="5"/>
        <v>8.9548405654174879E-2</v>
      </c>
      <c r="U28" s="94">
        <f t="shared" si="6"/>
        <v>19.700649243918473</v>
      </c>
      <c r="W28" s="34">
        <f>IFERROR(VLOOKUP($C28,'HC &amp; Open Position'!$D:$J,MATCH(W$3,'HC &amp; Open Position'!$D$3:$J$3,1),0),"")</f>
        <v>33</v>
      </c>
      <c r="X28" s="4">
        <f>IFERROR(VLOOKUP($C28,'HC &amp; Open Position'!$D:$J,MATCH(X$3,'HC &amp; Open Position'!$D$3:$J$3,1),0),"")</f>
        <v>5</v>
      </c>
      <c r="Y28" s="4">
        <f>IFERROR(VLOOKUP($C28,'HC &amp; Open Position'!$D:$J,MATCH(Y$3,'HC &amp; Open Position'!$D$3:$J$3,1),0),"")</f>
        <v>2</v>
      </c>
      <c r="Z28" s="4">
        <f>IFERROR(VLOOKUP($C28,'HC &amp; Open Position'!$D:$J,MATCH(Z$3,'HC &amp; Open Position'!$D$3:$J$3,1),0),"")</f>
        <v>0</v>
      </c>
      <c r="AA28" s="94">
        <f t="shared" si="7"/>
        <v>40</v>
      </c>
      <c r="AB28" s="35">
        <f t="shared" si="8"/>
        <v>-20.299350756081527</v>
      </c>
      <c r="AD28" s="152">
        <v>1</v>
      </c>
      <c r="AF28" s="152"/>
      <c r="AG28" s="152"/>
      <c r="AI28" s="34">
        <f>IFERROR(VLOOKUP($C28,'HC &amp; Open Position'!$D$3:$P$55,9,0),"")</f>
        <v>0</v>
      </c>
      <c r="AJ28" s="4">
        <f>IFERROR(VLOOKUP($C28,'HC &amp; Open Position'!$D$3:$P$55,10,0),"")</f>
        <v>0</v>
      </c>
      <c r="AK28" s="4">
        <f>IFERROR(VLOOKUP($C28,'HC &amp; Open Position'!$D$3:$P$55,11,0),"")</f>
        <v>0</v>
      </c>
      <c r="AL28" s="4">
        <f>IFERROR(VLOOKUP($C28,'HC &amp; Open Position'!$D$3:$P$55,12,0),"")</f>
        <v>0</v>
      </c>
      <c r="AM28" s="94">
        <f t="shared" si="9"/>
        <v>0</v>
      </c>
      <c r="AN28" s="151"/>
      <c r="AO28" s="151">
        <v>2</v>
      </c>
      <c r="AP28" s="35">
        <f t="shared" si="10"/>
        <v>-19.299350756081527</v>
      </c>
    </row>
    <row r="29" spans="1:43" x14ac:dyDescent="0.25">
      <c r="A29" t="s">
        <v>154</v>
      </c>
      <c r="B29" s="53" t="s">
        <v>155</v>
      </c>
      <c r="C29" s="10" t="s">
        <v>115</v>
      </c>
      <c r="D29" s="4" t="s">
        <v>75</v>
      </c>
      <c r="E29" s="106">
        <v>45352</v>
      </c>
      <c r="F29" s="106">
        <v>45688</v>
      </c>
      <c r="G29" s="13" t="s">
        <v>36</v>
      </c>
      <c r="H29" s="13" t="s">
        <v>93</v>
      </c>
      <c r="I29" s="13" t="s">
        <v>38</v>
      </c>
      <c r="J29" s="25">
        <f>IFERROR(VLOOKUP(C29,CPH!$A:$E,5,0),"")</f>
        <v>70000</v>
      </c>
      <c r="K29" s="33">
        <v>0</v>
      </c>
      <c r="L29" s="133"/>
      <c r="M29" s="26"/>
      <c r="N29" s="147">
        <v>1.7</v>
      </c>
      <c r="O29" s="147">
        <v>1.5042746198525094</v>
      </c>
      <c r="P29" s="33">
        <f t="shared" si="12"/>
        <v>2.21</v>
      </c>
      <c r="Q29" s="28">
        <f t="shared" si="11"/>
        <v>0</v>
      </c>
      <c r="R29" s="9">
        <f t="shared" si="4"/>
        <v>0</v>
      </c>
      <c r="S29" s="9">
        <f t="shared" si="3"/>
        <v>0</v>
      </c>
      <c r="T29" s="9">
        <f t="shared" si="5"/>
        <v>0</v>
      </c>
      <c r="U29" s="94">
        <f t="shared" si="6"/>
        <v>0</v>
      </c>
      <c r="W29" s="34">
        <f>IFERROR(VLOOKUP($C29,'HC &amp; Open Position'!$D:$J,MATCH(W$3,'HC &amp; Open Position'!$D$3:$J$3,1),0),"")</f>
        <v>0</v>
      </c>
      <c r="X29" s="4">
        <f>IFERROR(VLOOKUP($C29,'HC &amp; Open Position'!$D:$J,MATCH(X$3,'HC &amp; Open Position'!$D$3:$J$3,1),0),"")</f>
        <v>1</v>
      </c>
      <c r="Y29" s="4">
        <f>IFERROR(VLOOKUP($C29,'HC &amp; Open Position'!$D:$J,MATCH(Y$3,'HC &amp; Open Position'!$D$3:$J$3,1),0),"")</f>
        <v>0</v>
      </c>
      <c r="Z29" s="4">
        <f>IFERROR(VLOOKUP($C29,'HC &amp; Open Position'!$D:$J,MATCH(Z$3,'HC &amp; Open Position'!$D$3:$J$3,1),0),"")</f>
        <v>0</v>
      </c>
      <c r="AA29" s="94">
        <f t="shared" si="7"/>
        <v>1</v>
      </c>
      <c r="AB29" s="35">
        <f t="shared" si="8"/>
        <v>-1</v>
      </c>
      <c r="AD29" s="152"/>
      <c r="AF29" s="152"/>
      <c r="AG29" s="152"/>
      <c r="AI29" s="34">
        <f>IFERROR(VLOOKUP($C29,'HC &amp; Open Position'!$D$3:$P$55,9,0),"")</f>
        <v>0</v>
      </c>
      <c r="AJ29" s="4">
        <f>IFERROR(VLOOKUP($C29,'HC &amp; Open Position'!$D$3:$P$55,10,0),"")</f>
        <v>0</v>
      </c>
      <c r="AK29" s="4">
        <f>IFERROR(VLOOKUP($C29,'HC &amp; Open Position'!$D$3:$P$55,11,0),"")</f>
        <v>0</v>
      </c>
      <c r="AL29" s="4">
        <f>IFERROR(VLOOKUP($C29,'HC &amp; Open Position'!$D$3:$P$55,12,0),"")</f>
        <v>0</v>
      </c>
      <c r="AM29" s="94">
        <f t="shared" si="9"/>
        <v>0</v>
      </c>
      <c r="AN29" s="151"/>
      <c r="AO29" s="151"/>
      <c r="AP29" s="35">
        <f t="shared" si="10"/>
        <v>-1</v>
      </c>
    </row>
    <row r="30" spans="1:43" x14ac:dyDescent="0.25">
      <c r="A30" t="s">
        <v>156</v>
      </c>
      <c r="B30" s="53" t="s">
        <v>157</v>
      </c>
      <c r="C30" s="10" t="s">
        <v>157</v>
      </c>
      <c r="D30" s="4" t="s">
        <v>121</v>
      </c>
      <c r="E30" s="106">
        <v>45352</v>
      </c>
      <c r="F30" s="106">
        <v>45900</v>
      </c>
      <c r="G30" s="13" t="s">
        <v>42</v>
      </c>
      <c r="H30" s="13" t="s">
        <v>43</v>
      </c>
      <c r="I30" s="13" t="s">
        <v>44</v>
      </c>
      <c r="J30" s="25">
        <f>IFERROR(VLOOKUP(C30,CPH!$A:$E,5,0),"")</f>
        <v>58700</v>
      </c>
      <c r="K30" s="33">
        <v>57.34</v>
      </c>
      <c r="L30" s="133"/>
      <c r="M30" s="26"/>
      <c r="N30" s="147">
        <v>0.9568345992391446</v>
      </c>
      <c r="O30" s="147">
        <v>0.8085778357448592</v>
      </c>
      <c r="P30" s="33">
        <f t="shared" si="12"/>
        <v>1.2438849790108881</v>
      </c>
      <c r="Q30" s="28">
        <f t="shared" si="11"/>
        <v>15.365836597312931</v>
      </c>
      <c r="R30" s="9">
        <f t="shared" si="4"/>
        <v>1.9207295746641164</v>
      </c>
      <c r="S30" s="9">
        <f t="shared" si="3"/>
        <v>0.24009119683301455</v>
      </c>
      <c r="T30" s="9">
        <f t="shared" si="5"/>
        <v>8.003039894433818E-2</v>
      </c>
      <c r="U30" s="94">
        <f t="shared" si="6"/>
        <v>17.606687767754398</v>
      </c>
      <c r="W30" s="34">
        <f>IFERROR(VLOOKUP($C30,'HC &amp; Open Position'!$D:$J,MATCH(W$3,'HC &amp; Open Position'!$D$3:$J$3,1),0),"")</f>
        <v>13</v>
      </c>
      <c r="X30" s="4">
        <f>IFERROR(VLOOKUP($C30,'HC &amp; Open Position'!$D:$J,MATCH(X$3,'HC &amp; Open Position'!$D$3:$J$3,1),0),"")</f>
        <v>1</v>
      </c>
      <c r="Y30" s="4">
        <f>IFERROR(VLOOKUP($C30,'HC &amp; Open Position'!$D:$J,MATCH(Y$3,'HC &amp; Open Position'!$D$3:$J$3,1),0),"")</f>
        <v>0</v>
      </c>
      <c r="Z30" s="4">
        <f>IFERROR(VLOOKUP($C30,'HC &amp; Open Position'!$D:$J,MATCH(Z$3,'HC &amp; Open Position'!$D$3:$J$3,1),0),"")</f>
        <v>0</v>
      </c>
      <c r="AA30" s="94">
        <f t="shared" si="7"/>
        <v>14</v>
      </c>
      <c r="AB30" s="35">
        <f t="shared" si="8"/>
        <v>3.6066877677543978</v>
      </c>
      <c r="AD30" s="152"/>
      <c r="AF30" s="152"/>
      <c r="AG30" s="152">
        <v>1</v>
      </c>
      <c r="AI30" s="34">
        <f>IFERROR(VLOOKUP($C30,'HC &amp; Open Position'!$D$3:$P$55,9,0),"")</f>
        <v>1</v>
      </c>
      <c r="AJ30" s="4">
        <f>IFERROR(VLOOKUP($C30,'HC &amp; Open Position'!$D$3:$P$55,10,0),"")</f>
        <v>0</v>
      </c>
      <c r="AK30" s="4">
        <f>IFERROR(VLOOKUP($C30,'HC &amp; Open Position'!$D$3:$P$55,11,0),"")</f>
        <v>0</v>
      </c>
      <c r="AL30" s="4">
        <f>IFERROR(VLOOKUP($C30,'HC &amp; Open Position'!$D$3:$P$55,12,0),"")</f>
        <v>0</v>
      </c>
      <c r="AM30" s="94">
        <f t="shared" si="9"/>
        <v>1</v>
      </c>
      <c r="AN30" s="151"/>
      <c r="AO30" s="151"/>
      <c r="AP30" s="35">
        <f t="shared" si="10"/>
        <v>2.6066877677543978</v>
      </c>
    </row>
    <row r="31" spans="1:43" x14ac:dyDescent="0.25">
      <c r="A31" t="s">
        <v>158</v>
      </c>
      <c r="B31" s="53" t="s">
        <v>159</v>
      </c>
      <c r="C31" s="10" t="s">
        <v>159</v>
      </c>
      <c r="D31" s="4" t="s">
        <v>160</v>
      </c>
      <c r="E31" s="106">
        <v>45383</v>
      </c>
      <c r="F31" s="106">
        <v>46498</v>
      </c>
      <c r="G31" s="13" t="s">
        <v>42</v>
      </c>
      <c r="H31" s="13" t="s">
        <v>53</v>
      </c>
      <c r="I31" s="13" t="s">
        <v>44</v>
      </c>
      <c r="J31" s="25">
        <f>IFERROR(VLOOKUP(C31,CPH!$A:$E,5,0),"")</f>
        <v>56000</v>
      </c>
      <c r="K31" s="33">
        <v>5.44</v>
      </c>
      <c r="L31" s="133"/>
      <c r="M31" s="26"/>
      <c r="N31" s="147">
        <v>0.47125925925925927</v>
      </c>
      <c r="O31" s="147">
        <v>0.46266500053448933</v>
      </c>
      <c r="P31" s="33">
        <v>1</v>
      </c>
      <c r="Q31" s="28">
        <f t="shared" si="11"/>
        <v>1.8133333333333335</v>
      </c>
      <c r="R31" s="9">
        <f t="shared" si="4"/>
        <v>0.22666666666666668</v>
      </c>
      <c r="S31" s="9">
        <f t="shared" si="3"/>
        <v>2.8333333333333335E-2</v>
      </c>
      <c r="T31" s="9">
        <f t="shared" si="5"/>
        <v>9.4444444444444445E-3</v>
      </c>
      <c r="U31" s="94">
        <f t="shared" si="6"/>
        <v>2.0777777777777779</v>
      </c>
      <c r="W31" s="34">
        <f>IFERROR(VLOOKUP($C31,'HC &amp; Open Position'!$D:$J,MATCH(W$3,'HC &amp; Open Position'!$D$3:$J$3,1),0),"")</f>
        <v>1</v>
      </c>
      <c r="X31" s="4">
        <f>IFERROR(VLOOKUP($C31,'HC &amp; Open Position'!$D:$J,MATCH(X$3,'HC &amp; Open Position'!$D$3:$J$3,1),0),"")</f>
        <v>0</v>
      </c>
      <c r="Y31" s="4">
        <f>IFERROR(VLOOKUP($C31,'HC &amp; Open Position'!$D:$J,MATCH(Y$3,'HC &amp; Open Position'!$D$3:$J$3,1),0),"")</f>
        <v>0</v>
      </c>
      <c r="Z31" s="4">
        <f>IFERROR(VLOOKUP($C31,'HC &amp; Open Position'!$D:$J,MATCH(Z$3,'HC &amp; Open Position'!$D$3:$J$3,1),0),"")</f>
        <v>0</v>
      </c>
      <c r="AA31" s="94">
        <f t="shared" si="7"/>
        <v>1</v>
      </c>
      <c r="AB31" s="35">
        <f t="shared" si="8"/>
        <v>1.0777777777777779</v>
      </c>
      <c r="AD31" s="152"/>
      <c r="AF31" s="152"/>
      <c r="AG31" s="152"/>
      <c r="AI31" s="34">
        <f>IFERROR(VLOOKUP($C31,'HC &amp; Open Position'!$D$3:$P$55,9,0),"")</f>
        <v>0</v>
      </c>
      <c r="AJ31" s="4">
        <f>IFERROR(VLOOKUP($C31,'HC &amp; Open Position'!$D$3:$P$55,10,0),"")</f>
        <v>0</v>
      </c>
      <c r="AK31" s="4">
        <f>IFERROR(VLOOKUP($C31,'HC &amp; Open Position'!$D$3:$P$55,11,0),"")</f>
        <v>0</v>
      </c>
      <c r="AL31" s="4">
        <f>IFERROR(VLOOKUP($C31,'HC &amp; Open Position'!$D$3:$P$55,12,0),"")</f>
        <v>0</v>
      </c>
      <c r="AM31" s="94">
        <f t="shared" si="9"/>
        <v>0</v>
      </c>
      <c r="AN31" s="151"/>
      <c r="AO31" s="151"/>
      <c r="AP31" s="35">
        <f t="shared" si="10"/>
        <v>1.0777777777777779</v>
      </c>
    </row>
    <row r="32" spans="1:43" x14ac:dyDescent="0.25">
      <c r="A32" t="s">
        <v>161</v>
      </c>
      <c r="B32" s="53" t="s">
        <v>162</v>
      </c>
      <c r="C32" s="10" t="s">
        <v>162</v>
      </c>
      <c r="D32" s="4" t="s">
        <v>163</v>
      </c>
      <c r="E32" s="106">
        <v>45383</v>
      </c>
      <c r="F32" s="106">
        <v>46140</v>
      </c>
      <c r="G32" s="13" t="s">
        <v>42</v>
      </c>
      <c r="H32" s="13" t="s">
        <v>72</v>
      </c>
      <c r="I32" s="13" t="s">
        <v>44</v>
      </c>
      <c r="J32" s="25">
        <f>IFERROR(VLOOKUP(C32,CPH!$A:$E,5,0),"")</f>
        <v>62000</v>
      </c>
      <c r="K32" s="33">
        <v>11.1</v>
      </c>
      <c r="L32" s="133"/>
      <c r="M32" s="26"/>
      <c r="N32" s="147">
        <v>1.3036394711594712</v>
      </c>
      <c r="O32" s="147">
        <v>1.2831215409825929</v>
      </c>
      <c r="P32" s="33">
        <f>IFERROR(N32*1.3,1.8)</f>
        <v>1.6947313125073127</v>
      </c>
      <c r="Q32" s="28">
        <f t="shared" si="11"/>
        <v>2.183236937143707</v>
      </c>
      <c r="R32" s="9">
        <f t="shared" si="4"/>
        <v>0.27290461714296338</v>
      </c>
      <c r="S32" s="9">
        <f t="shared" si="3"/>
        <v>3.4113077142870422E-2</v>
      </c>
      <c r="T32" s="9">
        <f t="shared" si="5"/>
        <v>1.1371025714290141E-2</v>
      </c>
      <c r="U32" s="94">
        <f t="shared" si="6"/>
        <v>2.5016256571438311</v>
      </c>
      <c r="W32" s="34">
        <f>IFERROR(VLOOKUP($C32,'HC &amp; Open Position'!$D:$J,MATCH(W$3,'HC &amp; Open Position'!$D$3:$J$3,1),0),"")</f>
        <v>0</v>
      </c>
      <c r="X32" s="4">
        <f>IFERROR(VLOOKUP($C32,'HC &amp; Open Position'!$D:$J,MATCH(X$3,'HC &amp; Open Position'!$D$3:$J$3,1),0),"")</f>
        <v>0</v>
      </c>
      <c r="Y32" s="4">
        <f>IFERROR(VLOOKUP($C32,'HC &amp; Open Position'!$D:$J,MATCH(Y$3,'HC &amp; Open Position'!$D$3:$J$3,1),0),"")</f>
        <v>1</v>
      </c>
      <c r="Z32" s="4">
        <f>IFERROR(VLOOKUP($C32,'HC &amp; Open Position'!$D:$J,MATCH(Z$3,'HC &amp; Open Position'!$D$3:$J$3,1),0),"")</f>
        <v>0</v>
      </c>
      <c r="AA32" s="94">
        <f t="shared" si="7"/>
        <v>1</v>
      </c>
      <c r="AB32" s="35">
        <f t="shared" si="8"/>
        <v>1.5016256571438311</v>
      </c>
      <c r="AD32" s="152"/>
      <c r="AF32" s="152"/>
      <c r="AG32" s="152"/>
      <c r="AI32" s="34">
        <f>IFERROR(VLOOKUP($C32,'HC &amp; Open Position'!$D$3:$P$55,9,0),"")</f>
        <v>0</v>
      </c>
      <c r="AJ32" s="4">
        <f>IFERROR(VLOOKUP($C32,'HC &amp; Open Position'!$D$3:$P$55,10,0),"")</f>
        <v>0</v>
      </c>
      <c r="AK32" s="4">
        <f>IFERROR(VLOOKUP($C32,'HC &amp; Open Position'!$D$3:$P$55,11,0),"")</f>
        <v>0</v>
      </c>
      <c r="AL32" s="4">
        <f>IFERROR(VLOOKUP($C32,'HC &amp; Open Position'!$D$3:$P$55,12,0),"")</f>
        <v>0</v>
      </c>
      <c r="AM32" s="94">
        <f t="shared" si="9"/>
        <v>0</v>
      </c>
      <c r="AN32" s="151"/>
      <c r="AO32" s="151"/>
      <c r="AP32" s="35">
        <f t="shared" si="10"/>
        <v>1.5016256571438311</v>
      </c>
    </row>
    <row r="33" spans="1:42" x14ac:dyDescent="0.25">
      <c r="A33" t="s">
        <v>166</v>
      </c>
      <c r="B33" s="53" t="s">
        <v>169</v>
      </c>
      <c r="C33" s="10" t="s">
        <v>170</v>
      </c>
      <c r="D33" s="4"/>
      <c r="E33" s="106"/>
      <c r="F33" s="106"/>
      <c r="G33" s="13" t="s">
        <v>42</v>
      </c>
      <c r="H33" s="13" t="s">
        <v>130</v>
      </c>
      <c r="I33" s="13" t="s">
        <v>58</v>
      </c>
      <c r="J33" s="25">
        <f>IFERROR(VLOOKUP(C33,CPH!$A:$E,5,0),"")</f>
        <v>60000</v>
      </c>
      <c r="K33" s="33">
        <v>0</v>
      </c>
      <c r="L33" s="133"/>
      <c r="M33" s="26"/>
      <c r="N33" s="147" t="s">
        <v>79</v>
      </c>
      <c r="O33" s="147">
        <v>0.62068751487063833</v>
      </c>
      <c r="P33" s="33">
        <f>IFERROR(N33*1.3,1.8)</f>
        <v>1.8</v>
      </c>
      <c r="Q33" s="28">
        <f t="shared" si="11"/>
        <v>0</v>
      </c>
      <c r="R33" s="9">
        <f t="shared" si="4"/>
        <v>0</v>
      </c>
      <c r="S33" s="9">
        <f t="shared" si="3"/>
        <v>0</v>
      </c>
      <c r="T33" s="9">
        <f t="shared" si="5"/>
        <v>0</v>
      </c>
      <c r="U33" s="94">
        <f t="shared" si="6"/>
        <v>0</v>
      </c>
      <c r="W33" s="34">
        <f>IFERROR(VLOOKUP($C33,'HC &amp; Open Position'!$D:$J,MATCH(W$3,'HC &amp; Open Position'!$D$3:$J$3,1),0),"")</f>
        <v>1</v>
      </c>
      <c r="X33" s="4">
        <f>IFERROR(VLOOKUP($C33,'HC &amp; Open Position'!$D:$J,MATCH(X$3,'HC &amp; Open Position'!$D$3:$J$3,1),0),"")</f>
        <v>0</v>
      </c>
      <c r="Y33" s="4">
        <f>IFERROR(VLOOKUP($C33,'HC &amp; Open Position'!$D:$J,MATCH(Y$3,'HC &amp; Open Position'!$D$3:$J$3,1),0),"")</f>
        <v>0</v>
      </c>
      <c r="Z33" s="4">
        <f>IFERROR(VLOOKUP($C33,'HC &amp; Open Position'!$D:$J,MATCH(Z$3,'HC &amp; Open Position'!$D$3:$J$3,1),0),"")</f>
        <v>0</v>
      </c>
      <c r="AA33" s="94">
        <f t="shared" si="7"/>
        <v>1</v>
      </c>
      <c r="AB33" s="35">
        <f t="shared" si="8"/>
        <v>-1</v>
      </c>
      <c r="AD33" s="152"/>
      <c r="AF33" s="152"/>
      <c r="AG33" s="152"/>
      <c r="AI33" s="34">
        <f>IFERROR(VLOOKUP($C33,'HC &amp; Open Position'!$D$3:$P$55,9,0),"")</f>
        <v>0</v>
      </c>
      <c r="AJ33" s="4">
        <f>IFERROR(VLOOKUP($C33,'HC &amp; Open Position'!$D$3:$P$55,10,0),"")</f>
        <v>0</v>
      </c>
      <c r="AK33" s="4">
        <f>IFERROR(VLOOKUP($C33,'HC &amp; Open Position'!$D$3:$P$55,11,0),"")</f>
        <v>0</v>
      </c>
      <c r="AL33" s="4">
        <f>IFERROR(VLOOKUP($C33,'HC &amp; Open Position'!$D$3:$P$55,12,0),"")</f>
        <v>0</v>
      </c>
      <c r="AM33" s="94">
        <f t="shared" si="9"/>
        <v>0</v>
      </c>
      <c r="AN33" s="151"/>
      <c r="AO33" s="151"/>
      <c r="AP33" s="35">
        <f t="shared" si="10"/>
        <v>-1</v>
      </c>
    </row>
    <row r="34" spans="1:42" x14ac:dyDescent="0.25">
      <c r="A34" t="s">
        <v>171</v>
      </c>
      <c r="B34" s="53" t="s">
        <v>172</v>
      </c>
      <c r="C34" s="10" t="s">
        <v>173</v>
      </c>
      <c r="D34" s="4" t="s">
        <v>52</v>
      </c>
      <c r="E34" s="106">
        <v>45505</v>
      </c>
      <c r="F34" s="106">
        <v>46247</v>
      </c>
      <c r="G34" s="13" t="s">
        <v>42</v>
      </c>
      <c r="H34" s="13" t="s">
        <v>130</v>
      </c>
      <c r="I34" s="13" t="s">
        <v>58</v>
      </c>
      <c r="J34" s="25">
        <f>IFERROR(VLOOKUP(C34,CPH!$A:$E,5,0),"")</f>
        <v>54000</v>
      </c>
      <c r="K34" s="33">
        <v>12.8</v>
      </c>
      <c r="L34" s="133"/>
      <c r="M34" s="26"/>
      <c r="N34" s="147">
        <v>2.2000000000000002</v>
      </c>
      <c r="O34" s="147">
        <v>0.66</v>
      </c>
      <c r="P34" s="33">
        <f>IFERROR(N34*1.3,1.8)</f>
        <v>2.8600000000000003</v>
      </c>
      <c r="Q34" s="28">
        <f t="shared" si="11"/>
        <v>1.4918414918414915</v>
      </c>
      <c r="R34" s="9">
        <f t="shared" si="4"/>
        <v>0.18648018648018644</v>
      </c>
      <c r="S34" s="9">
        <f t="shared" si="3"/>
        <v>2.3310023310023305E-2</v>
      </c>
      <c r="T34" s="9">
        <f t="shared" si="5"/>
        <v>7.7700077700077683E-3</v>
      </c>
      <c r="U34" s="94">
        <f t="shared" si="6"/>
        <v>1.7094017094017091</v>
      </c>
      <c r="W34" s="34">
        <f>IFERROR(VLOOKUP($C34,'HC &amp; Open Position'!$D:$J,MATCH(W$3,'HC &amp; Open Position'!$D$3:$J$3,1),0),"")</f>
        <v>3</v>
      </c>
      <c r="X34" s="4">
        <f>IFERROR(VLOOKUP($C34,'HC &amp; Open Position'!$D:$J,MATCH(X$3,'HC &amp; Open Position'!$D$3:$J$3,1),0),"")</f>
        <v>0</v>
      </c>
      <c r="Y34" s="4">
        <f>IFERROR(VLOOKUP($C34,'HC &amp; Open Position'!$D:$J,MATCH(Y$3,'HC &amp; Open Position'!$D$3:$J$3,1),0),"")</f>
        <v>0</v>
      </c>
      <c r="Z34" s="4">
        <f>IFERROR(VLOOKUP($C34,'HC &amp; Open Position'!$D:$J,MATCH(Z$3,'HC &amp; Open Position'!$D$3:$J$3,1),0),"")</f>
        <v>0</v>
      </c>
      <c r="AA34" s="94">
        <f t="shared" si="7"/>
        <v>3</v>
      </c>
      <c r="AB34" s="35">
        <f t="shared" si="8"/>
        <v>-1.2905982905982909</v>
      </c>
      <c r="AD34" s="152"/>
      <c r="AF34" s="152"/>
      <c r="AG34" s="152"/>
      <c r="AI34" s="34">
        <f>IFERROR(VLOOKUP($C34,'HC &amp; Open Position'!$D$3:$P$55,9,0),"")</f>
        <v>0</v>
      </c>
      <c r="AJ34" s="4">
        <f>IFERROR(VLOOKUP($C34,'HC &amp; Open Position'!$D$3:$P$55,10,0),"")</f>
        <v>0</v>
      </c>
      <c r="AK34" s="4">
        <f>IFERROR(VLOOKUP($C34,'HC &amp; Open Position'!$D$3:$P$55,11,0),"")</f>
        <v>0</v>
      </c>
      <c r="AL34" s="4">
        <f>IFERROR(VLOOKUP($C34,'HC &amp; Open Position'!$D$3:$P$55,12,0),"")</f>
        <v>0</v>
      </c>
      <c r="AM34" s="94">
        <f t="shared" si="9"/>
        <v>0</v>
      </c>
      <c r="AN34" s="151"/>
      <c r="AO34" s="151"/>
      <c r="AP34" s="35">
        <f t="shared" si="10"/>
        <v>-1.2905982905982909</v>
      </c>
    </row>
    <row r="35" spans="1:42" x14ac:dyDescent="0.25">
      <c r="A35" t="s">
        <v>174</v>
      </c>
      <c r="B35" s="53" t="s">
        <v>175</v>
      </c>
      <c r="C35" s="10" t="s">
        <v>176</v>
      </c>
      <c r="D35" s="4" t="s">
        <v>52</v>
      </c>
      <c r="E35" s="106">
        <v>45505</v>
      </c>
      <c r="F35" s="106">
        <v>46699</v>
      </c>
      <c r="G35" s="13" t="s">
        <v>42</v>
      </c>
      <c r="H35" s="13" t="s">
        <v>72</v>
      </c>
      <c r="I35" s="13" t="s">
        <v>44</v>
      </c>
      <c r="J35" s="25">
        <f>IFERROR(VLOOKUP(C35,CPH!$A:$E,5,0),"")</f>
        <v>41600</v>
      </c>
      <c r="K35" s="33">
        <v>24.98</v>
      </c>
      <c r="L35" s="133"/>
      <c r="M35" s="26"/>
      <c r="N35" s="147">
        <v>1.9</v>
      </c>
      <c r="O35" s="147">
        <v>1.6091534394081159</v>
      </c>
      <c r="P35" s="33">
        <f>IFERROR(N35*1.3,1.8)</f>
        <v>2.4699999999999998</v>
      </c>
      <c r="Q35" s="28">
        <f t="shared" si="11"/>
        <v>3.3711201079622137</v>
      </c>
      <c r="R35" s="9">
        <f t="shared" si="4"/>
        <v>0.42139001349527672</v>
      </c>
      <c r="S35" s="9">
        <f t="shared" si="3"/>
        <v>5.267375168690959E-2</v>
      </c>
      <c r="T35" s="9">
        <f t="shared" si="5"/>
        <v>1.7557917228969863E-2</v>
      </c>
      <c r="U35" s="94">
        <f t="shared" si="6"/>
        <v>3.8627417903733696</v>
      </c>
      <c r="W35" s="34">
        <f>IFERROR(VLOOKUP($C35,'HC &amp; Open Position'!$D:$J,MATCH(W$3,'HC &amp; Open Position'!$D$3:$J$3,1),0),"")</f>
        <v>4</v>
      </c>
      <c r="X35" s="4">
        <f>IFERROR(VLOOKUP($C35,'HC &amp; Open Position'!$D:$J,MATCH(X$3,'HC &amp; Open Position'!$D$3:$J$3,1),0),"")</f>
        <v>1</v>
      </c>
      <c r="Y35" s="4">
        <f>IFERROR(VLOOKUP($C35,'HC &amp; Open Position'!$D:$J,MATCH(Y$3,'HC &amp; Open Position'!$D$3:$J$3,1),0),"")</f>
        <v>0</v>
      </c>
      <c r="Z35" s="4">
        <f>IFERROR(VLOOKUP($C35,'HC &amp; Open Position'!$D:$J,MATCH(Z$3,'HC &amp; Open Position'!$D$3:$J$3,1),0),"")</f>
        <v>0</v>
      </c>
      <c r="AA35" s="94">
        <f t="shared" si="7"/>
        <v>5</v>
      </c>
      <c r="AB35" s="35">
        <f t="shared" si="8"/>
        <v>-1.1372582096266304</v>
      </c>
      <c r="AD35" s="152"/>
      <c r="AF35" s="152"/>
      <c r="AG35" s="152"/>
      <c r="AI35" s="34">
        <f>IFERROR(VLOOKUP($C35,'HC &amp; Open Position'!$D$3:$P$55,9,0),"")</f>
        <v>0</v>
      </c>
      <c r="AJ35" s="4">
        <f>IFERROR(VLOOKUP($C35,'HC &amp; Open Position'!$D$3:$P$55,10,0),"")</f>
        <v>0</v>
      </c>
      <c r="AK35" s="4">
        <f>IFERROR(VLOOKUP($C35,'HC &amp; Open Position'!$D$3:$P$55,11,0),"")</f>
        <v>0</v>
      </c>
      <c r="AL35" s="4">
        <f>IFERROR(VLOOKUP($C35,'HC &amp; Open Position'!$D$3:$P$55,12,0),"")</f>
        <v>0</v>
      </c>
      <c r="AM35" s="94">
        <f t="shared" si="9"/>
        <v>0</v>
      </c>
      <c r="AN35" s="151"/>
      <c r="AO35" s="151"/>
      <c r="AP35" s="35">
        <f t="shared" si="10"/>
        <v>-1.1372582096266304</v>
      </c>
    </row>
    <row r="36" spans="1:42" x14ac:dyDescent="0.25">
      <c r="A36" t="s">
        <v>177</v>
      </c>
      <c r="B36" s="53" t="s">
        <v>178</v>
      </c>
      <c r="C36" s="10" t="s">
        <v>178</v>
      </c>
      <c r="D36" s="4" t="s">
        <v>52</v>
      </c>
      <c r="E36" s="106">
        <v>45600</v>
      </c>
      <c r="F36" s="106">
        <v>46330</v>
      </c>
      <c r="G36" s="13" t="s">
        <v>42</v>
      </c>
      <c r="H36" s="13" t="s">
        <v>49</v>
      </c>
      <c r="I36" s="13" t="s">
        <v>44</v>
      </c>
      <c r="J36" s="25" t="str">
        <f>IFERROR(VLOOKUP(C36,CPH!$A:$E,5,0),"")</f>
        <v/>
      </c>
      <c r="K36" s="33">
        <v>10.86</v>
      </c>
      <c r="L36" s="133"/>
      <c r="M36" s="26"/>
      <c r="N36" s="147">
        <v>0.96666666666666656</v>
      </c>
      <c r="O36" s="147">
        <v>2.1749833460882351</v>
      </c>
      <c r="P36" s="33">
        <v>2.4</v>
      </c>
      <c r="Q36" s="28">
        <f t="shared" si="11"/>
        <v>1.5083333333333333</v>
      </c>
      <c r="R36" s="9">
        <f t="shared" si="4"/>
        <v>0.18854166666666666</v>
      </c>
      <c r="S36" s="9">
        <f t="shared" si="3"/>
        <v>2.3567708333333333E-2</v>
      </c>
      <c r="T36" s="9">
        <f t="shared" si="5"/>
        <v>7.8559027777777776E-3</v>
      </c>
      <c r="U36" s="94">
        <f t="shared" si="6"/>
        <v>1.7282986111111112</v>
      </c>
      <c r="W36" s="34">
        <f>IFERROR(VLOOKUP($C36,'HC &amp; Open Position'!$D:$J,MATCH(W$3,'HC &amp; Open Position'!$D$3:$J$3,1),0),"")</f>
        <v>2</v>
      </c>
      <c r="X36" s="4">
        <f>IFERROR(VLOOKUP($C36,'HC &amp; Open Position'!$D:$J,MATCH(X$3,'HC &amp; Open Position'!$D$3:$J$3,1),0),"")</f>
        <v>1</v>
      </c>
      <c r="Y36" s="4">
        <f>IFERROR(VLOOKUP($C36,'HC &amp; Open Position'!$D:$J,MATCH(Y$3,'HC &amp; Open Position'!$D$3:$J$3,1),0),"")</f>
        <v>0</v>
      </c>
      <c r="Z36" s="4">
        <f>IFERROR(VLOOKUP($C36,'HC &amp; Open Position'!$D:$J,MATCH(Z$3,'HC &amp; Open Position'!$D$3:$J$3,1),0),"")</f>
        <v>0</v>
      </c>
      <c r="AA36" s="94">
        <f t="shared" si="7"/>
        <v>3</v>
      </c>
      <c r="AB36" s="35">
        <f t="shared" si="8"/>
        <v>-1.2717013888888888</v>
      </c>
      <c r="AD36" s="152"/>
      <c r="AF36" s="152"/>
      <c r="AG36" s="152"/>
      <c r="AI36" s="34">
        <f>IFERROR(VLOOKUP($C36,'HC &amp; Open Position'!$D$3:$P$55,9,0),"")</f>
        <v>0</v>
      </c>
      <c r="AJ36" s="4">
        <f>IFERROR(VLOOKUP($C36,'HC &amp; Open Position'!$D$3:$P$55,10,0),"")</f>
        <v>0</v>
      </c>
      <c r="AK36" s="4">
        <f>IFERROR(VLOOKUP($C36,'HC &amp; Open Position'!$D$3:$P$55,11,0),"")</f>
        <v>0</v>
      </c>
      <c r="AL36" s="4">
        <f>IFERROR(VLOOKUP($C36,'HC &amp; Open Position'!$D$3:$P$55,12,0),"")</f>
        <v>0</v>
      </c>
      <c r="AM36" s="94">
        <f t="shared" si="9"/>
        <v>0</v>
      </c>
      <c r="AN36" s="151"/>
      <c r="AO36" s="151"/>
      <c r="AP36" s="35">
        <f t="shared" si="10"/>
        <v>-1.2717013888888888</v>
      </c>
    </row>
    <row r="37" spans="1:42" x14ac:dyDescent="0.25">
      <c r="A37" t="s">
        <v>179</v>
      </c>
      <c r="B37" s="53" t="s">
        <v>180</v>
      </c>
      <c r="C37" s="10" t="s">
        <v>181</v>
      </c>
      <c r="D37" s="4" t="s">
        <v>52</v>
      </c>
      <c r="E37" s="106">
        <v>45536</v>
      </c>
      <c r="F37" s="106">
        <v>46656</v>
      </c>
      <c r="G37" s="13" t="s">
        <v>42</v>
      </c>
      <c r="H37" s="13" t="s">
        <v>53</v>
      </c>
      <c r="I37" s="13" t="s">
        <v>44</v>
      </c>
      <c r="J37" s="25">
        <f>IFERROR(VLOOKUP(C37,CPH!$A:$E,5,0),"")</f>
        <v>32000</v>
      </c>
      <c r="K37" s="33">
        <v>122.59</v>
      </c>
      <c r="L37" s="133"/>
      <c r="M37" s="26"/>
      <c r="N37" s="147">
        <v>0.9</v>
      </c>
      <c r="O37" s="147">
        <v>1.6376302212535012</v>
      </c>
      <c r="P37" s="33">
        <v>2</v>
      </c>
      <c r="Q37" s="28">
        <f t="shared" si="11"/>
        <v>20.431666666666668</v>
      </c>
      <c r="R37" s="9">
        <f t="shared" si="4"/>
        <v>2.5539583333333336</v>
      </c>
      <c r="S37" s="9">
        <f t="shared" si="3"/>
        <v>0.31924479166666669</v>
      </c>
      <c r="T37" s="9">
        <f t="shared" si="5"/>
        <v>0.10641493055555556</v>
      </c>
      <c r="U37" s="94">
        <f t="shared" si="6"/>
        <v>23.411284722222224</v>
      </c>
      <c r="W37" s="34">
        <f>IFERROR(VLOOKUP($C37,'HC &amp; Open Position'!$D:$J,MATCH(W$3,'HC &amp; Open Position'!$D$3:$J$3,1),0),"")</f>
        <v>22</v>
      </c>
      <c r="X37" s="4">
        <f>IFERROR(VLOOKUP($C37,'HC &amp; Open Position'!$D:$J,MATCH(X$3,'HC &amp; Open Position'!$D$3:$J$3,1),0),"")</f>
        <v>1</v>
      </c>
      <c r="Y37" s="4">
        <f>IFERROR(VLOOKUP($C37,'HC &amp; Open Position'!$D:$J,MATCH(Y$3,'HC &amp; Open Position'!$D$3:$J$3,1),0),"")</f>
        <v>0</v>
      </c>
      <c r="Z37" s="4">
        <f>IFERROR(VLOOKUP($C37,'HC &amp; Open Position'!$D:$J,MATCH(Z$3,'HC &amp; Open Position'!$D$3:$J$3,1),0),"")</f>
        <v>0</v>
      </c>
      <c r="AA37" s="94">
        <f t="shared" si="7"/>
        <v>23</v>
      </c>
      <c r="AB37" s="35">
        <f t="shared" si="8"/>
        <v>0.41128472222222356</v>
      </c>
      <c r="AD37" s="205">
        <v>6</v>
      </c>
      <c r="AF37" s="152"/>
      <c r="AG37" s="152">
        <v>1</v>
      </c>
      <c r="AI37" s="34">
        <f>IFERROR(VLOOKUP($C37,'HC &amp; Open Position'!$D$3:$P$55,9,0),"")</f>
        <v>1</v>
      </c>
      <c r="AJ37" s="4">
        <f>IFERROR(VLOOKUP($C37,'HC &amp; Open Position'!$D$3:$P$55,10,0),"")</f>
        <v>0</v>
      </c>
      <c r="AK37" s="4">
        <f>IFERROR(VLOOKUP($C37,'HC &amp; Open Position'!$D$3:$P$55,11,0),"")</f>
        <v>0</v>
      </c>
      <c r="AL37" s="4">
        <f>IFERROR(VLOOKUP($C37,'HC &amp; Open Position'!$D$3:$P$55,12,0),"")</f>
        <v>0</v>
      </c>
      <c r="AM37" s="94">
        <f t="shared" si="9"/>
        <v>1</v>
      </c>
      <c r="AN37" s="151"/>
      <c r="AO37" s="151">
        <v>1</v>
      </c>
      <c r="AP37" s="35">
        <f t="shared" si="10"/>
        <v>-5.5887152777777764</v>
      </c>
    </row>
    <row r="38" spans="1:42" x14ac:dyDescent="0.25">
      <c r="A38" t="s">
        <v>182</v>
      </c>
      <c r="B38" s="53" t="s">
        <v>183</v>
      </c>
      <c r="C38" s="10" t="s">
        <v>184</v>
      </c>
      <c r="D38" s="4" t="s">
        <v>52</v>
      </c>
      <c r="E38" s="106">
        <v>45587</v>
      </c>
      <c r="F38" s="106">
        <v>45952</v>
      </c>
      <c r="G38" s="13" t="s">
        <v>36</v>
      </c>
      <c r="H38" s="13" t="s">
        <v>93</v>
      </c>
      <c r="I38" s="13" t="s">
        <v>38</v>
      </c>
      <c r="J38" s="25">
        <f>IFERROR(VLOOKUP(C38,CPH!$A:$E,5,0),"")</f>
        <v>97346</v>
      </c>
      <c r="K38" s="33">
        <v>42</v>
      </c>
      <c r="L38" s="133"/>
      <c r="M38" s="26"/>
      <c r="N38" s="147">
        <v>1.5</v>
      </c>
      <c r="O38" s="147">
        <v>1.7</v>
      </c>
      <c r="P38" s="33">
        <f>IFERROR(N38*1.3,1.8)</f>
        <v>1.9500000000000002</v>
      </c>
      <c r="Q38" s="28">
        <f t="shared" si="11"/>
        <v>7.1794871794871788</v>
      </c>
      <c r="R38" s="9">
        <f t="shared" si="4"/>
        <v>0.89743589743589736</v>
      </c>
      <c r="S38" s="9">
        <f t="shared" si="3"/>
        <v>0.11217948717948717</v>
      </c>
      <c r="T38" s="9">
        <f t="shared" si="5"/>
        <v>3.7393162393162392E-2</v>
      </c>
      <c r="U38" s="94">
        <f t="shared" si="6"/>
        <v>8.2264957264957257</v>
      </c>
      <c r="W38" s="34">
        <f>IFERROR(VLOOKUP($C38,'HC &amp; Open Position'!$D:$J,MATCH(W$3,'HC &amp; Open Position'!$D$3:$J$3,1),0),"")</f>
        <v>10</v>
      </c>
      <c r="X38" s="4">
        <f>IFERROR(VLOOKUP($C38,'HC &amp; Open Position'!$D:$J,MATCH(X$3,'HC &amp; Open Position'!$D$3:$J$3,1),0),"")</f>
        <v>4</v>
      </c>
      <c r="Y38" s="4">
        <f>IFERROR(VLOOKUP($C38,'HC &amp; Open Position'!$D:$J,MATCH(Y$3,'HC &amp; Open Position'!$D$3:$J$3,1),0),"")</f>
        <v>0</v>
      </c>
      <c r="Z38" s="4">
        <f>IFERROR(VLOOKUP($C38,'HC &amp; Open Position'!$D:$J,MATCH(Z$3,'HC &amp; Open Position'!$D$3:$J$3,1),0),"")</f>
        <v>0</v>
      </c>
      <c r="AA38" s="94">
        <f t="shared" si="7"/>
        <v>14</v>
      </c>
      <c r="AB38" s="35">
        <f t="shared" si="8"/>
        <v>-5.7735042735042743</v>
      </c>
      <c r="AD38" s="152">
        <v>2</v>
      </c>
      <c r="AF38" s="152"/>
      <c r="AG38" s="152"/>
      <c r="AI38" s="34">
        <f>IFERROR(VLOOKUP($C38,'HC &amp; Open Position'!$D$3:$P$55,9,0),"")</f>
        <v>0</v>
      </c>
      <c r="AJ38" s="4">
        <f>IFERROR(VLOOKUP($C38,'HC &amp; Open Position'!$D$3:$P$55,10,0),"")</f>
        <v>0</v>
      </c>
      <c r="AK38" s="4">
        <f>IFERROR(VLOOKUP($C38,'HC &amp; Open Position'!$D$3:$P$55,11,0),"")</f>
        <v>0</v>
      </c>
      <c r="AL38" s="4">
        <f>IFERROR(VLOOKUP($C38,'HC &amp; Open Position'!$D$3:$P$55,12,0),"")</f>
        <v>0</v>
      </c>
      <c r="AM38" s="94">
        <f t="shared" si="9"/>
        <v>0</v>
      </c>
      <c r="AN38" s="151"/>
      <c r="AO38" s="151"/>
      <c r="AP38" s="35">
        <f t="shared" si="10"/>
        <v>-7.7735042735042743</v>
      </c>
    </row>
    <row r="39" spans="1:42" x14ac:dyDescent="0.25">
      <c r="A39" t="s">
        <v>185</v>
      </c>
      <c r="B39" s="53" t="s">
        <v>186</v>
      </c>
      <c r="C39" s="10" t="s">
        <v>187</v>
      </c>
      <c r="D39" s="4"/>
      <c r="E39" s="106">
        <v>45616</v>
      </c>
      <c r="F39" s="106">
        <v>46710</v>
      </c>
      <c r="G39" s="13" t="s">
        <v>42</v>
      </c>
      <c r="H39" s="13" t="s">
        <v>130</v>
      </c>
      <c r="I39" s="13" t="s">
        <v>58</v>
      </c>
      <c r="J39" s="25">
        <f>IFERROR(VLOOKUP(C39,CPH!$A:$E,5,0),"")</f>
        <v>83000</v>
      </c>
      <c r="K39" s="33">
        <v>18.899999999999999</v>
      </c>
      <c r="L39" s="133"/>
      <c r="M39" s="26"/>
      <c r="N39" s="147" t="s">
        <v>79</v>
      </c>
      <c r="O39" s="147">
        <v>0.79399784929954231</v>
      </c>
      <c r="P39" s="33">
        <f>IFERROR(N39*1.3,1.8)</f>
        <v>1.8</v>
      </c>
      <c r="Q39" s="28">
        <f t="shared" si="11"/>
        <v>3.4999999999999996</v>
      </c>
      <c r="R39" s="9">
        <f t="shared" si="4"/>
        <v>0.43749999999999994</v>
      </c>
      <c r="S39" s="9">
        <f t="shared" si="3"/>
        <v>5.4687499999999993E-2</v>
      </c>
      <c r="T39" s="9">
        <f t="shared" si="5"/>
        <v>1.8229166666666664E-2</v>
      </c>
      <c r="U39" s="94">
        <f t="shared" si="6"/>
        <v>4.0104166666666661</v>
      </c>
      <c r="W39" s="34">
        <f>IFERROR(VLOOKUP($C39,'HC &amp; Open Position'!$D:$J,MATCH(W$3,'HC &amp; Open Position'!$D$3:$J$3,1),0),"")</f>
        <v>3</v>
      </c>
      <c r="X39" s="4">
        <f>IFERROR(VLOOKUP($C39,'HC &amp; Open Position'!$D:$J,MATCH(X$3,'HC &amp; Open Position'!$D$3:$J$3,1),0),"")</f>
        <v>1</v>
      </c>
      <c r="Y39" s="4">
        <f>IFERROR(VLOOKUP($C39,'HC &amp; Open Position'!$D:$J,MATCH(Y$3,'HC &amp; Open Position'!$D$3:$J$3,1),0),"")</f>
        <v>0</v>
      </c>
      <c r="Z39" s="4">
        <f>IFERROR(VLOOKUP($C39,'HC &amp; Open Position'!$D:$J,MATCH(Z$3,'HC &amp; Open Position'!$D$3:$J$3,1),0),"")</f>
        <v>0</v>
      </c>
      <c r="AA39" s="94">
        <f t="shared" si="7"/>
        <v>4</v>
      </c>
      <c r="AB39" s="35">
        <f t="shared" si="8"/>
        <v>1.0416666666666075E-2</v>
      </c>
      <c r="AD39" s="152"/>
      <c r="AF39" s="152"/>
      <c r="AG39" s="152"/>
      <c r="AI39" s="34">
        <f>IFERROR(VLOOKUP($C39,'HC &amp; Open Position'!$D$3:$P$55,9,0),"")</f>
        <v>0</v>
      </c>
      <c r="AJ39" s="4">
        <f>IFERROR(VLOOKUP($C39,'HC &amp; Open Position'!$D$3:$P$55,10,0),"")</f>
        <v>0</v>
      </c>
      <c r="AK39" s="4">
        <f>IFERROR(VLOOKUP($C39,'HC &amp; Open Position'!$D$3:$P$55,11,0),"")</f>
        <v>0</v>
      </c>
      <c r="AL39" s="4">
        <f>IFERROR(VLOOKUP($C39,'HC &amp; Open Position'!$D$3:$P$55,12,0),"")</f>
        <v>0</v>
      </c>
      <c r="AM39" s="94">
        <f t="shared" si="9"/>
        <v>0</v>
      </c>
      <c r="AN39" s="151"/>
      <c r="AO39" s="151"/>
      <c r="AP39" s="35">
        <f t="shared" si="10"/>
        <v>1.0416666666666075E-2</v>
      </c>
    </row>
    <row r="40" spans="1:42" x14ac:dyDescent="0.25">
      <c r="A40" t="s">
        <v>188</v>
      </c>
      <c r="B40" s="53" t="s">
        <v>189</v>
      </c>
      <c r="C40" s="10" t="s">
        <v>190</v>
      </c>
      <c r="D40" s="4"/>
      <c r="E40" s="106">
        <v>45639</v>
      </c>
      <c r="F40" s="106">
        <v>46368</v>
      </c>
      <c r="G40" s="13" t="s">
        <v>36</v>
      </c>
      <c r="H40" s="13" t="s">
        <v>93</v>
      </c>
      <c r="I40" s="13" t="s">
        <v>38</v>
      </c>
      <c r="J40" s="25">
        <f>IFERROR(VLOOKUP(C40,CPH!$A:$E,5,0),"")</f>
        <v>60000</v>
      </c>
      <c r="K40" s="33">
        <v>0</v>
      </c>
      <c r="L40" s="133"/>
      <c r="M40" s="26"/>
      <c r="N40" s="147">
        <v>0.9</v>
      </c>
      <c r="O40" s="147">
        <v>1.5349463470122142</v>
      </c>
      <c r="P40" s="33">
        <v>1.8</v>
      </c>
      <c r="Q40" s="28">
        <f t="shared" si="11"/>
        <v>0</v>
      </c>
      <c r="R40" s="9">
        <f t="shared" si="4"/>
        <v>0</v>
      </c>
      <c r="S40" s="9">
        <f t="shared" si="3"/>
        <v>0</v>
      </c>
      <c r="T40" s="9">
        <f t="shared" si="5"/>
        <v>0</v>
      </c>
      <c r="U40" s="94">
        <f t="shared" si="6"/>
        <v>0</v>
      </c>
      <c r="W40" s="34">
        <f>IFERROR(VLOOKUP($C40,'HC &amp; Open Position'!$D:$J,MATCH(W$3,'HC &amp; Open Position'!$D$3:$J$3,1),0),"")</f>
        <v>1</v>
      </c>
      <c r="X40" s="4">
        <f>IFERROR(VLOOKUP($C40,'HC &amp; Open Position'!$D:$J,MATCH(X$3,'HC &amp; Open Position'!$D$3:$J$3,1),0),"")</f>
        <v>0</v>
      </c>
      <c r="Y40" s="4">
        <f>IFERROR(VLOOKUP($C40,'HC &amp; Open Position'!$D:$J,MATCH(Y$3,'HC &amp; Open Position'!$D$3:$J$3,1),0),"")</f>
        <v>0</v>
      </c>
      <c r="Z40" s="4">
        <f>IFERROR(VLOOKUP($C40,'HC &amp; Open Position'!$D:$J,MATCH(Z$3,'HC &amp; Open Position'!$D$3:$J$3,1),0),"")</f>
        <v>0</v>
      </c>
      <c r="AA40" s="94">
        <f t="shared" si="7"/>
        <v>1</v>
      </c>
      <c r="AB40" s="35">
        <f t="shared" si="8"/>
        <v>-1</v>
      </c>
      <c r="AD40" s="152"/>
      <c r="AF40" s="152"/>
      <c r="AG40" s="152"/>
      <c r="AI40" s="34">
        <f>IFERROR(VLOOKUP($C40,'HC &amp; Open Position'!$D$3:$P$55,9,0),"")</f>
        <v>0</v>
      </c>
      <c r="AJ40" s="4">
        <f>IFERROR(VLOOKUP($C40,'HC &amp; Open Position'!$D$3:$P$55,10,0),"")</f>
        <v>0</v>
      </c>
      <c r="AK40" s="4">
        <f>IFERROR(VLOOKUP($C40,'HC &amp; Open Position'!$D$3:$P$55,11,0),"")</f>
        <v>0</v>
      </c>
      <c r="AL40" s="4">
        <f>IFERROR(VLOOKUP($C40,'HC &amp; Open Position'!$D$3:$P$55,12,0),"")</f>
        <v>0</v>
      </c>
      <c r="AM40" s="94">
        <f t="shared" si="9"/>
        <v>0</v>
      </c>
      <c r="AN40" s="151"/>
      <c r="AO40" s="151"/>
      <c r="AP40" s="35">
        <f t="shared" si="10"/>
        <v>-1</v>
      </c>
    </row>
    <row r="41" spans="1:42" s="3" customFormat="1" x14ac:dyDescent="0.25">
      <c r="A41" t="s">
        <v>191</v>
      </c>
      <c r="B41" s="53" t="s">
        <v>192</v>
      </c>
      <c r="C41" s="10" t="s">
        <v>193</v>
      </c>
      <c r="D41" s="4" t="s">
        <v>166</v>
      </c>
      <c r="E41" s="106" t="s">
        <v>166</v>
      </c>
      <c r="F41" s="106" t="s">
        <v>166</v>
      </c>
      <c r="G41" s="13" t="s">
        <v>79</v>
      </c>
      <c r="H41" s="13" t="s">
        <v>79</v>
      </c>
      <c r="I41" s="13"/>
      <c r="J41" s="25" t="str">
        <f>IFERROR(VLOOKUP(C41,CPH!$A:$E,5,0),"")</f>
        <v/>
      </c>
      <c r="K41" s="33">
        <v>0</v>
      </c>
      <c r="L41" s="133"/>
      <c r="M41" s="26"/>
      <c r="N41" s="147" t="s">
        <v>79</v>
      </c>
      <c r="O41" s="147" t="s">
        <v>79</v>
      </c>
      <c r="P41" s="33">
        <f>IFERROR(N41*1.3,1.8)</f>
        <v>1.8</v>
      </c>
      <c r="Q41" s="28">
        <v>4</v>
      </c>
      <c r="R41" s="9">
        <v>2</v>
      </c>
      <c r="S41" s="9">
        <v>1</v>
      </c>
      <c r="T41" s="9">
        <v>2</v>
      </c>
      <c r="U41" s="94">
        <f t="shared" si="6"/>
        <v>9</v>
      </c>
      <c r="W41" s="34">
        <v>4</v>
      </c>
      <c r="X41" s="4">
        <v>2</v>
      </c>
      <c r="Y41" s="4">
        <v>1</v>
      </c>
      <c r="Z41" s="4">
        <v>2</v>
      </c>
      <c r="AA41" s="94">
        <f t="shared" si="7"/>
        <v>9</v>
      </c>
      <c r="AB41" s="35">
        <f t="shared" si="8"/>
        <v>0</v>
      </c>
      <c r="AD41" s="152"/>
      <c r="AF41" s="152"/>
      <c r="AG41" s="152">
        <v>2</v>
      </c>
      <c r="AI41" s="34" t="str">
        <f>IFERROR(VLOOKUP($C41,'HC &amp; Open Position'!$D$3:$P$55,9,0),"")</f>
        <v/>
      </c>
      <c r="AJ41" s="4" t="str">
        <f>IFERROR(VLOOKUP($C41,'HC &amp; Open Position'!$D$3:$P$55,10,0),"")</f>
        <v/>
      </c>
      <c r="AK41" s="4">
        <v>2</v>
      </c>
      <c r="AL41" s="4" t="str">
        <f>IFERROR(VLOOKUP($C41,'HC &amp; Open Position'!$D$3:$P$55,12,0),"")</f>
        <v/>
      </c>
      <c r="AM41" s="94">
        <f t="shared" si="9"/>
        <v>2</v>
      </c>
      <c r="AN41" s="151"/>
      <c r="AO41" s="151"/>
      <c r="AP41" s="35">
        <f t="shared" si="10"/>
        <v>-2</v>
      </c>
    </row>
    <row r="42" spans="1:42" x14ac:dyDescent="0.25">
      <c r="A42" t="s">
        <v>166</v>
      </c>
      <c r="B42" s="53" t="s">
        <v>194</v>
      </c>
      <c r="C42" s="10" t="s">
        <v>194</v>
      </c>
      <c r="D42" s="4"/>
      <c r="E42" s="106"/>
      <c r="F42" s="106"/>
      <c r="G42" s="13" t="s">
        <v>42</v>
      </c>
      <c r="H42" s="13" t="s">
        <v>130</v>
      </c>
      <c r="I42" s="13" t="s">
        <v>58</v>
      </c>
      <c r="J42" s="25" t="str">
        <f>IFERROR(VLOOKUP(C42,CPH!$A:$E,5,0),"")</f>
        <v/>
      </c>
      <c r="K42" s="33">
        <v>30.15</v>
      </c>
      <c r="L42" s="133"/>
      <c r="M42" s="26"/>
      <c r="N42" s="147" t="s">
        <v>79</v>
      </c>
      <c r="O42" s="147">
        <v>0.75748982607787985</v>
      </c>
      <c r="P42" s="33">
        <f>IFERROR(N42*1.3,1.8)</f>
        <v>1.8</v>
      </c>
      <c r="Q42" s="28">
        <f t="shared" si="11"/>
        <v>5.583333333333333</v>
      </c>
      <c r="R42" s="9">
        <f t="shared" ref="R42:R43" si="13">IFERROR(Q42/8,"")</f>
        <v>0.69791666666666663</v>
      </c>
      <c r="S42" s="9">
        <f t="shared" si="3"/>
        <v>8.7239583333333329E-2</v>
      </c>
      <c r="T42" s="9">
        <f t="shared" ref="T42:T43" si="14">IFERROR(S42/3,"")</f>
        <v>2.9079861111111108E-2</v>
      </c>
      <c r="U42" s="94">
        <f t="shared" si="6"/>
        <v>6.3975694444444438</v>
      </c>
      <c r="W42" s="34">
        <f>IFERROR(VLOOKUP($C42,'HC &amp; Open Position'!$D:$J,MATCH(W$3,'HC &amp; Open Position'!$D$3:$J$3,1),0),"")</f>
        <v>4</v>
      </c>
      <c r="X42" s="4">
        <f>IFERROR(VLOOKUP($C42,'HC &amp; Open Position'!$D:$J,MATCH(X$3,'HC &amp; Open Position'!$D$3:$J$3,1),0),"")</f>
        <v>2</v>
      </c>
      <c r="Y42" s="4">
        <f>IFERROR(VLOOKUP($C42,'HC &amp; Open Position'!$D:$J,MATCH(Y$3,'HC &amp; Open Position'!$D$3:$J$3,1),0),"")</f>
        <v>0</v>
      </c>
      <c r="Z42" s="4">
        <f>IFERROR(VLOOKUP($C42,'HC &amp; Open Position'!$D:$J,MATCH(Z$3,'HC &amp; Open Position'!$D$3:$J$3,1),0),"")</f>
        <v>0</v>
      </c>
      <c r="AA42" s="94">
        <f t="shared" si="7"/>
        <v>6</v>
      </c>
      <c r="AB42" s="35">
        <f t="shared" si="8"/>
        <v>0.39756944444444375</v>
      </c>
      <c r="AD42" s="152"/>
      <c r="AF42" s="152"/>
      <c r="AG42" s="152"/>
      <c r="AI42" s="34">
        <f>IFERROR(VLOOKUP($C42,'HC &amp; Open Position'!$D$3:$P$55,9,0),"")</f>
        <v>0</v>
      </c>
      <c r="AJ42" s="4">
        <f>IFERROR(VLOOKUP($C42,'HC &amp; Open Position'!$D$3:$P$55,10,0),"")</f>
        <v>0</v>
      </c>
      <c r="AK42" s="4">
        <f>IFERROR(VLOOKUP($C42,'HC &amp; Open Position'!$D$3:$P$55,11,0),"")</f>
        <v>0</v>
      </c>
      <c r="AL42" s="4">
        <f>IFERROR(VLOOKUP($C42,'HC &amp; Open Position'!$D$3:$P$55,12,0),"")</f>
        <v>0</v>
      </c>
      <c r="AM42" s="94">
        <f t="shared" si="9"/>
        <v>0</v>
      </c>
      <c r="AN42" s="151"/>
      <c r="AO42" s="151"/>
      <c r="AP42" s="35">
        <f t="shared" si="10"/>
        <v>0.39756944444444375</v>
      </c>
    </row>
    <row r="43" spans="1:42" x14ac:dyDescent="0.25">
      <c r="B43" s="53" t="s">
        <v>195</v>
      </c>
      <c r="C43" s="10" t="s">
        <v>195</v>
      </c>
      <c r="D43" s="4"/>
      <c r="E43" s="106"/>
      <c r="F43" s="106"/>
      <c r="G43" s="13" t="s">
        <v>36</v>
      </c>
      <c r="H43" s="13" t="s">
        <v>36</v>
      </c>
      <c r="I43" s="13" t="s">
        <v>38</v>
      </c>
      <c r="J43" s="25" t="str">
        <f>IFERROR(VLOOKUP(C43,CPH!$A:$E,5,0),"")</f>
        <v/>
      </c>
      <c r="K43" s="33">
        <v>17.02</v>
      </c>
      <c r="L43" s="133"/>
      <c r="M43" s="26"/>
      <c r="N43" s="147" t="s">
        <v>79</v>
      </c>
      <c r="O43" s="147">
        <v>0.54157623020667389</v>
      </c>
      <c r="P43" s="33">
        <f>IFERROR(N43*1.3,1.8)</f>
        <v>1.8</v>
      </c>
      <c r="Q43" s="28">
        <f t="shared" si="11"/>
        <v>3.1518518518518515</v>
      </c>
      <c r="R43" s="9">
        <f t="shared" si="13"/>
        <v>0.39398148148148143</v>
      </c>
      <c r="S43" s="9">
        <f t="shared" si="3"/>
        <v>4.9247685185185179E-2</v>
      </c>
      <c r="T43" s="9">
        <f t="shared" si="14"/>
        <v>1.6415895061728393E-2</v>
      </c>
      <c r="U43" s="94">
        <f t="shared" si="6"/>
        <v>3.6114969135802468</v>
      </c>
      <c r="W43" s="34">
        <f>IFERROR(VLOOKUP($C43,'HC &amp; Open Position'!$D:$J,MATCH(W$3,'HC &amp; Open Position'!$D$3:$J$3,1),0),"")</f>
        <v>3</v>
      </c>
      <c r="X43" s="4">
        <f>IFERROR(VLOOKUP($C43,'HC &amp; Open Position'!$D:$J,MATCH(X$3,'HC &amp; Open Position'!$D$3:$J$3,1),0),"")</f>
        <v>1</v>
      </c>
      <c r="Y43" s="4">
        <f>IFERROR(VLOOKUP($C43,'HC &amp; Open Position'!$D:$J,MATCH(Y$3,'HC &amp; Open Position'!$D$3:$J$3,1),0),"")</f>
        <v>0</v>
      </c>
      <c r="Z43" s="4">
        <f>IFERROR(VLOOKUP($C43,'HC &amp; Open Position'!$D:$J,MATCH(Z$3,'HC &amp; Open Position'!$D$3:$J$3,1),0),"")</f>
        <v>0</v>
      </c>
      <c r="AA43" s="94">
        <f t="shared" si="7"/>
        <v>4</v>
      </c>
      <c r="AB43" s="35">
        <f t="shared" si="8"/>
        <v>-0.38850308641975317</v>
      </c>
      <c r="AD43" s="152"/>
      <c r="AF43" s="152"/>
      <c r="AG43" s="152"/>
      <c r="AI43" s="34">
        <f>IFERROR(VLOOKUP($C43,'HC &amp; Open Position'!$D$3:$P$55,9,0),"")</f>
        <v>0</v>
      </c>
      <c r="AJ43" s="4">
        <f>IFERROR(VLOOKUP($C43,'HC &amp; Open Position'!$D$3:$P$55,10,0),"")</f>
        <v>0</v>
      </c>
      <c r="AK43" s="4">
        <f>IFERROR(VLOOKUP($C43,'HC &amp; Open Position'!$D$3:$P$55,11,0),"")</f>
        <v>0</v>
      </c>
      <c r="AL43" s="4">
        <f>IFERROR(VLOOKUP($C43,'HC &amp; Open Position'!$D$3:$P$55,12,0),"")</f>
        <v>0</v>
      </c>
      <c r="AM43" s="94">
        <f t="shared" si="9"/>
        <v>0</v>
      </c>
      <c r="AN43" s="151"/>
      <c r="AO43" s="151"/>
      <c r="AP43" s="35">
        <f t="shared" si="10"/>
        <v>-0.38850308641975317</v>
      </c>
    </row>
    <row r="44" spans="1:42" x14ac:dyDescent="0.25">
      <c r="B44" s="53" t="s">
        <v>196</v>
      </c>
      <c r="C44" s="10" t="s">
        <v>196</v>
      </c>
      <c r="D44" s="4"/>
      <c r="E44" s="106"/>
      <c r="F44" s="106"/>
      <c r="G44" s="13" t="s">
        <v>36</v>
      </c>
      <c r="H44" s="13"/>
      <c r="I44" s="13" t="s">
        <v>38</v>
      </c>
      <c r="J44" s="25" t="str">
        <f>IFERROR(VLOOKUP(C44,CPH!$A:$E,5,0),"")</f>
        <v/>
      </c>
      <c r="K44" s="33">
        <v>0</v>
      </c>
      <c r="L44" s="133"/>
      <c r="M44" s="26"/>
      <c r="N44" s="147" t="s">
        <v>79</v>
      </c>
      <c r="O44" s="147">
        <v>4</v>
      </c>
      <c r="P44" s="33">
        <f t="shared" ref="P44:P51" si="15">IFERROR(N44*1.3,1.8)</f>
        <v>1.8</v>
      </c>
      <c r="Q44" s="28">
        <f t="shared" si="11"/>
        <v>0</v>
      </c>
      <c r="R44" s="9">
        <f t="shared" ref="R44:R45" si="16">IFERROR(Q44/8,"")</f>
        <v>0</v>
      </c>
      <c r="S44" s="9">
        <f t="shared" ref="S44:S45" si="17">IFERROR(R44/8,"")</f>
        <v>0</v>
      </c>
      <c r="T44" s="9">
        <f t="shared" ref="T44:T45" si="18">IFERROR(S44/3,"")</f>
        <v>0</v>
      </c>
      <c r="U44" s="94">
        <f t="shared" ref="U44:U45" si="19">SUM(Q44:T44)</f>
        <v>0</v>
      </c>
      <c r="W44" s="34" t="str">
        <f>IFERROR(VLOOKUP($C44,'HC &amp; Open Position'!$D:$J,MATCH(W$3,'HC &amp; Open Position'!$D$3:$J$3,1),0),"")</f>
        <v/>
      </c>
      <c r="X44" s="4" t="str">
        <f>IFERROR(VLOOKUP($C44,'HC &amp; Open Position'!$D:$J,MATCH(X$3,'HC &amp; Open Position'!$D$3:$J$3,1),0),"")</f>
        <v/>
      </c>
      <c r="Y44" s="4" t="str">
        <f>IFERROR(VLOOKUP($C44,'HC &amp; Open Position'!$D:$J,MATCH(Y$3,'HC &amp; Open Position'!$D$3:$J$3,1),0),"")</f>
        <v/>
      </c>
      <c r="Z44" s="4" t="str">
        <f>IFERROR(VLOOKUP($C44,'HC &amp; Open Position'!$D:$J,MATCH(Z$3,'HC &amp; Open Position'!$D$3:$J$3,1),0),"")</f>
        <v/>
      </c>
      <c r="AA44" s="94">
        <f t="shared" ref="AA44:AA45" si="20">SUM(W44:Z44)</f>
        <v>0</v>
      </c>
      <c r="AB44" s="35">
        <f t="shared" si="8"/>
        <v>0</v>
      </c>
      <c r="AD44" s="152"/>
      <c r="AF44" s="152"/>
      <c r="AG44" s="152"/>
      <c r="AI44" s="34" t="str">
        <f>IFERROR(VLOOKUP($C44,'HC &amp; Open Position'!$D$3:$P$55,9,0),"")</f>
        <v/>
      </c>
      <c r="AJ44" s="4" t="str">
        <f>IFERROR(VLOOKUP($C44,'HC &amp; Open Position'!$D$3:$P$55,10,0),"")</f>
        <v/>
      </c>
      <c r="AK44" s="4" t="str">
        <f>IFERROR(VLOOKUP($C44,'HC &amp; Open Position'!$D$3:$P$55,11,0),"")</f>
        <v/>
      </c>
      <c r="AL44" s="4" t="str">
        <f>IFERROR(VLOOKUP($C44,'HC &amp; Open Position'!$D$3:$P$55,12,0),"")</f>
        <v/>
      </c>
      <c r="AM44" s="94">
        <f t="shared" ref="AM44:AM45" si="21">SUM(AI44:AL44)</f>
        <v>0</v>
      </c>
      <c r="AN44" s="151"/>
      <c r="AO44" s="151"/>
      <c r="AP44" s="35">
        <f t="shared" si="10"/>
        <v>0</v>
      </c>
    </row>
    <row r="45" spans="1:42" x14ac:dyDescent="0.25">
      <c r="B45" s="130" t="s">
        <v>197</v>
      </c>
      <c r="C45" s="10" t="s">
        <v>197</v>
      </c>
      <c r="D45" s="4"/>
      <c r="E45" s="106"/>
      <c r="F45" s="106"/>
      <c r="G45" s="13" t="s">
        <v>42</v>
      </c>
      <c r="H45" s="13" t="str">
        <f>VLOOKUP(C45,Mapping!A:C,3,0)</f>
        <v>Geetu Lalwani</v>
      </c>
      <c r="I45" s="4" t="s">
        <v>44</v>
      </c>
      <c r="J45" s="25" t="str">
        <f>IFERROR(VLOOKUP(C45,CPH!$A:$E,5,0),"")</f>
        <v/>
      </c>
      <c r="K45" s="33">
        <v>32.299999999999997</v>
      </c>
      <c r="L45" s="133"/>
      <c r="M45" s="26"/>
      <c r="N45" s="147" t="s">
        <v>79</v>
      </c>
      <c r="O45" s="147">
        <v>1.5</v>
      </c>
      <c r="P45" s="33">
        <f t="shared" si="15"/>
        <v>1.8</v>
      </c>
      <c r="Q45" s="28">
        <f t="shared" si="11"/>
        <v>5.981481481481481</v>
      </c>
      <c r="R45" s="9">
        <f t="shared" si="16"/>
        <v>0.74768518518518512</v>
      </c>
      <c r="S45" s="9">
        <f t="shared" si="17"/>
        <v>9.346064814814814E-2</v>
      </c>
      <c r="T45" s="9">
        <f t="shared" si="18"/>
        <v>3.1153549382716045E-2</v>
      </c>
      <c r="U45" s="94">
        <f t="shared" si="19"/>
        <v>6.85378086419753</v>
      </c>
      <c r="W45" s="34">
        <f>IFERROR(VLOOKUP($C45,'HC &amp; Open Position'!$D:$J,MATCH(W$3,'HC &amp; Open Position'!$D$3:$J$3,1),0),"")</f>
        <v>5</v>
      </c>
      <c r="X45" s="4">
        <f>IFERROR(VLOOKUP($C45,'HC &amp; Open Position'!$D:$J,MATCH(X$3,'HC &amp; Open Position'!$D$3:$J$3,1),0),"")</f>
        <v>1</v>
      </c>
      <c r="Y45" s="4">
        <f>IFERROR(VLOOKUP($C45,'HC &amp; Open Position'!$D:$J,MATCH(Y$3,'HC &amp; Open Position'!$D$3:$J$3,1),0),"")</f>
        <v>0</v>
      </c>
      <c r="Z45" s="4">
        <f>IFERROR(VLOOKUP($C45,'HC &amp; Open Position'!$D:$J,MATCH(Z$3,'HC &amp; Open Position'!$D$3:$J$3,1),0),"")</f>
        <v>0</v>
      </c>
      <c r="AA45" s="94">
        <f t="shared" si="20"/>
        <v>6</v>
      </c>
      <c r="AB45" s="35">
        <f t="shared" si="8"/>
        <v>0.85378086419752997</v>
      </c>
      <c r="AD45" s="152"/>
      <c r="AF45" s="152"/>
      <c r="AG45" s="152">
        <v>1</v>
      </c>
      <c r="AI45" s="34">
        <f>IFERROR(VLOOKUP($C45,'HC &amp; Open Position'!$D$3:$P$55,9,0),"")</f>
        <v>0</v>
      </c>
      <c r="AJ45" s="4">
        <f>IFERROR(VLOOKUP($C45,'HC &amp; Open Position'!$D$3:$P$55,10,0),"")</f>
        <v>1</v>
      </c>
      <c r="AK45" s="4">
        <f>IFERROR(VLOOKUP($C45,'HC &amp; Open Position'!$D$3:$P$55,11,0),"")</f>
        <v>0</v>
      </c>
      <c r="AL45" s="4">
        <f>IFERROR(VLOOKUP($C45,'HC &amp; Open Position'!$D$3:$P$55,12,0),"")</f>
        <v>0</v>
      </c>
      <c r="AM45" s="94">
        <f t="shared" si="21"/>
        <v>1</v>
      </c>
      <c r="AN45" s="151"/>
      <c r="AO45" s="151">
        <v>3</v>
      </c>
      <c r="AP45" s="35">
        <f t="shared" si="10"/>
        <v>2.85378086419753</v>
      </c>
    </row>
    <row r="46" spans="1:42" x14ac:dyDescent="0.25">
      <c r="B46" s="130" t="s">
        <v>198</v>
      </c>
      <c r="C46" s="10" t="s">
        <v>198</v>
      </c>
      <c r="D46" s="4"/>
      <c r="E46" s="106"/>
      <c r="F46" s="106"/>
      <c r="G46" s="13"/>
      <c r="H46" s="13"/>
      <c r="I46" s="4" t="s">
        <v>58</v>
      </c>
      <c r="J46" s="25" t="str">
        <f>IFERROR(VLOOKUP(C46,CPH!$A:$E,5,0),"")</f>
        <v/>
      </c>
      <c r="K46" s="33">
        <v>16.149999999999999</v>
      </c>
      <c r="L46" s="133"/>
      <c r="M46" s="26"/>
      <c r="N46" s="147" t="s">
        <v>79</v>
      </c>
      <c r="O46" s="147">
        <v>0</v>
      </c>
      <c r="P46" s="33">
        <f t="shared" si="15"/>
        <v>1.8</v>
      </c>
      <c r="Q46" s="28">
        <f t="shared" ref="Q46:Q47" si="22">IFERROR(K46/(P46*3),"")</f>
        <v>2.9907407407407405</v>
      </c>
      <c r="R46" s="9">
        <f t="shared" ref="R46:R47" si="23">IFERROR(Q46/8,"")</f>
        <v>0.37384259259259256</v>
      </c>
      <c r="S46" s="9">
        <f t="shared" ref="S46:S47" si="24">IFERROR(R46/8,"")</f>
        <v>4.673032407407407E-2</v>
      </c>
      <c r="T46" s="9">
        <f t="shared" ref="T46:T47" si="25">IFERROR(S46/3,"")</f>
        <v>1.5576774691358023E-2</v>
      </c>
      <c r="U46" s="94">
        <f t="shared" ref="U46:U49" si="26">SUM(Q46:T46)</f>
        <v>3.426890432098765</v>
      </c>
      <c r="W46" s="34">
        <f>IFERROR(VLOOKUP($C46,'HC &amp; Open Position'!$D:$J,MATCH(W$3,'HC &amp; Open Position'!$D$3:$J$3,1),0),"")</f>
        <v>3</v>
      </c>
      <c r="X46" s="4">
        <f>IFERROR(VLOOKUP($C46,'HC &amp; Open Position'!$D:$J,MATCH(X$3,'HC &amp; Open Position'!$D$3:$J$3,1),0),"")</f>
        <v>0</v>
      </c>
      <c r="Y46" s="4">
        <f>IFERROR(VLOOKUP($C46,'HC &amp; Open Position'!$D:$J,MATCH(Y$3,'HC &amp; Open Position'!$D$3:$J$3,1),0),"")</f>
        <v>0</v>
      </c>
      <c r="Z46" s="4">
        <f>IFERROR(VLOOKUP($C46,'HC &amp; Open Position'!$D:$J,MATCH(Z$3,'HC &amp; Open Position'!$D$3:$J$3,1),0),"")</f>
        <v>0</v>
      </c>
      <c r="AA46" s="94">
        <f t="shared" ref="AA46:AA47" si="27">SUM(W46:Z46)</f>
        <v>3</v>
      </c>
      <c r="AB46" s="35">
        <f t="shared" ref="AB46:AB47" si="28">U46-AA46</f>
        <v>0.42689043209876498</v>
      </c>
      <c r="AD46" s="152"/>
      <c r="AF46" s="152"/>
      <c r="AG46" s="152"/>
      <c r="AI46" s="34">
        <f>IFERROR(VLOOKUP($C46,'HC &amp; Open Position'!$D$3:$P$55,9,0),"")</f>
        <v>0</v>
      </c>
      <c r="AJ46" s="4">
        <f>IFERROR(VLOOKUP($C46,'HC &amp; Open Position'!$D$3:$P$55,10,0),"")</f>
        <v>0</v>
      </c>
      <c r="AK46" s="4">
        <f>IFERROR(VLOOKUP($C46,'HC &amp; Open Position'!$D$3:$P$55,11,0),"")</f>
        <v>0</v>
      </c>
      <c r="AL46" s="4">
        <f>IFERROR(VLOOKUP($C46,'HC &amp; Open Position'!$D$3:$P$55,12,0),"")</f>
        <v>0</v>
      </c>
      <c r="AM46" s="94">
        <f t="shared" ref="AM46:AM51" si="29">SUM(AI46:AL46)</f>
        <v>0</v>
      </c>
      <c r="AN46" s="151"/>
      <c r="AO46" s="151"/>
      <c r="AP46" s="35">
        <f t="shared" si="10"/>
        <v>0.42689043209876498</v>
      </c>
    </row>
    <row r="47" spans="1:42" x14ac:dyDescent="0.25">
      <c r="B47" s="130" t="s">
        <v>199</v>
      </c>
      <c r="C47" s="10" t="s">
        <v>338</v>
      </c>
      <c r="D47" s="4"/>
      <c r="E47" s="106"/>
      <c r="F47" s="106"/>
      <c r="G47" s="13"/>
      <c r="H47" s="13"/>
      <c r="I47" s="4" t="s">
        <v>58</v>
      </c>
      <c r="J47" s="25" t="str">
        <f>IFERROR(VLOOKUP(C47,CPH!$A:$E,5,0),"")</f>
        <v/>
      </c>
      <c r="K47" s="33">
        <v>11.85</v>
      </c>
      <c r="L47" s="133"/>
      <c r="M47" s="26"/>
      <c r="N47" s="147" t="s">
        <v>79</v>
      </c>
      <c r="O47" s="147">
        <v>0</v>
      </c>
      <c r="P47" s="33">
        <f t="shared" si="15"/>
        <v>1.8</v>
      </c>
      <c r="Q47" s="28">
        <f t="shared" si="22"/>
        <v>2.1944444444444442</v>
      </c>
      <c r="R47" s="9">
        <f t="shared" si="23"/>
        <v>0.27430555555555552</v>
      </c>
      <c r="S47" s="9">
        <f t="shared" si="24"/>
        <v>3.4288194444444441E-2</v>
      </c>
      <c r="T47" s="9">
        <f t="shared" si="25"/>
        <v>1.1429398148148147E-2</v>
      </c>
      <c r="U47" s="94">
        <f t="shared" si="26"/>
        <v>2.5144675925925926</v>
      </c>
      <c r="W47" s="34">
        <f>IFERROR(VLOOKUP($C47,'HC &amp; Open Position'!$D:$J,MATCH(W$3,'HC &amp; Open Position'!$D$3:$J$3,1),0),"")</f>
        <v>5</v>
      </c>
      <c r="X47" s="4">
        <f>IFERROR(VLOOKUP($C47,'HC &amp; Open Position'!$D:$J,MATCH(X$3,'HC &amp; Open Position'!$D$3:$J$3,1),0),"")</f>
        <v>1</v>
      </c>
      <c r="Y47" s="4">
        <f>IFERROR(VLOOKUP($C47,'HC &amp; Open Position'!$D:$J,MATCH(Y$3,'HC &amp; Open Position'!$D$3:$J$3,1),0),"")</f>
        <v>0</v>
      </c>
      <c r="Z47" s="4">
        <f>IFERROR(VLOOKUP($C47,'HC &amp; Open Position'!$D:$J,MATCH(Z$3,'HC &amp; Open Position'!$D$3:$J$3,1),0),"")</f>
        <v>0</v>
      </c>
      <c r="AA47" s="94">
        <f t="shared" si="27"/>
        <v>6</v>
      </c>
      <c r="AB47" s="35">
        <f t="shared" si="28"/>
        <v>-3.4855324074074074</v>
      </c>
      <c r="AD47" s="152"/>
      <c r="AF47" s="152">
        <v>1</v>
      </c>
      <c r="AG47" s="152">
        <v>2</v>
      </c>
      <c r="AI47" s="34">
        <f>IFERROR(VLOOKUP($C47,'HC &amp; Open Position'!$D$3:$P$55,9,0),"")</f>
        <v>2</v>
      </c>
      <c r="AJ47" s="4">
        <f>IFERROR(VLOOKUP($C47,'HC &amp; Open Position'!$D$3:$P$55,10,0),"")</f>
        <v>1</v>
      </c>
      <c r="AK47" s="4">
        <f>IFERROR(VLOOKUP($C47,'HC &amp; Open Position'!$D$3:$P$55,11,0),"")</f>
        <v>0</v>
      </c>
      <c r="AL47" s="4">
        <f>IFERROR(VLOOKUP($C47,'HC &amp; Open Position'!$D$3:$P$55,12,0),"")</f>
        <v>0</v>
      </c>
      <c r="AM47" s="94">
        <f t="shared" si="29"/>
        <v>3</v>
      </c>
      <c r="AN47" s="151">
        <v>1</v>
      </c>
      <c r="AO47" s="151"/>
      <c r="AP47" s="35">
        <f t="shared" si="10"/>
        <v>-6.4855324074074074</v>
      </c>
    </row>
    <row r="48" spans="1:42" x14ac:dyDescent="0.25">
      <c r="B48" s="130"/>
      <c r="C48" s="10" t="s">
        <v>342</v>
      </c>
      <c r="D48" s="4"/>
      <c r="E48" s="106"/>
      <c r="F48" s="106"/>
      <c r="G48" s="13"/>
      <c r="H48" s="13"/>
      <c r="I48" s="4" t="s">
        <v>58</v>
      </c>
      <c r="J48" s="25"/>
      <c r="K48" s="33">
        <v>0</v>
      </c>
      <c r="L48" s="133"/>
      <c r="M48" s="172"/>
      <c r="N48" s="147" t="s">
        <v>79</v>
      </c>
      <c r="O48" s="147">
        <v>0</v>
      </c>
      <c r="P48" s="33">
        <f t="shared" si="15"/>
        <v>1.8</v>
      </c>
      <c r="Q48" s="28">
        <f t="shared" ref="Q48:Q51" si="30">IFERROR(K48/(P48*3),"")</f>
        <v>0</v>
      </c>
      <c r="R48" s="9">
        <f t="shared" ref="R48:R51" si="31">IFERROR(Q48/8,"")</f>
        <v>0</v>
      </c>
      <c r="S48" s="9">
        <f t="shared" ref="S48:S51" si="32">IFERROR(R48/8,"")</f>
        <v>0</v>
      </c>
      <c r="T48" s="9">
        <f t="shared" ref="T48:T51" si="33">IFERROR(S48/3,"")</f>
        <v>0</v>
      </c>
      <c r="U48" s="94">
        <f t="shared" si="26"/>
        <v>0</v>
      </c>
      <c r="W48" s="34">
        <f>IFERROR(VLOOKUP($C48,'HC &amp; Open Position'!$D:$J,MATCH(W$3,'HC &amp; Open Position'!$D$3:$J$3,1),0),"")</f>
        <v>3</v>
      </c>
      <c r="X48" s="4">
        <f>IFERROR(VLOOKUP($C48,'HC &amp; Open Position'!$D:$J,MATCH(X$3,'HC &amp; Open Position'!$D$3:$J$3,1),0),"")</f>
        <v>0</v>
      </c>
      <c r="Y48" s="4">
        <f>IFERROR(VLOOKUP($C48,'HC &amp; Open Position'!$D:$J,MATCH(Y$3,'HC &amp; Open Position'!$D$3:$J$3,1),0),"")</f>
        <v>0</v>
      </c>
      <c r="Z48" s="4">
        <f>IFERROR(VLOOKUP($C48,'HC &amp; Open Position'!$D:$J,MATCH(Z$3,'HC &amp; Open Position'!$D$3:$J$3,1),0),"")</f>
        <v>0</v>
      </c>
      <c r="AA48" s="94">
        <f t="shared" ref="AA48:AA51" si="34">SUM(W48:Z48)</f>
        <v>3</v>
      </c>
      <c r="AB48" s="35">
        <f t="shared" ref="AB48:AB51" si="35">U48-AA48</f>
        <v>-3</v>
      </c>
      <c r="AD48" s="152"/>
      <c r="AF48" s="152"/>
      <c r="AG48" s="152"/>
      <c r="AI48" s="34">
        <f>IFERROR(VLOOKUP($C48,'HC &amp; Open Position'!$D$3:$P$55,9,0),"")</f>
        <v>0</v>
      </c>
      <c r="AJ48" s="4">
        <f>IFERROR(VLOOKUP($C48,'HC &amp; Open Position'!$D$3:$P$55,10,0),"")</f>
        <v>0</v>
      </c>
      <c r="AK48" s="4">
        <f>IFERROR(VLOOKUP($C48,'HC &amp; Open Position'!$D$3:$P$55,11,0),"")</f>
        <v>0</v>
      </c>
      <c r="AL48" s="4">
        <f>IFERROR(VLOOKUP($C48,'HC &amp; Open Position'!$D$3:$P$55,12,0),"")</f>
        <v>0</v>
      </c>
      <c r="AM48" s="94">
        <f t="shared" si="29"/>
        <v>0</v>
      </c>
      <c r="AN48" s="151"/>
      <c r="AO48" s="151"/>
      <c r="AP48" s="35">
        <f t="shared" si="10"/>
        <v>-3</v>
      </c>
    </row>
    <row r="49" spans="2:42" x14ac:dyDescent="0.25">
      <c r="B49" s="130"/>
      <c r="C49" s="10" t="s">
        <v>324</v>
      </c>
      <c r="D49" s="4"/>
      <c r="E49" s="106"/>
      <c r="F49" s="106"/>
      <c r="G49" s="13"/>
      <c r="H49" s="13"/>
      <c r="I49" s="4" t="s">
        <v>58</v>
      </c>
      <c r="J49" s="25"/>
      <c r="K49" s="33">
        <v>0</v>
      </c>
      <c r="L49" s="133"/>
      <c r="M49" s="172"/>
      <c r="N49" s="147" t="s">
        <v>79</v>
      </c>
      <c r="O49" s="147">
        <v>0</v>
      </c>
      <c r="P49" s="33">
        <f t="shared" si="15"/>
        <v>1.8</v>
      </c>
      <c r="Q49" s="28">
        <f t="shared" si="30"/>
        <v>0</v>
      </c>
      <c r="R49" s="9">
        <f t="shared" si="31"/>
        <v>0</v>
      </c>
      <c r="S49" s="9">
        <f t="shared" si="32"/>
        <v>0</v>
      </c>
      <c r="T49" s="9">
        <f t="shared" si="33"/>
        <v>0</v>
      </c>
      <c r="U49" s="94">
        <f t="shared" si="26"/>
        <v>0</v>
      </c>
      <c r="W49" s="34">
        <f>IFERROR(VLOOKUP($C49,'HC &amp; Open Position'!$D:$J,MATCH(W$3,'HC &amp; Open Position'!$D$3:$J$3,1),0),"")</f>
        <v>1</v>
      </c>
      <c r="X49" s="4">
        <f>IFERROR(VLOOKUP($C49,'HC &amp; Open Position'!$D:$J,MATCH(X$3,'HC &amp; Open Position'!$D$3:$J$3,1),0),"")</f>
        <v>0</v>
      </c>
      <c r="Y49" s="4">
        <f>IFERROR(VLOOKUP($C49,'HC &amp; Open Position'!$D:$J,MATCH(Y$3,'HC &amp; Open Position'!$D$3:$J$3,1),0),"")</f>
        <v>0</v>
      </c>
      <c r="Z49" s="4">
        <f>IFERROR(VLOOKUP($C49,'HC &amp; Open Position'!$D:$J,MATCH(Z$3,'HC &amp; Open Position'!$D$3:$J$3,1),0),"")</f>
        <v>0</v>
      </c>
      <c r="AA49" s="94">
        <f t="shared" si="34"/>
        <v>1</v>
      </c>
      <c r="AB49" s="35">
        <f t="shared" si="35"/>
        <v>-1</v>
      </c>
      <c r="AD49" s="152"/>
      <c r="AF49" s="152"/>
      <c r="AG49" s="152"/>
      <c r="AI49" s="34">
        <f>IFERROR(VLOOKUP($C49,'HC &amp; Open Position'!$D$3:$P$55,9,0),"")</f>
        <v>0</v>
      </c>
      <c r="AJ49" s="4">
        <f>IFERROR(VLOOKUP($C49,'HC &amp; Open Position'!$D$3:$P$55,10,0),"")</f>
        <v>0</v>
      </c>
      <c r="AK49" s="4">
        <f>IFERROR(VLOOKUP($C49,'HC &amp; Open Position'!$D$3:$P$55,11,0),"")</f>
        <v>0</v>
      </c>
      <c r="AL49" s="4">
        <f>IFERROR(VLOOKUP($C49,'HC &amp; Open Position'!$D$3:$P$55,12,0),"")</f>
        <v>0</v>
      </c>
      <c r="AM49" s="94">
        <f t="shared" si="29"/>
        <v>0</v>
      </c>
      <c r="AN49" s="151"/>
      <c r="AO49" s="151"/>
      <c r="AP49" s="35">
        <f t="shared" si="10"/>
        <v>-1</v>
      </c>
    </row>
    <row r="50" spans="2:42" x14ac:dyDescent="0.25">
      <c r="B50" s="130"/>
      <c r="C50" s="10" t="s">
        <v>343</v>
      </c>
      <c r="D50" s="4"/>
      <c r="E50" s="106"/>
      <c r="F50" s="106"/>
      <c r="G50" s="13"/>
      <c r="H50" s="13"/>
      <c r="I50" s="4" t="s">
        <v>44</v>
      </c>
      <c r="J50" s="25"/>
      <c r="K50" s="33">
        <v>7.44</v>
      </c>
      <c r="L50" s="133"/>
      <c r="M50" s="172"/>
      <c r="N50" s="147" t="s">
        <v>79</v>
      </c>
      <c r="O50" s="147">
        <v>0</v>
      </c>
      <c r="P50" s="33">
        <f t="shared" si="15"/>
        <v>1.8</v>
      </c>
      <c r="Q50" s="28">
        <f t="shared" ref="Q50" si="36">IFERROR(K50/(P50*3),"")</f>
        <v>1.3777777777777778</v>
      </c>
      <c r="R50" s="9">
        <f t="shared" ref="R50" si="37">IFERROR(Q50/8,"")</f>
        <v>0.17222222222222222</v>
      </c>
      <c r="S50" s="9">
        <f t="shared" ref="S50" si="38">IFERROR(R50/8,"")</f>
        <v>2.1527777777777778E-2</v>
      </c>
      <c r="T50" s="9">
        <f t="shared" ref="T50" si="39">IFERROR(S50/3,"")</f>
        <v>7.1759259259259259E-3</v>
      </c>
      <c r="U50" s="94">
        <f t="shared" ref="U50" si="40">SUM(Q50:T50)</f>
        <v>1.5787037037037037</v>
      </c>
      <c r="W50" s="34">
        <f>IFERROR(VLOOKUP($C50,'HC &amp; Open Position'!$D:$J,MATCH(W$3,'HC &amp; Open Position'!$D$3:$J$3,1),0),"")</f>
        <v>10</v>
      </c>
      <c r="X50" s="4">
        <f>IFERROR(VLOOKUP($C50,'HC &amp; Open Position'!$D:$J,MATCH(X$3,'HC &amp; Open Position'!$D$3:$J$3,1),0),"")</f>
        <v>3</v>
      </c>
      <c r="Y50" s="4">
        <f>IFERROR(VLOOKUP($C50,'HC &amp; Open Position'!$D:$J,MATCH(Y$3,'HC &amp; Open Position'!$D$3:$J$3,1),0),"")</f>
        <v>0</v>
      </c>
      <c r="Z50" s="4">
        <f>IFERROR(VLOOKUP($C50,'HC &amp; Open Position'!$D:$J,MATCH(Z$3,'HC &amp; Open Position'!$D$3:$J$3,1),0),"")</f>
        <v>0</v>
      </c>
      <c r="AA50" s="94">
        <f t="shared" ref="AA50" si="41">SUM(W50:Z50)</f>
        <v>13</v>
      </c>
      <c r="AB50" s="35">
        <f t="shared" ref="AB50" si="42">U50-AA50</f>
        <v>-11.421296296296296</v>
      </c>
      <c r="AD50" s="152"/>
      <c r="AF50" s="152">
        <v>1</v>
      </c>
      <c r="AG50" s="152">
        <v>1</v>
      </c>
      <c r="AI50" s="34">
        <f>IFERROR(VLOOKUP($C50,'HC &amp; Open Position'!$D$3:$P$55,9,0),"")</f>
        <v>1</v>
      </c>
      <c r="AJ50" s="4">
        <f>IFERROR(VLOOKUP($C50,'HC &amp; Open Position'!$D$3:$P$55,10,0),"")</f>
        <v>0</v>
      </c>
      <c r="AK50" s="4">
        <f>IFERROR(VLOOKUP($C50,'HC &amp; Open Position'!$D$3:$P$55,11,0),"")</f>
        <v>1</v>
      </c>
      <c r="AL50" s="4">
        <f>IFERROR(VLOOKUP($C50,'HC &amp; Open Position'!$D$3:$P$55,12,0),"")</f>
        <v>0</v>
      </c>
      <c r="AM50" s="94">
        <f t="shared" ref="AM50" si="43">SUM(AI50:AL50)</f>
        <v>2</v>
      </c>
      <c r="AN50" s="151">
        <v>1</v>
      </c>
      <c r="AO50" s="151"/>
      <c r="AP50" s="35">
        <f t="shared" si="10"/>
        <v>-13.421296296296296</v>
      </c>
    </row>
    <row r="51" spans="2:42" ht="15.75" thickBot="1" x14ac:dyDescent="0.3">
      <c r="B51" s="54"/>
      <c r="C51" s="10" t="s">
        <v>330</v>
      </c>
      <c r="D51" s="4"/>
      <c r="E51" s="106"/>
      <c r="F51" s="106"/>
      <c r="G51" s="10"/>
      <c r="H51" s="10"/>
      <c r="I51" s="10"/>
      <c r="J51" s="25" t="str">
        <f>IFERROR(VLOOKUP(C51,CPH!$A:$E,5,0),"")</f>
        <v/>
      </c>
      <c r="K51" s="33">
        <v>2</v>
      </c>
      <c r="L51" s="133"/>
      <c r="M51" s="63"/>
      <c r="N51" s="147" t="s">
        <v>79</v>
      </c>
      <c r="O51" s="147">
        <v>0</v>
      </c>
      <c r="P51" s="33">
        <f t="shared" si="15"/>
        <v>1.8</v>
      </c>
      <c r="Q51" s="28">
        <f t="shared" si="30"/>
        <v>0.37037037037037035</v>
      </c>
      <c r="R51" s="9">
        <f t="shared" si="31"/>
        <v>4.6296296296296294E-2</v>
      </c>
      <c r="S51" s="9">
        <f t="shared" si="32"/>
        <v>5.7870370370370367E-3</v>
      </c>
      <c r="T51" s="9">
        <f t="shared" si="33"/>
        <v>1.9290123456790122E-3</v>
      </c>
      <c r="U51" s="94">
        <f t="shared" ref="U51" si="44">SUM(Q51:T51)</f>
        <v>0.42438271604938266</v>
      </c>
      <c r="W51" s="34" t="str">
        <f>IFERROR(VLOOKUP($C51,'HC &amp; Open Position'!$D:$J,MATCH(W$3,'HC &amp; Open Position'!$D$3:$J$3,1),0),"")</f>
        <v/>
      </c>
      <c r="X51" s="4" t="str">
        <f>IFERROR(VLOOKUP($C51,'HC &amp; Open Position'!$D:$J,MATCH(X$3,'HC &amp; Open Position'!$D$3:$J$3,1),0),"")</f>
        <v/>
      </c>
      <c r="Y51" s="4" t="str">
        <f>IFERROR(VLOOKUP($C51,'HC &amp; Open Position'!$D:$J,MATCH(Y$3,'HC &amp; Open Position'!$D$3:$J$3,1),0),"")</f>
        <v/>
      </c>
      <c r="Z51" s="4" t="str">
        <f>IFERROR(VLOOKUP($C51,'HC &amp; Open Position'!$D:$J,MATCH(Z$3,'HC &amp; Open Position'!$D$3:$J$3,1),0),"")</f>
        <v/>
      </c>
      <c r="AA51" s="94">
        <f t="shared" si="34"/>
        <v>0</v>
      </c>
      <c r="AB51" s="35">
        <f t="shared" si="35"/>
        <v>0.42438271604938266</v>
      </c>
      <c r="AD51" s="152"/>
      <c r="AF51" s="152"/>
      <c r="AG51" s="152"/>
      <c r="AI51" s="34" t="str">
        <f>IFERROR(VLOOKUP($C51,'HC &amp; Open Position'!$D$3:$P$55,9,0),"")</f>
        <v/>
      </c>
      <c r="AJ51" s="4" t="str">
        <f>IFERROR(VLOOKUP($C51,'HC &amp; Open Position'!$D$3:$P$55,10,0),"")</f>
        <v/>
      </c>
      <c r="AK51" s="4" t="str">
        <f>IFERROR(VLOOKUP($C51,'HC &amp; Open Position'!$D$3:$P$55,11,0),"")</f>
        <v/>
      </c>
      <c r="AL51" s="4" t="str">
        <f>IFERROR(VLOOKUP($C51,'HC &amp; Open Position'!$D$3:$P$55,12,0),"")</f>
        <v/>
      </c>
      <c r="AM51" s="94">
        <f t="shared" si="29"/>
        <v>0</v>
      </c>
      <c r="AN51" s="151"/>
      <c r="AO51" s="151"/>
      <c r="AP51" s="35">
        <f t="shared" si="10"/>
        <v>0.42438271604938266</v>
      </c>
    </row>
    <row r="52" spans="2:42" ht="15.75" thickBot="1" x14ac:dyDescent="0.3">
      <c r="C52" s="10" t="s">
        <v>353</v>
      </c>
      <c r="K52" s="33">
        <v>10.3</v>
      </c>
      <c r="L52" s="133"/>
      <c r="M52" s="63"/>
      <c r="N52" s="147" t="s">
        <v>79</v>
      </c>
      <c r="O52" s="147">
        <v>0</v>
      </c>
      <c r="P52" s="33">
        <f t="shared" ref="P52:P53" si="45">IFERROR(N52*1.3,1.8)</f>
        <v>1.8</v>
      </c>
      <c r="Q52" s="28">
        <f t="shared" ref="Q52" si="46">IFERROR(K52/(P52*3),"")</f>
        <v>1.9074074074074074</v>
      </c>
      <c r="R52" s="9">
        <f t="shared" ref="R52" si="47">IFERROR(Q52/8,"")</f>
        <v>0.23842592592592593</v>
      </c>
      <c r="S52" s="9">
        <f t="shared" ref="S52" si="48">IFERROR(R52/8,"")</f>
        <v>2.9803240740740741E-2</v>
      </c>
      <c r="T52" s="9">
        <f t="shared" ref="T52" si="49">IFERROR(S52/3,"")</f>
        <v>9.9344135802469143E-3</v>
      </c>
      <c r="U52" s="94">
        <f t="shared" ref="U52" si="50">SUM(Q52:T52)</f>
        <v>2.1855709876543212</v>
      </c>
      <c r="W52" s="34">
        <f>IFERROR(VLOOKUP($C52,'HC &amp; Open Position'!$D:$J,MATCH(W$3,'HC &amp; Open Position'!$D$3:$J$3,1),0),"")</f>
        <v>1</v>
      </c>
      <c r="X52" s="4">
        <f>IFERROR(VLOOKUP($C52,'HC &amp; Open Position'!$D:$J,MATCH(X$3,'HC &amp; Open Position'!$D$3:$J$3,1),0),"")</f>
        <v>0</v>
      </c>
      <c r="Y52" s="4">
        <f>IFERROR(VLOOKUP($C52,'HC &amp; Open Position'!$D:$J,MATCH(Y$3,'HC &amp; Open Position'!$D$3:$J$3,1),0),"")</f>
        <v>0</v>
      </c>
      <c r="Z52" s="4">
        <f>IFERROR(VLOOKUP($C52,'HC &amp; Open Position'!$D:$J,MATCH(Z$3,'HC &amp; Open Position'!$D$3:$J$3,1),0),"")</f>
        <v>0</v>
      </c>
      <c r="AA52" s="94">
        <f t="shared" ref="AA52" si="51">SUM(W52:Z52)</f>
        <v>1</v>
      </c>
      <c r="AB52" s="35">
        <f t="shared" ref="AB52" si="52">U52-AA52</f>
        <v>1.1855709876543212</v>
      </c>
      <c r="AD52" s="152"/>
      <c r="AF52" s="152"/>
      <c r="AG52" s="152">
        <v>1</v>
      </c>
      <c r="AI52" s="34">
        <f>IFERROR(VLOOKUP($C52,'HC &amp; Open Position'!$D$3:$P$55,9,0),"")</f>
        <v>1</v>
      </c>
      <c r="AJ52" s="4">
        <f>IFERROR(VLOOKUP($C52,'HC &amp; Open Position'!$D$3:$P$55,10,0),"")</f>
        <v>0</v>
      </c>
      <c r="AK52" s="4">
        <f>IFERROR(VLOOKUP($C52,'HC &amp; Open Position'!$D$3:$P$55,11,0),"")</f>
        <v>0</v>
      </c>
      <c r="AL52" s="4">
        <f>IFERROR(VLOOKUP($C52,'HC &amp; Open Position'!$D$3:$P$55,12,0),"")</f>
        <v>0</v>
      </c>
      <c r="AM52" s="94">
        <f t="shared" ref="AM52" si="53">SUM(AI52:AL52)</f>
        <v>1</v>
      </c>
      <c r="AN52" s="151"/>
      <c r="AO52" s="151"/>
      <c r="AP52" s="35">
        <f t="shared" si="10"/>
        <v>0.18557098765432123</v>
      </c>
    </row>
    <row r="53" spans="2:42" ht="15.75" thickBot="1" x14ac:dyDescent="0.3">
      <c r="C53" s="10" t="s">
        <v>354</v>
      </c>
      <c r="K53" s="33">
        <v>0</v>
      </c>
      <c r="L53" s="133"/>
      <c r="M53" s="63"/>
      <c r="N53" s="147" t="s">
        <v>79</v>
      </c>
      <c r="O53" s="147">
        <v>0</v>
      </c>
      <c r="P53" s="33">
        <f t="shared" si="45"/>
        <v>1.8</v>
      </c>
      <c r="Q53" s="28">
        <f t="shared" ref="Q53" si="54">IFERROR(K53/(P53*3),"")</f>
        <v>0</v>
      </c>
      <c r="R53" s="9">
        <f t="shared" ref="R53" si="55">IFERROR(Q53/8,"")</f>
        <v>0</v>
      </c>
      <c r="S53" s="9">
        <f t="shared" ref="S53" si="56">IFERROR(R53/8,"")</f>
        <v>0</v>
      </c>
      <c r="T53" s="9">
        <f t="shared" ref="T53" si="57">IFERROR(S53/3,"")</f>
        <v>0</v>
      </c>
      <c r="U53" s="94">
        <f t="shared" ref="U53" si="58">SUM(Q53:T53)</f>
        <v>0</v>
      </c>
      <c r="W53" s="34">
        <f>IFERROR(VLOOKUP($C53,'HC &amp; Open Position'!$D:$J,MATCH(W$3,'HC &amp; Open Position'!$D$3:$J$3,1),0),"")</f>
        <v>3</v>
      </c>
      <c r="X53" s="4">
        <f>IFERROR(VLOOKUP($C53,'HC &amp; Open Position'!$D:$J,MATCH(X$3,'HC &amp; Open Position'!$D$3:$J$3,1),0),"")</f>
        <v>0</v>
      </c>
      <c r="Y53" s="4">
        <f>IFERROR(VLOOKUP($C53,'HC &amp; Open Position'!$D:$J,MATCH(Y$3,'HC &amp; Open Position'!$D$3:$J$3,1),0),"")</f>
        <v>0</v>
      </c>
      <c r="Z53" s="4">
        <f>IFERROR(VLOOKUP($C53,'HC &amp; Open Position'!$D:$J,MATCH(Z$3,'HC &amp; Open Position'!$D$3:$J$3,1),0),"")</f>
        <v>0</v>
      </c>
      <c r="AA53" s="94">
        <f t="shared" ref="AA53" si="59">SUM(W53:Z53)</f>
        <v>3</v>
      </c>
      <c r="AB53" s="35">
        <f t="shared" ref="AB53" si="60">U53-AA53</f>
        <v>-3</v>
      </c>
      <c r="AD53" s="152"/>
      <c r="AF53" s="152"/>
      <c r="AG53" s="152">
        <v>21</v>
      </c>
      <c r="AI53" s="34">
        <f>IFERROR(VLOOKUP($C53,'HC &amp; Open Position'!$D$3:$P$55,9,0),"")</f>
        <v>19</v>
      </c>
      <c r="AJ53" s="4">
        <f>IFERROR(VLOOKUP($C53,'HC &amp; Open Position'!$D$3:$P$55,10,0),"")</f>
        <v>2</v>
      </c>
      <c r="AK53" s="4">
        <f>IFERROR(VLOOKUP($C53,'HC &amp; Open Position'!$D$3:$P$55,11,0),"")</f>
        <v>0</v>
      </c>
      <c r="AL53" s="4">
        <f>IFERROR(VLOOKUP($C53,'HC &amp; Open Position'!$D$3:$P$55,12,0),"")</f>
        <v>0</v>
      </c>
      <c r="AM53" s="94">
        <f t="shared" ref="AM53" si="61">SUM(AI53:AL53)</f>
        <v>21</v>
      </c>
      <c r="AN53" s="151"/>
      <c r="AO53" s="151"/>
      <c r="AP53" s="35">
        <f t="shared" si="10"/>
        <v>-24</v>
      </c>
    </row>
    <row r="54" spans="2:42" ht="15.75" thickBot="1" x14ac:dyDescent="0.3">
      <c r="C54" s="10"/>
      <c r="K54" s="33"/>
      <c r="L54" s="133"/>
      <c r="M54" s="63"/>
      <c r="N54" s="147"/>
      <c r="O54" s="147"/>
      <c r="P54" s="33"/>
      <c r="Q54" s="28"/>
      <c r="R54" s="9"/>
      <c r="S54" s="9"/>
      <c r="T54" s="9"/>
      <c r="U54" s="94"/>
      <c r="W54" s="34"/>
      <c r="X54" s="4"/>
      <c r="Y54" s="4"/>
      <c r="Z54" s="4"/>
      <c r="AA54" s="94"/>
      <c r="AB54" s="35"/>
      <c r="AD54" s="152"/>
      <c r="AF54" s="152"/>
      <c r="AG54" s="152"/>
      <c r="AI54" s="34"/>
      <c r="AJ54" s="4"/>
      <c r="AK54" s="4"/>
      <c r="AL54" s="4"/>
      <c r="AM54" s="94"/>
      <c r="AN54" s="151"/>
      <c r="AO54" s="151"/>
      <c r="AP54" s="35"/>
    </row>
  </sheetData>
  <mergeCells count="5">
    <mergeCell ref="Q1:U1"/>
    <mergeCell ref="W1:AA1"/>
    <mergeCell ref="AI1:AM1"/>
    <mergeCell ref="J1:J2"/>
    <mergeCell ref="AF1:AG1"/>
  </mergeCells>
  <conditionalFormatting sqref="F4:F51">
    <cfRule type="expression" dxfId="15" priority="11">
      <formula>F4&lt;=TODAY()</formula>
    </cfRule>
  </conditionalFormatting>
  <conditionalFormatting sqref="AB2 AD2 AF2:AG2 AB4:AB54 AD4:AD54 AF4:AG54 AP4:AP54">
    <cfRule type="cellIs" dxfId="14" priority="9" operator="between">
      <formula>0</formula>
      <formula>100</formula>
    </cfRule>
    <cfRule type="cellIs" dxfId="13" priority="10" operator="lessThan">
      <formula>0</formula>
    </cfRule>
  </conditionalFormatting>
  <conditionalFormatting sqref="AP2">
    <cfRule type="cellIs" dxfId="12" priority="1" operator="between">
      <formula>0</formula>
      <formula>100</formula>
    </cfRule>
    <cfRule type="cellIs" dxfId="1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27B2-0A41-4E17-BAAA-E88A1BA0371B}">
  <sheetPr filterMode="1"/>
  <dimension ref="A1:B40"/>
  <sheetViews>
    <sheetView workbookViewId="0">
      <selection activeCell="B27" sqref="B27"/>
    </sheetView>
  </sheetViews>
  <sheetFormatPr defaultRowHeight="15" x14ac:dyDescent="0.25"/>
  <cols>
    <col min="1" max="1" width="25.42578125" customWidth="1"/>
    <col min="2" max="2" width="9.140625" style="3"/>
  </cols>
  <sheetData>
    <row r="1" spans="1:2" ht="15.75" x14ac:dyDescent="0.25">
      <c r="A1" s="197" t="s">
        <v>374</v>
      </c>
      <c r="B1" s="200" t="s">
        <v>351</v>
      </c>
    </row>
    <row r="2" spans="1:2" ht="15.75" x14ac:dyDescent="0.25">
      <c r="A2" s="198" t="s">
        <v>180</v>
      </c>
      <c r="B2" s="201">
        <v>6</v>
      </c>
    </row>
    <row r="3" spans="1:2" ht="15.75" hidden="1" x14ac:dyDescent="0.25">
      <c r="A3" s="198" t="s">
        <v>117</v>
      </c>
      <c r="B3" s="201">
        <v>0</v>
      </c>
    </row>
    <row r="4" spans="1:2" ht="15.75" x14ac:dyDescent="0.25">
      <c r="A4" s="198" t="s">
        <v>184</v>
      </c>
      <c r="B4" s="202">
        <v>2</v>
      </c>
    </row>
    <row r="5" spans="1:2" ht="15.75" x14ac:dyDescent="0.25">
      <c r="A5" s="198" t="s">
        <v>71</v>
      </c>
      <c r="B5" s="206">
        <v>1</v>
      </c>
    </row>
    <row r="6" spans="1:2" ht="15.75" hidden="1" x14ac:dyDescent="0.25">
      <c r="A6" s="198" t="s">
        <v>227</v>
      </c>
      <c r="B6" s="201">
        <v>0</v>
      </c>
    </row>
    <row r="7" spans="1:2" ht="15.75" hidden="1" x14ac:dyDescent="0.25">
      <c r="A7" s="198" t="s">
        <v>113</v>
      </c>
      <c r="B7" s="201">
        <v>0</v>
      </c>
    </row>
    <row r="8" spans="1:2" ht="15.75" hidden="1" x14ac:dyDescent="0.25">
      <c r="A8" s="198" t="s">
        <v>34</v>
      </c>
      <c r="B8" s="201">
        <v>0</v>
      </c>
    </row>
    <row r="9" spans="1:2" ht="15.75" hidden="1" x14ac:dyDescent="0.25">
      <c r="A9" s="198" t="s">
        <v>78</v>
      </c>
      <c r="B9" s="201">
        <v>0</v>
      </c>
    </row>
    <row r="10" spans="1:2" ht="15.75" x14ac:dyDescent="0.25">
      <c r="A10" s="198" t="s">
        <v>144</v>
      </c>
      <c r="B10" s="201">
        <v>2</v>
      </c>
    </row>
    <row r="11" spans="1:2" ht="15.75" hidden="1" x14ac:dyDescent="0.25">
      <c r="A11" s="198" t="s">
        <v>74</v>
      </c>
      <c r="B11" s="201">
        <v>0</v>
      </c>
    </row>
    <row r="12" spans="1:2" ht="15.75" hidden="1" x14ac:dyDescent="0.25">
      <c r="A12" s="198" t="s">
        <v>375</v>
      </c>
      <c r="B12" s="201">
        <v>0</v>
      </c>
    </row>
    <row r="13" spans="1:2" ht="15.75" hidden="1" x14ac:dyDescent="0.25">
      <c r="A13" s="198" t="s">
        <v>82</v>
      </c>
      <c r="B13" s="201">
        <v>0</v>
      </c>
    </row>
    <row r="14" spans="1:2" ht="15.75" hidden="1" x14ac:dyDescent="0.25">
      <c r="A14" s="198" t="s">
        <v>129</v>
      </c>
      <c r="B14" s="201">
        <v>0</v>
      </c>
    </row>
    <row r="15" spans="1:2" ht="15.75" hidden="1" x14ac:dyDescent="0.25">
      <c r="A15" s="198" t="s">
        <v>376</v>
      </c>
      <c r="B15" s="201">
        <v>0</v>
      </c>
    </row>
    <row r="16" spans="1:2" ht="15.75" x14ac:dyDescent="0.25">
      <c r="A16" s="198" t="s">
        <v>95</v>
      </c>
      <c r="B16" s="201">
        <v>10</v>
      </c>
    </row>
    <row r="17" spans="1:2" ht="15.75" hidden="1" x14ac:dyDescent="0.25">
      <c r="A17" s="198" t="s">
        <v>88</v>
      </c>
      <c r="B17" s="201">
        <v>0</v>
      </c>
    </row>
    <row r="18" spans="1:2" ht="15.75" x14ac:dyDescent="0.25">
      <c r="A18" s="198" t="s">
        <v>150</v>
      </c>
      <c r="B18" s="201">
        <v>1</v>
      </c>
    </row>
    <row r="19" spans="1:2" ht="15.75" hidden="1" x14ac:dyDescent="0.25">
      <c r="A19" s="198" t="s">
        <v>341</v>
      </c>
      <c r="B19" s="201">
        <v>0</v>
      </c>
    </row>
    <row r="20" spans="1:2" ht="15.75" hidden="1" x14ac:dyDescent="0.25">
      <c r="A20" s="198" t="s">
        <v>223</v>
      </c>
      <c r="B20" s="201">
        <v>0</v>
      </c>
    </row>
    <row r="21" spans="1:2" ht="15.75" hidden="1" x14ac:dyDescent="0.25">
      <c r="A21" s="198" t="s">
        <v>194</v>
      </c>
      <c r="B21" s="201">
        <v>0</v>
      </c>
    </row>
    <row r="22" spans="1:2" ht="15.75" hidden="1" x14ac:dyDescent="0.25">
      <c r="A22" s="198" t="s">
        <v>40</v>
      </c>
      <c r="B22" s="201">
        <v>0</v>
      </c>
    </row>
    <row r="23" spans="1:2" ht="15.75" hidden="1" x14ac:dyDescent="0.25">
      <c r="A23" s="198" t="s">
        <v>66</v>
      </c>
      <c r="B23" s="201">
        <v>0</v>
      </c>
    </row>
    <row r="24" spans="1:2" ht="15.75" x14ac:dyDescent="0.25">
      <c r="A24" s="198" t="s">
        <v>137</v>
      </c>
      <c r="B24" s="203">
        <v>3.18</v>
      </c>
    </row>
    <row r="25" spans="1:2" ht="15.75" x14ac:dyDescent="0.25">
      <c r="A25" s="198" t="s">
        <v>140</v>
      </c>
      <c r="B25" s="201">
        <v>2</v>
      </c>
    </row>
    <row r="26" spans="1:2" ht="15.75" x14ac:dyDescent="0.25">
      <c r="A26" s="198" t="s">
        <v>135</v>
      </c>
      <c r="B26" s="201">
        <v>3</v>
      </c>
    </row>
    <row r="27" spans="1:2" ht="15.75" x14ac:dyDescent="0.25">
      <c r="A27" s="198" t="s">
        <v>60</v>
      </c>
      <c r="B27" s="203">
        <v>1.8</v>
      </c>
    </row>
    <row r="28" spans="1:2" ht="15.75" hidden="1" x14ac:dyDescent="0.25">
      <c r="A28" s="198" t="s">
        <v>61</v>
      </c>
      <c r="B28" s="201">
        <v>0</v>
      </c>
    </row>
    <row r="29" spans="1:2" ht="15.75" hidden="1" x14ac:dyDescent="0.25">
      <c r="A29" s="198" t="s">
        <v>56</v>
      </c>
      <c r="B29" s="201">
        <v>0</v>
      </c>
    </row>
    <row r="30" spans="1:2" ht="15.75" hidden="1" x14ac:dyDescent="0.25">
      <c r="A30" s="198" t="s">
        <v>187</v>
      </c>
      <c r="B30" s="201">
        <v>0</v>
      </c>
    </row>
    <row r="31" spans="1:2" ht="15.75" hidden="1" x14ac:dyDescent="0.25">
      <c r="A31" s="198" t="s">
        <v>342</v>
      </c>
      <c r="B31" s="201">
        <v>0</v>
      </c>
    </row>
    <row r="32" spans="1:2" ht="15.75" hidden="1" x14ac:dyDescent="0.25">
      <c r="A32" s="198" t="s">
        <v>157</v>
      </c>
      <c r="B32" s="201">
        <v>0</v>
      </c>
    </row>
    <row r="33" spans="1:2" ht="15.75" hidden="1" x14ac:dyDescent="0.25">
      <c r="A33" s="198" t="s">
        <v>125</v>
      </c>
      <c r="B33" s="201">
        <v>0</v>
      </c>
    </row>
    <row r="34" spans="1:2" ht="15.75" hidden="1" x14ac:dyDescent="0.25">
      <c r="A34" s="198" t="s">
        <v>68</v>
      </c>
      <c r="B34" s="201">
        <v>0</v>
      </c>
    </row>
    <row r="35" spans="1:2" ht="15.75" hidden="1" x14ac:dyDescent="0.25">
      <c r="A35" s="198" t="s">
        <v>101</v>
      </c>
      <c r="B35" s="201">
        <v>0</v>
      </c>
    </row>
    <row r="36" spans="1:2" ht="15.75" x14ac:dyDescent="0.25">
      <c r="A36" s="199" t="s">
        <v>232</v>
      </c>
      <c r="B36" s="204">
        <f>SUM(B2:B35)</f>
        <v>31.98</v>
      </c>
    </row>
    <row r="39" spans="1:2" ht="15.75" x14ac:dyDescent="0.25">
      <c r="A39" s="197" t="s">
        <v>374</v>
      </c>
      <c r="B39" s="200" t="s">
        <v>377</v>
      </c>
    </row>
    <row r="40" spans="1:2" x14ac:dyDescent="0.25">
      <c r="A40" s="7" t="s">
        <v>101</v>
      </c>
      <c r="B40" s="111">
        <v>3</v>
      </c>
    </row>
  </sheetData>
  <autoFilter ref="A1:B36" xr:uid="{120D27B2-0A41-4E17-BAAA-E88A1BA0371B}">
    <filterColumn colId="1">
      <filters>
        <filter val="1"/>
        <filter val="1.67"/>
        <filter val="1.8"/>
        <filter val="10"/>
        <filter val="2"/>
        <filter val="3"/>
        <filter val="3.18"/>
        <filter val="31.65"/>
        <filter val="6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6AB5-AA92-4A10-B5FF-D57584FC0E1E}">
  <sheetPr>
    <tabColor rgb="FFFFC000"/>
  </sheetPr>
  <dimension ref="A1:U53"/>
  <sheetViews>
    <sheetView workbookViewId="0">
      <selection activeCell="P1" sqref="P1"/>
    </sheetView>
  </sheetViews>
  <sheetFormatPr defaultRowHeight="15" x14ac:dyDescent="0.25"/>
  <cols>
    <col min="1" max="1" width="6" bestFit="1" customWidth="1"/>
    <col min="2" max="2" width="18.42578125" bestFit="1" customWidth="1"/>
    <col min="3" max="3" width="12.85546875" hidden="1" customWidth="1"/>
    <col min="4" max="4" width="11.140625" hidden="1" customWidth="1"/>
    <col min="5" max="5" width="18.5703125" bestFit="1" customWidth="1"/>
    <col min="6" max="6" width="12.42578125" bestFit="1" customWidth="1"/>
    <col min="7" max="7" width="28.28515625" hidden="1" customWidth="1"/>
    <col min="8" max="8" width="13.140625" hidden="1" customWidth="1"/>
    <col min="9" max="9" width="31.28515625" hidden="1" customWidth="1"/>
    <col min="10" max="10" width="16.28515625" hidden="1" customWidth="1"/>
    <col min="11" max="11" width="11" hidden="1" customWidth="1"/>
    <col min="12" max="12" width="6.42578125" bestFit="1" customWidth="1"/>
    <col min="13" max="13" width="12.28515625" bestFit="1" customWidth="1"/>
    <col min="14" max="14" width="19.5703125" bestFit="1" customWidth="1"/>
    <col min="15" max="15" width="27.140625" hidden="1" customWidth="1"/>
    <col min="16" max="16" width="36.140625" bestFit="1" customWidth="1"/>
    <col min="17" max="17" width="14.28515625" bestFit="1" customWidth="1"/>
    <col min="18" max="18" width="31.5703125" bestFit="1" customWidth="1"/>
    <col min="19" max="19" width="9.5703125" bestFit="1" customWidth="1"/>
    <col min="20" max="20" width="9.85546875" bestFit="1" customWidth="1"/>
    <col min="21" max="21" width="27.7109375" customWidth="1"/>
  </cols>
  <sheetData>
    <row r="1" spans="1:21" ht="45" x14ac:dyDescent="0.25">
      <c r="A1" s="209" t="s">
        <v>378</v>
      </c>
      <c r="B1" s="209" t="s">
        <v>276</v>
      </c>
      <c r="C1" s="211" t="s">
        <v>277</v>
      </c>
      <c r="D1" s="210" t="s">
        <v>446</v>
      </c>
      <c r="E1" s="210" t="s">
        <v>447</v>
      </c>
      <c r="F1" s="209" t="s">
        <v>332</v>
      </c>
      <c r="G1" s="209" t="s">
        <v>407</v>
      </c>
      <c r="H1" s="209" t="s">
        <v>408</v>
      </c>
      <c r="I1" s="209" t="s">
        <v>409</v>
      </c>
      <c r="J1" s="209" t="s">
        <v>278</v>
      </c>
      <c r="K1" s="209" t="s">
        <v>279</v>
      </c>
      <c r="L1" s="209" t="s">
        <v>280</v>
      </c>
      <c r="M1" s="209" t="s">
        <v>281</v>
      </c>
      <c r="N1" s="209" t="s">
        <v>282</v>
      </c>
      <c r="O1" s="209" t="s">
        <v>411</v>
      </c>
      <c r="P1" s="209" t="s">
        <v>283</v>
      </c>
      <c r="Q1" s="209" t="s">
        <v>284</v>
      </c>
      <c r="R1" s="209" t="s">
        <v>333</v>
      </c>
      <c r="S1" s="210" t="s">
        <v>344</v>
      </c>
      <c r="T1" s="210" t="s">
        <v>285</v>
      </c>
      <c r="U1" s="196" t="s">
        <v>286</v>
      </c>
    </row>
    <row r="2" spans="1:21" x14ac:dyDescent="0.25">
      <c r="A2" s="3">
        <v>1</v>
      </c>
      <c r="B2" s="3" t="s">
        <v>252</v>
      </c>
      <c r="C2" t="s">
        <v>298</v>
      </c>
      <c r="D2" s="208" t="s">
        <v>252</v>
      </c>
      <c r="E2" s="208" t="s">
        <v>252</v>
      </c>
      <c r="F2" s="3" t="s">
        <v>257</v>
      </c>
      <c r="G2" s="3" t="s">
        <v>252</v>
      </c>
      <c r="H2" s="3" t="s">
        <v>252</v>
      </c>
      <c r="I2" s="3" t="s">
        <v>221</v>
      </c>
      <c r="J2" s="3" t="s">
        <v>301</v>
      </c>
      <c r="K2" s="3" t="s">
        <v>23</v>
      </c>
      <c r="L2" s="3" t="s">
        <v>312</v>
      </c>
      <c r="M2" s="3" t="s">
        <v>311</v>
      </c>
      <c r="N2" s="3" t="s">
        <v>315</v>
      </c>
      <c r="O2" s="3" t="s">
        <v>413</v>
      </c>
      <c r="P2" s="3" t="s">
        <v>316</v>
      </c>
      <c r="Q2" s="3" t="s">
        <v>297</v>
      </c>
      <c r="R2" s="3"/>
      <c r="S2" s="208"/>
      <c r="T2" s="208"/>
      <c r="U2" s="3" t="s">
        <v>166</v>
      </c>
    </row>
    <row r="3" spans="1:21" x14ac:dyDescent="0.25">
      <c r="A3" s="3">
        <v>2</v>
      </c>
      <c r="B3" s="3" t="s">
        <v>299</v>
      </c>
      <c r="C3" t="s">
        <v>287</v>
      </c>
      <c r="D3" s="208">
        <v>45819</v>
      </c>
      <c r="E3" s="208">
        <v>45820</v>
      </c>
      <c r="F3" s="3" t="s">
        <v>256</v>
      </c>
      <c r="G3" s="3" t="s">
        <v>300</v>
      </c>
      <c r="H3" s="3">
        <v>11175</v>
      </c>
      <c r="I3" s="3" t="s">
        <v>448</v>
      </c>
      <c r="J3" s="3" t="s">
        <v>301</v>
      </c>
      <c r="K3" s="3" t="s">
        <v>22</v>
      </c>
      <c r="L3" s="3" t="s">
        <v>290</v>
      </c>
      <c r="M3" s="3" t="s">
        <v>240</v>
      </c>
      <c r="N3" s="3" t="s">
        <v>95</v>
      </c>
      <c r="O3" s="3"/>
      <c r="P3" s="3" t="s">
        <v>291</v>
      </c>
      <c r="Q3" s="3" t="s">
        <v>297</v>
      </c>
      <c r="R3" s="3"/>
      <c r="S3" s="208"/>
      <c r="T3" s="208"/>
      <c r="U3" s="3" t="s">
        <v>302</v>
      </c>
    </row>
    <row r="4" spans="1:21" x14ac:dyDescent="0.25">
      <c r="A4" s="3">
        <v>3</v>
      </c>
      <c r="B4" s="3" t="s">
        <v>335</v>
      </c>
      <c r="C4" t="s">
        <v>314</v>
      </c>
      <c r="D4" s="208">
        <v>45959</v>
      </c>
      <c r="E4" s="208" t="s">
        <v>252</v>
      </c>
      <c r="F4" s="3" t="s">
        <v>257</v>
      </c>
      <c r="G4" s="3" t="s">
        <v>252</v>
      </c>
      <c r="H4" s="3" t="s">
        <v>252</v>
      </c>
      <c r="I4" s="3" t="s">
        <v>43</v>
      </c>
      <c r="J4" s="3" t="s">
        <v>289</v>
      </c>
      <c r="K4" s="3" t="s">
        <v>22</v>
      </c>
      <c r="L4" s="3" t="s">
        <v>290</v>
      </c>
      <c r="M4" s="3" t="s">
        <v>295</v>
      </c>
      <c r="N4" s="3" t="s">
        <v>40</v>
      </c>
      <c r="O4" s="3"/>
      <c r="P4" s="3" t="s">
        <v>318</v>
      </c>
      <c r="Q4" s="3" t="s">
        <v>297</v>
      </c>
      <c r="R4" s="3"/>
      <c r="S4" s="208"/>
      <c r="T4" s="208"/>
      <c r="U4" s="3" t="s">
        <v>166</v>
      </c>
    </row>
    <row r="5" spans="1:21" x14ac:dyDescent="0.25">
      <c r="A5" s="3">
        <v>4</v>
      </c>
      <c r="B5" s="3" t="s">
        <v>334</v>
      </c>
      <c r="C5" t="s">
        <v>287</v>
      </c>
      <c r="D5" s="208">
        <v>45959</v>
      </c>
      <c r="E5" s="208" t="s">
        <v>252</v>
      </c>
      <c r="F5" s="3" t="s">
        <v>257</v>
      </c>
      <c r="G5" s="3" t="s">
        <v>252</v>
      </c>
      <c r="H5" s="3" t="s">
        <v>252</v>
      </c>
      <c r="I5" s="3" t="s">
        <v>42</v>
      </c>
      <c r="J5" s="3" t="s">
        <v>289</v>
      </c>
      <c r="K5" s="3" t="s">
        <v>23</v>
      </c>
      <c r="L5" s="3" t="s">
        <v>312</v>
      </c>
      <c r="M5" s="3" t="s">
        <v>295</v>
      </c>
      <c r="N5" s="3" t="s">
        <v>313</v>
      </c>
      <c r="O5" s="3"/>
      <c r="P5" s="3" t="s">
        <v>357</v>
      </c>
      <c r="Q5" s="3" t="s">
        <v>292</v>
      </c>
      <c r="R5" s="3" t="s">
        <v>379</v>
      </c>
      <c r="S5" s="208">
        <v>46044</v>
      </c>
      <c r="T5" s="208">
        <v>46104</v>
      </c>
      <c r="U5" s="3" t="s">
        <v>166</v>
      </c>
    </row>
    <row r="6" spans="1:21" x14ac:dyDescent="0.25">
      <c r="A6" s="3">
        <v>5</v>
      </c>
      <c r="B6" s="3" t="s">
        <v>345</v>
      </c>
      <c r="C6" t="s">
        <v>287</v>
      </c>
      <c r="D6" s="208">
        <v>45976</v>
      </c>
      <c r="E6" s="208">
        <v>45979</v>
      </c>
      <c r="F6" s="3" t="s">
        <v>257</v>
      </c>
      <c r="G6" s="3" t="s">
        <v>252</v>
      </c>
      <c r="H6" s="3" t="s">
        <v>252</v>
      </c>
      <c r="I6" s="3" t="s">
        <v>361</v>
      </c>
      <c r="J6" s="3" t="s">
        <v>301</v>
      </c>
      <c r="K6" s="3" t="s">
        <v>22</v>
      </c>
      <c r="L6" s="3" t="s">
        <v>290</v>
      </c>
      <c r="M6" s="3" t="s">
        <v>295</v>
      </c>
      <c r="N6" s="3" t="s">
        <v>341</v>
      </c>
      <c r="O6" s="3"/>
      <c r="P6" s="3" t="s">
        <v>318</v>
      </c>
      <c r="Q6" s="3" t="s">
        <v>297</v>
      </c>
      <c r="R6" s="3"/>
      <c r="S6" s="208"/>
      <c r="T6" s="208"/>
      <c r="U6" s="3" t="s">
        <v>166</v>
      </c>
    </row>
    <row r="7" spans="1:21" x14ac:dyDescent="0.25">
      <c r="A7" s="3">
        <v>6</v>
      </c>
      <c r="B7" s="3" t="s">
        <v>358</v>
      </c>
      <c r="C7" t="s">
        <v>287</v>
      </c>
      <c r="D7" s="208">
        <v>46031</v>
      </c>
      <c r="E7" s="208">
        <v>46031</v>
      </c>
      <c r="F7" s="3" t="s">
        <v>257</v>
      </c>
      <c r="G7" s="3" t="s">
        <v>252</v>
      </c>
      <c r="H7" s="3" t="s">
        <v>252</v>
      </c>
      <c r="I7" s="3" t="s">
        <v>42</v>
      </c>
      <c r="J7" s="3" t="s">
        <v>301</v>
      </c>
      <c r="K7" s="3" t="s">
        <v>23</v>
      </c>
      <c r="L7" s="3" t="s">
        <v>317</v>
      </c>
      <c r="M7" s="3" t="s">
        <v>295</v>
      </c>
      <c r="N7" s="3" t="s">
        <v>343</v>
      </c>
      <c r="O7" s="3"/>
      <c r="P7" s="3" t="s">
        <v>359</v>
      </c>
      <c r="Q7" s="3" t="s">
        <v>292</v>
      </c>
      <c r="R7" s="3" t="s">
        <v>360</v>
      </c>
      <c r="S7" s="208">
        <v>46037</v>
      </c>
      <c r="T7" s="208">
        <v>46079</v>
      </c>
      <c r="U7" s="3" t="s">
        <v>166</v>
      </c>
    </row>
    <row r="8" spans="1:21" x14ac:dyDescent="0.25">
      <c r="A8" s="3">
        <v>7</v>
      </c>
      <c r="B8" s="3" t="s">
        <v>380</v>
      </c>
      <c r="C8" t="s">
        <v>287</v>
      </c>
      <c r="D8" s="208">
        <v>46036</v>
      </c>
      <c r="E8" s="208">
        <v>46036</v>
      </c>
      <c r="F8" s="3" t="s">
        <v>257</v>
      </c>
      <c r="G8" s="3" t="s">
        <v>252</v>
      </c>
      <c r="H8" s="3" t="s">
        <v>252</v>
      </c>
      <c r="I8" s="3" t="s">
        <v>381</v>
      </c>
      <c r="J8" s="3" t="s">
        <v>289</v>
      </c>
      <c r="K8" s="3" t="s">
        <v>22</v>
      </c>
      <c r="L8" s="3" t="s">
        <v>290</v>
      </c>
      <c r="M8" s="3" t="s">
        <v>295</v>
      </c>
      <c r="N8" s="3" t="s">
        <v>354</v>
      </c>
      <c r="O8" s="3"/>
      <c r="P8" s="3" t="s">
        <v>355</v>
      </c>
      <c r="Q8" s="3" t="s">
        <v>297</v>
      </c>
      <c r="R8" s="3"/>
      <c r="S8" s="208"/>
      <c r="T8" s="208"/>
      <c r="U8" s="3" t="s">
        <v>166</v>
      </c>
    </row>
    <row r="9" spans="1:21" x14ac:dyDescent="0.25">
      <c r="A9" s="3">
        <v>8</v>
      </c>
      <c r="B9" s="3" t="s">
        <v>382</v>
      </c>
      <c r="C9" t="s">
        <v>287</v>
      </c>
      <c r="D9" s="208">
        <v>46036</v>
      </c>
      <c r="E9" s="208">
        <v>46036</v>
      </c>
      <c r="F9" s="3" t="s">
        <v>257</v>
      </c>
      <c r="G9" s="3" t="s">
        <v>252</v>
      </c>
      <c r="H9" s="3" t="s">
        <v>252</v>
      </c>
      <c r="I9" s="3" t="s">
        <v>381</v>
      </c>
      <c r="J9" s="3" t="s">
        <v>289</v>
      </c>
      <c r="K9" s="3" t="s">
        <v>22</v>
      </c>
      <c r="L9" s="3" t="s">
        <v>290</v>
      </c>
      <c r="M9" s="3" t="s">
        <v>311</v>
      </c>
      <c r="N9" s="3" t="s">
        <v>354</v>
      </c>
      <c r="O9" s="3"/>
      <c r="P9" s="3" t="s">
        <v>355</v>
      </c>
      <c r="Q9" s="3" t="s">
        <v>297</v>
      </c>
      <c r="R9" s="3"/>
      <c r="S9" s="208"/>
      <c r="T9" s="208"/>
      <c r="U9" s="3" t="s">
        <v>166</v>
      </c>
    </row>
    <row r="10" spans="1:21" x14ac:dyDescent="0.25">
      <c r="A10" s="3">
        <v>9</v>
      </c>
      <c r="B10" s="3" t="s">
        <v>415</v>
      </c>
      <c r="C10" t="s">
        <v>287</v>
      </c>
      <c r="D10" s="208">
        <v>46020</v>
      </c>
      <c r="E10" s="208" t="s">
        <v>252</v>
      </c>
      <c r="F10" s="3" t="s">
        <v>257</v>
      </c>
      <c r="G10" s="3" t="s">
        <v>252</v>
      </c>
      <c r="H10" s="3" t="s">
        <v>252</v>
      </c>
      <c r="I10" s="3" t="s">
        <v>49</v>
      </c>
      <c r="J10" s="3" t="s">
        <v>289</v>
      </c>
      <c r="K10" s="3" t="s">
        <v>22</v>
      </c>
      <c r="L10" s="3" t="s">
        <v>416</v>
      </c>
      <c r="M10" s="3" t="s">
        <v>243</v>
      </c>
      <c r="N10" s="3" t="s">
        <v>144</v>
      </c>
      <c r="O10" s="3"/>
      <c r="P10" s="3" t="s">
        <v>417</v>
      </c>
      <c r="Q10" s="3" t="s">
        <v>292</v>
      </c>
      <c r="R10" s="3" t="s">
        <v>418</v>
      </c>
      <c r="S10" s="208">
        <v>46055</v>
      </c>
      <c r="T10" s="208">
        <v>46076</v>
      </c>
      <c r="U10" s="3" t="s">
        <v>166</v>
      </c>
    </row>
    <row r="11" spans="1:21" x14ac:dyDescent="0.25">
      <c r="A11" s="3">
        <v>10</v>
      </c>
      <c r="B11" s="3" t="s">
        <v>419</v>
      </c>
      <c r="C11" t="s">
        <v>287</v>
      </c>
      <c r="D11" s="208">
        <v>46020</v>
      </c>
      <c r="E11" s="208" t="s">
        <v>252</v>
      </c>
      <c r="F11" s="3" t="s">
        <v>257</v>
      </c>
      <c r="G11" s="3" t="s">
        <v>252</v>
      </c>
      <c r="H11" s="3" t="s">
        <v>252</v>
      </c>
      <c r="I11" s="3" t="s">
        <v>49</v>
      </c>
      <c r="J11" s="3" t="s">
        <v>289</v>
      </c>
      <c r="K11" s="3" t="s">
        <v>22</v>
      </c>
      <c r="L11" s="3" t="s">
        <v>290</v>
      </c>
      <c r="M11" s="3" t="s">
        <v>243</v>
      </c>
      <c r="N11" s="3" t="s">
        <v>135</v>
      </c>
      <c r="O11" s="3"/>
      <c r="P11" s="3" t="s">
        <v>355</v>
      </c>
      <c r="Q11" s="3" t="s">
        <v>297</v>
      </c>
      <c r="R11" s="3"/>
      <c r="S11" s="208"/>
      <c r="T11" s="208"/>
      <c r="U11" s="3" t="s">
        <v>166</v>
      </c>
    </row>
    <row r="12" spans="1:21" x14ac:dyDescent="0.25">
      <c r="A12" s="3">
        <v>11</v>
      </c>
      <c r="B12" s="3" t="s">
        <v>252</v>
      </c>
      <c r="C12" t="s">
        <v>298</v>
      </c>
      <c r="D12" s="208" t="s">
        <v>252</v>
      </c>
      <c r="E12" s="208" t="s">
        <v>252</v>
      </c>
      <c r="F12" s="3" t="s">
        <v>257</v>
      </c>
      <c r="G12" s="3" t="s">
        <v>252</v>
      </c>
      <c r="H12" s="3" t="s">
        <v>252</v>
      </c>
      <c r="I12" s="3" t="s">
        <v>221</v>
      </c>
      <c r="J12" s="3" t="s">
        <v>412</v>
      </c>
      <c r="K12" s="3" t="s">
        <v>22</v>
      </c>
      <c r="L12" s="3" t="s">
        <v>317</v>
      </c>
      <c r="M12" s="3" t="s">
        <v>240</v>
      </c>
      <c r="N12" s="3" t="s">
        <v>137</v>
      </c>
      <c r="O12" s="3"/>
      <c r="P12" s="3" t="s">
        <v>420</v>
      </c>
      <c r="Q12" s="3" t="s">
        <v>297</v>
      </c>
      <c r="R12" s="3"/>
      <c r="S12" s="208"/>
      <c r="T12" s="208"/>
      <c r="U12" s="3" t="s">
        <v>166</v>
      </c>
    </row>
    <row r="13" spans="1:21" x14ac:dyDescent="0.25">
      <c r="A13" s="3">
        <v>12</v>
      </c>
      <c r="B13" s="3" t="s">
        <v>421</v>
      </c>
      <c r="C13" t="s">
        <v>314</v>
      </c>
      <c r="D13" s="208">
        <v>46062</v>
      </c>
      <c r="E13" s="208" t="s">
        <v>252</v>
      </c>
      <c r="F13" s="3" t="s">
        <v>257</v>
      </c>
      <c r="G13" s="3" t="s">
        <v>252</v>
      </c>
      <c r="H13" s="3" t="s">
        <v>252</v>
      </c>
      <c r="I13" s="3" t="s">
        <v>42</v>
      </c>
      <c r="J13" s="3" t="s">
        <v>414</v>
      </c>
      <c r="K13" s="3" t="s">
        <v>422</v>
      </c>
      <c r="L13" s="3" t="s">
        <v>290</v>
      </c>
      <c r="M13" s="3" t="s">
        <v>295</v>
      </c>
      <c r="N13" s="3" t="s">
        <v>197</v>
      </c>
      <c r="O13" s="3"/>
      <c r="P13" s="3" t="s">
        <v>355</v>
      </c>
      <c r="Q13" s="3" t="s">
        <v>297</v>
      </c>
      <c r="R13" s="3"/>
      <c r="S13" s="208"/>
      <c r="T13" s="208"/>
      <c r="U13" s="3" t="s">
        <v>166</v>
      </c>
    </row>
    <row r="14" spans="1:21" x14ac:dyDescent="0.25">
      <c r="A14" s="3">
        <v>13</v>
      </c>
      <c r="B14" s="3" t="s">
        <v>356</v>
      </c>
      <c r="C14" t="s">
        <v>287</v>
      </c>
      <c r="D14" s="208">
        <v>46021</v>
      </c>
      <c r="E14" s="208">
        <v>46063</v>
      </c>
      <c r="F14" s="3" t="s">
        <v>257</v>
      </c>
      <c r="G14" s="3" t="s">
        <v>252</v>
      </c>
      <c r="H14" s="3" t="s">
        <v>252</v>
      </c>
      <c r="I14" s="3" t="s">
        <v>42</v>
      </c>
      <c r="J14" s="3" t="s">
        <v>289</v>
      </c>
      <c r="K14" s="3" t="s">
        <v>23</v>
      </c>
      <c r="L14" s="3" t="s">
        <v>312</v>
      </c>
      <c r="M14" s="3" t="s">
        <v>308</v>
      </c>
      <c r="N14" s="3" t="s">
        <v>95</v>
      </c>
      <c r="O14" s="3"/>
      <c r="P14" s="3" t="s">
        <v>357</v>
      </c>
      <c r="Q14" s="3" t="s">
        <v>292</v>
      </c>
      <c r="R14" s="3" t="s">
        <v>423</v>
      </c>
      <c r="S14" s="208">
        <v>46064</v>
      </c>
      <c r="T14" s="208">
        <v>46125</v>
      </c>
      <c r="U14" s="3" t="s">
        <v>166</v>
      </c>
    </row>
    <row r="15" spans="1:21" x14ac:dyDescent="0.25">
      <c r="A15" s="3">
        <v>14</v>
      </c>
      <c r="B15" s="3" t="s">
        <v>319</v>
      </c>
      <c r="C15" t="s">
        <v>287</v>
      </c>
      <c r="D15" s="208">
        <v>45804</v>
      </c>
      <c r="E15" s="208">
        <v>45770</v>
      </c>
      <c r="F15" s="3" t="s">
        <v>256</v>
      </c>
      <c r="G15" s="3" t="s">
        <v>320</v>
      </c>
      <c r="H15" s="3">
        <v>10792</v>
      </c>
      <c r="I15" s="3" t="s">
        <v>321</v>
      </c>
      <c r="J15" s="3" t="s">
        <v>307</v>
      </c>
      <c r="K15" s="3" t="s">
        <v>21</v>
      </c>
      <c r="L15" s="3" t="s">
        <v>294</v>
      </c>
      <c r="M15" s="3" t="s">
        <v>295</v>
      </c>
      <c r="N15" s="3" t="s">
        <v>117</v>
      </c>
      <c r="O15" s="3" t="s">
        <v>424</v>
      </c>
      <c r="P15" s="3" t="s">
        <v>296</v>
      </c>
      <c r="Q15" s="3" t="s">
        <v>297</v>
      </c>
      <c r="R15" s="3"/>
      <c r="S15" s="208"/>
      <c r="T15" s="208"/>
      <c r="U15" s="3" t="s">
        <v>302</v>
      </c>
    </row>
    <row r="16" spans="1:21" x14ac:dyDescent="0.25">
      <c r="A16" s="3">
        <v>15</v>
      </c>
      <c r="B16" s="3" t="s">
        <v>346</v>
      </c>
      <c r="C16" t="s">
        <v>287</v>
      </c>
      <c r="D16" s="208">
        <v>45995</v>
      </c>
      <c r="E16" s="208">
        <v>45996</v>
      </c>
      <c r="F16" s="3" t="s">
        <v>257</v>
      </c>
      <c r="G16" s="3" t="s">
        <v>252</v>
      </c>
      <c r="H16" s="3" t="s">
        <v>252</v>
      </c>
      <c r="I16" s="3" t="s">
        <v>361</v>
      </c>
      <c r="J16" s="3" t="s">
        <v>307</v>
      </c>
      <c r="K16" s="3" t="s">
        <v>21</v>
      </c>
      <c r="L16" s="3" t="s">
        <v>294</v>
      </c>
      <c r="M16" s="3" t="s">
        <v>308</v>
      </c>
      <c r="N16" s="3" t="s">
        <v>181</v>
      </c>
      <c r="O16" s="3" t="s">
        <v>424</v>
      </c>
      <c r="P16" s="3" t="s">
        <v>296</v>
      </c>
      <c r="Q16" s="3" t="s">
        <v>305</v>
      </c>
      <c r="R16" s="3" t="s">
        <v>425</v>
      </c>
      <c r="S16" s="208"/>
      <c r="T16" s="208"/>
      <c r="U16" s="3" t="s">
        <v>166</v>
      </c>
    </row>
    <row r="17" spans="1:21" x14ac:dyDescent="0.25">
      <c r="A17" s="3">
        <v>16</v>
      </c>
      <c r="B17" s="3" t="s">
        <v>383</v>
      </c>
      <c r="C17" t="s">
        <v>287</v>
      </c>
      <c r="D17" s="208">
        <v>45994</v>
      </c>
      <c r="E17" s="208">
        <v>45994</v>
      </c>
      <c r="F17" s="3" t="s">
        <v>257</v>
      </c>
      <c r="G17" s="3" t="s">
        <v>252</v>
      </c>
      <c r="H17" s="3" t="s">
        <v>252</v>
      </c>
      <c r="I17" s="3" t="s">
        <v>323</v>
      </c>
      <c r="J17" s="3" t="s">
        <v>384</v>
      </c>
      <c r="K17" s="3" t="s">
        <v>21</v>
      </c>
      <c r="L17" s="3" t="s">
        <v>294</v>
      </c>
      <c r="M17" s="3" t="s">
        <v>240</v>
      </c>
      <c r="N17" s="3" t="s">
        <v>137</v>
      </c>
      <c r="O17" s="3" t="s">
        <v>426</v>
      </c>
      <c r="P17" s="3" t="s">
        <v>296</v>
      </c>
      <c r="Q17" s="3" t="s">
        <v>297</v>
      </c>
      <c r="R17" s="3"/>
      <c r="S17" s="208"/>
      <c r="T17" s="208"/>
      <c r="U17" s="3" t="s">
        <v>166</v>
      </c>
    </row>
    <row r="18" spans="1:21" x14ac:dyDescent="0.25">
      <c r="A18" s="3">
        <v>17</v>
      </c>
      <c r="B18" s="3" t="s">
        <v>252</v>
      </c>
      <c r="C18" t="s">
        <v>298</v>
      </c>
      <c r="D18" s="208">
        <v>46035</v>
      </c>
      <c r="E18" s="208" t="s">
        <v>252</v>
      </c>
      <c r="F18" s="3" t="s">
        <v>257</v>
      </c>
      <c r="G18" s="3" t="s">
        <v>252</v>
      </c>
      <c r="H18" s="3" t="s">
        <v>252</v>
      </c>
      <c r="I18" s="3" t="s">
        <v>72</v>
      </c>
      <c r="J18" s="3" t="s">
        <v>307</v>
      </c>
      <c r="K18" s="3" t="s">
        <v>21</v>
      </c>
      <c r="L18" s="3" t="s">
        <v>294</v>
      </c>
      <c r="M18" s="3" t="s">
        <v>295</v>
      </c>
      <c r="N18" s="3" t="s">
        <v>71</v>
      </c>
      <c r="O18" s="3" t="s">
        <v>424</v>
      </c>
      <c r="P18" s="3" t="s">
        <v>296</v>
      </c>
      <c r="Q18" s="3" t="s">
        <v>297</v>
      </c>
      <c r="R18" s="3"/>
      <c r="S18" s="208"/>
      <c r="T18" s="208"/>
      <c r="U18" s="3" t="s">
        <v>166</v>
      </c>
    </row>
    <row r="19" spans="1:21" x14ac:dyDescent="0.25">
      <c r="A19" s="3">
        <v>18</v>
      </c>
      <c r="B19" s="3" t="s">
        <v>348</v>
      </c>
      <c r="C19" t="s">
        <v>287</v>
      </c>
      <c r="D19" s="208">
        <v>45986</v>
      </c>
      <c r="E19" s="208">
        <v>45988</v>
      </c>
      <c r="F19" s="3" t="s">
        <v>256</v>
      </c>
      <c r="G19" s="3" t="s">
        <v>349</v>
      </c>
      <c r="H19" s="3">
        <v>11210</v>
      </c>
      <c r="I19" s="3" t="s">
        <v>306</v>
      </c>
      <c r="J19" s="3" t="s">
        <v>307</v>
      </c>
      <c r="K19" s="3" t="s">
        <v>21</v>
      </c>
      <c r="L19" s="3" t="s">
        <v>294</v>
      </c>
      <c r="M19" s="3" t="s">
        <v>243</v>
      </c>
      <c r="N19" s="3" t="s">
        <v>95</v>
      </c>
      <c r="O19" s="3" t="s">
        <v>424</v>
      </c>
      <c r="P19" s="3" t="s">
        <v>296</v>
      </c>
      <c r="Q19" s="3" t="s">
        <v>297</v>
      </c>
      <c r="R19" s="3"/>
      <c r="S19" s="208"/>
      <c r="T19" s="208"/>
      <c r="U19" s="3" t="s">
        <v>302</v>
      </c>
    </row>
    <row r="20" spans="1:21" x14ac:dyDescent="0.25">
      <c r="A20" s="3">
        <v>19</v>
      </c>
      <c r="B20" s="3" t="s">
        <v>339</v>
      </c>
      <c r="C20" t="s">
        <v>287</v>
      </c>
      <c r="D20" s="208">
        <v>45976</v>
      </c>
      <c r="E20" s="208">
        <v>45979</v>
      </c>
      <c r="F20" s="3" t="s">
        <v>257</v>
      </c>
      <c r="G20" s="3" t="s">
        <v>252</v>
      </c>
      <c r="H20" s="3" t="s">
        <v>252</v>
      </c>
      <c r="I20" s="3" t="s">
        <v>288</v>
      </c>
      <c r="J20" s="3" t="s">
        <v>307</v>
      </c>
      <c r="K20" s="3" t="s">
        <v>21</v>
      </c>
      <c r="L20" s="3" t="s">
        <v>294</v>
      </c>
      <c r="M20" s="3" t="s">
        <v>295</v>
      </c>
      <c r="N20" s="3" t="s">
        <v>338</v>
      </c>
      <c r="O20" s="3" t="s">
        <v>75</v>
      </c>
      <c r="P20" s="3" t="s">
        <v>296</v>
      </c>
      <c r="Q20" s="3" t="s">
        <v>297</v>
      </c>
      <c r="R20" s="3"/>
      <c r="S20" s="208"/>
      <c r="T20" s="208"/>
      <c r="U20" s="3" t="s">
        <v>166</v>
      </c>
    </row>
    <row r="21" spans="1:21" x14ac:dyDescent="0.25">
      <c r="A21" s="3">
        <v>20</v>
      </c>
      <c r="B21" s="3" t="s">
        <v>364</v>
      </c>
      <c r="C21" t="s">
        <v>287</v>
      </c>
      <c r="D21" s="208">
        <v>45989</v>
      </c>
      <c r="E21" s="208">
        <v>45993</v>
      </c>
      <c r="F21" s="3" t="s">
        <v>256</v>
      </c>
      <c r="G21" s="3" t="s">
        <v>365</v>
      </c>
      <c r="H21" s="3">
        <v>11194</v>
      </c>
      <c r="I21" s="3" t="s">
        <v>306</v>
      </c>
      <c r="J21" s="3" t="s">
        <v>307</v>
      </c>
      <c r="K21" s="3" t="s">
        <v>21</v>
      </c>
      <c r="L21" s="3" t="s">
        <v>294</v>
      </c>
      <c r="M21" s="3" t="s">
        <v>295</v>
      </c>
      <c r="N21" s="3" t="s">
        <v>95</v>
      </c>
      <c r="O21" s="3" t="s">
        <v>424</v>
      </c>
      <c r="P21" s="3" t="s">
        <v>296</v>
      </c>
      <c r="Q21" s="3" t="s">
        <v>297</v>
      </c>
      <c r="R21" s="3"/>
      <c r="S21" s="208"/>
      <c r="T21" s="208"/>
      <c r="U21" s="3" t="s">
        <v>293</v>
      </c>
    </row>
    <row r="22" spans="1:21" x14ac:dyDescent="0.25">
      <c r="A22" s="3">
        <v>21</v>
      </c>
      <c r="B22" s="3" t="s">
        <v>366</v>
      </c>
      <c r="C22" t="s">
        <v>287</v>
      </c>
      <c r="D22" s="208">
        <v>45866</v>
      </c>
      <c r="E22" s="208">
        <v>45876</v>
      </c>
      <c r="F22" s="3" t="s">
        <v>257</v>
      </c>
      <c r="G22" s="3" t="s">
        <v>252</v>
      </c>
      <c r="H22" s="3" t="s">
        <v>252</v>
      </c>
      <c r="I22" s="3" t="s">
        <v>306</v>
      </c>
      <c r="J22" s="3" t="s">
        <v>307</v>
      </c>
      <c r="K22" s="3" t="s">
        <v>21</v>
      </c>
      <c r="L22" s="3" t="s">
        <v>294</v>
      </c>
      <c r="M22" s="3" t="s">
        <v>295</v>
      </c>
      <c r="N22" s="3" t="s">
        <v>95</v>
      </c>
      <c r="O22" s="3" t="s">
        <v>424</v>
      </c>
      <c r="P22" s="3" t="s">
        <v>296</v>
      </c>
      <c r="Q22" s="3" t="s">
        <v>297</v>
      </c>
      <c r="R22" s="3"/>
      <c r="S22" s="208"/>
      <c r="T22" s="208"/>
      <c r="U22" s="3" t="s">
        <v>166</v>
      </c>
    </row>
    <row r="23" spans="1:21" x14ac:dyDescent="0.25">
      <c r="A23" s="3">
        <v>22</v>
      </c>
      <c r="B23" s="3" t="s">
        <v>367</v>
      </c>
      <c r="C23" t="s">
        <v>314</v>
      </c>
      <c r="D23" s="208">
        <v>46028</v>
      </c>
      <c r="E23" s="208" t="s">
        <v>252</v>
      </c>
      <c r="F23" s="3" t="s">
        <v>256</v>
      </c>
      <c r="G23" s="3" t="s">
        <v>368</v>
      </c>
      <c r="H23" s="3">
        <v>25030</v>
      </c>
      <c r="I23" s="3" t="s">
        <v>306</v>
      </c>
      <c r="J23" s="3" t="s">
        <v>307</v>
      </c>
      <c r="K23" s="3" t="s">
        <v>21</v>
      </c>
      <c r="L23" s="3" t="s">
        <v>294</v>
      </c>
      <c r="M23" s="3" t="s">
        <v>295</v>
      </c>
      <c r="N23" s="3" t="s">
        <v>95</v>
      </c>
      <c r="O23" s="3" t="s">
        <v>424</v>
      </c>
      <c r="P23" s="3" t="s">
        <v>296</v>
      </c>
      <c r="Q23" s="3" t="s">
        <v>297</v>
      </c>
      <c r="R23" s="3"/>
      <c r="S23" s="208"/>
      <c r="T23" s="208"/>
      <c r="U23" s="3" t="s">
        <v>302</v>
      </c>
    </row>
    <row r="24" spans="1:21" x14ac:dyDescent="0.25">
      <c r="A24" s="3">
        <v>23</v>
      </c>
      <c r="B24" s="3" t="s">
        <v>369</v>
      </c>
      <c r="C24" t="s">
        <v>287</v>
      </c>
      <c r="D24" s="208">
        <v>46024</v>
      </c>
      <c r="E24" s="208">
        <v>46035</v>
      </c>
      <c r="F24" s="3" t="s">
        <v>256</v>
      </c>
      <c r="G24" s="3" t="s">
        <v>370</v>
      </c>
      <c r="H24" s="3">
        <v>11327</v>
      </c>
      <c r="I24" s="3" t="s">
        <v>288</v>
      </c>
      <c r="J24" s="3" t="s">
        <v>307</v>
      </c>
      <c r="K24" s="3" t="s">
        <v>21</v>
      </c>
      <c r="L24" s="3" t="s">
        <v>294</v>
      </c>
      <c r="M24" s="3" t="s">
        <v>295</v>
      </c>
      <c r="N24" s="3" t="s">
        <v>338</v>
      </c>
      <c r="O24" s="3" t="s">
        <v>75</v>
      </c>
      <c r="P24" s="3" t="s">
        <v>296</v>
      </c>
      <c r="Q24" s="3" t="s">
        <v>297</v>
      </c>
      <c r="R24" s="3"/>
      <c r="S24" s="208"/>
      <c r="T24" s="208"/>
      <c r="U24" s="3" t="s">
        <v>302</v>
      </c>
    </row>
    <row r="25" spans="1:21" x14ac:dyDescent="0.25">
      <c r="A25" s="3">
        <v>24</v>
      </c>
      <c r="B25" s="3" t="s">
        <v>427</v>
      </c>
      <c r="C25" t="s">
        <v>287</v>
      </c>
      <c r="D25" s="208">
        <v>46035</v>
      </c>
      <c r="E25" s="208">
        <v>46037</v>
      </c>
      <c r="F25" s="3" t="s">
        <v>257</v>
      </c>
      <c r="G25" s="3" t="s">
        <v>252</v>
      </c>
      <c r="H25" s="3" t="s">
        <v>252</v>
      </c>
      <c r="I25" s="3" t="s">
        <v>340</v>
      </c>
      <c r="J25" s="3" t="s">
        <v>307</v>
      </c>
      <c r="K25" s="3" t="s">
        <v>21</v>
      </c>
      <c r="L25" s="3" t="s">
        <v>294</v>
      </c>
      <c r="M25" s="3" t="s">
        <v>322</v>
      </c>
      <c r="N25" s="3" t="s">
        <v>117</v>
      </c>
      <c r="O25" s="3" t="s">
        <v>424</v>
      </c>
      <c r="P25" s="3" t="s">
        <v>296</v>
      </c>
      <c r="Q25" s="3" t="s">
        <v>297</v>
      </c>
      <c r="R25" s="3"/>
      <c r="S25" s="208"/>
      <c r="T25" s="208"/>
      <c r="U25" s="3" t="s">
        <v>166</v>
      </c>
    </row>
    <row r="26" spans="1:21" x14ac:dyDescent="0.25">
      <c r="A26" s="3">
        <v>25</v>
      </c>
      <c r="B26" s="3" t="s">
        <v>252</v>
      </c>
      <c r="C26" t="s">
        <v>298</v>
      </c>
      <c r="D26" s="208" t="s">
        <v>252</v>
      </c>
      <c r="E26" s="208" t="s">
        <v>252</v>
      </c>
      <c r="F26" s="3" t="s">
        <v>257</v>
      </c>
      <c r="G26" s="3" t="s">
        <v>252</v>
      </c>
      <c r="H26" s="3" t="s">
        <v>252</v>
      </c>
      <c r="I26" s="3" t="s">
        <v>340</v>
      </c>
      <c r="J26" s="3" t="s">
        <v>307</v>
      </c>
      <c r="K26" s="3" t="s">
        <v>21</v>
      </c>
      <c r="L26" s="3" t="s">
        <v>294</v>
      </c>
      <c r="M26" s="3" t="s">
        <v>322</v>
      </c>
      <c r="N26" s="3" t="s">
        <v>117</v>
      </c>
      <c r="O26" s="3" t="s">
        <v>424</v>
      </c>
      <c r="P26" s="3" t="s">
        <v>296</v>
      </c>
      <c r="Q26" s="3" t="s">
        <v>297</v>
      </c>
      <c r="R26" s="3"/>
      <c r="S26" s="208"/>
      <c r="T26" s="208"/>
      <c r="U26" s="3" t="s">
        <v>166</v>
      </c>
    </row>
    <row r="27" spans="1:21" x14ac:dyDescent="0.25">
      <c r="A27" s="3">
        <v>26</v>
      </c>
      <c r="B27" s="3" t="s">
        <v>371</v>
      </c>
      <c r="C27" t="s">
        <v>314</v>
      </c>
      <c r="D27" s="208">
        <v>46035</v>
      </c>
      <c r="E27" s="208" t="s">
        <v>252</v>
      </c>
      <c r="F27" s="3" t="s">
        <v>257</v>
      </c>
      <c r="G27" s="3" t="s">
        <v>252</v>
      </c>
      <c r="H27" s="3" t="s">
        <v>252</v>
      </c>
      <c r="I27" s="3" t="s">
        <v>72</v>
      </c>
      <c r="J27" s="3" t="s">
        <v>307</v>
      </c>
      <c r="K27" s="3" t="s">
        <v>21</v>
      </c>
      <c r="L27" s="3" t="s">
        <v>294</v>
      </c>
      <c r="M27" s="3" t="s">
        <v>295</v>
      </c>
      <c r="N27" s="3" t="s">
        <v>71</v>
      </c>
      <c r="O27" s="3" t="s">
        <v>424</v>
      </c>
      <c r="P27" s="3" t="s">
        <v>296</v>
      </c>
      <c r="Q27" s="3" t="s">
        <v>297</v>
      </c>
      <c r="R27" s="3"/>
      <c r="S27" s="208"/>
      <c r="T27" s="208"/>
      <c r="U27" s="3" t="s">
        <v>166</v>
      </c>
    </row>
    <row r="28" spans="1:21" x14ac:dyDescent="0.25">
      <c r="A28" s="3">
        <v>27</v>
      </c>
      <c r="B28" s="3" t="s">
        <v>428</v>
      </c>
      <c r="C28" t="s">
        <v>287</v>
      </c>
      <c r="D28" s="208">
        <v>46037</v>
      </c>
      <c r="E28" s="208">
        <v>46038</v>
      </c>
      <c r="F28" s="3" t="s">
        <v>256</v>
      </c>
      <c r="G28" s="3" t="s">
        <v>429</v>
      </c>
      <c r="H28" s="3">
        <v>11304</v>
      </c>
      <c r="I28" s="3" t="s">
        <v>362</v>
      </c>
      <c r="J28" s="3" t="s">
        <v>307</v>
      </c>
      <c r="K28" s="3" t="s">
        <v>21</v>
      </c>
      <c r="L28" s="3" t="s">
        <v>294</v>
      </c>
      <c r="M28" s="3" t="s">
        <v>295</v>
      </c>
      <c r="N28" s="3" t="s">
        <v>66</v>
      </c>
      <c r="O28" s="3" t="s">
        <v>424</v>
      </c>
      <c r="P28" s="3" t="s">
        <v>296</v>
      </c>
      <c r="Q28" s="3" t="s">
        <v>297</v>
      </c>
      <c r="R28" s="3"/>
      <c r="S28" s="208"/>
      <c r="T28" s="208"/>
      <c r="U28" s="3" t="s">
        <v>302</v>
      </c>
    </row>
    <row r="29" spans="1:21" x14ac:dyDescent="0.25">
      <c r="A29" s="3">
        <v>28</v>
      </c>
      <c r="B29" s="3" t="s">
        <v>252</v>
      </c>
      <c r="C29" t="s">
        <v>298</v>
      </c>
      <c r="D29" s="208" t="s">
        <v>252</v>
      </c>
      <c r="E29" s="208" t="s">
        <v>252</v>
      </c>
      <c r="F29" s="3" t="s">
        <v>257</v>
      </c>
      <c r="G29" s="3" t="s">
        <v>252</v>
      </c>
      <c r="H29" s="3" t="s">
        <v>252</v>
      </c>
      <c r="I29" s="3" t="s">
        <v>362</v>
      </c>
      <c r="J29" s="3" t="s">
        <v>307</v>
      </c>
      <c r="K29" s="3" t="s">
        <v>21</v>
      </c>
      <c r="L29" s="3" t="s">
        <v>294</v>
      </c>
      <c r="M29" s="3" t="s">
        <v>295</v>
      </c>
      <c r="N29" s="3" t="s">
        <v>66</v>
      </c>
      <c r="O29" s="3" t="s">
        <v>424</v>
      </c>
      <c r="P29" s="3" t="s">
        <v>296</v>
      </c>
      <c r="Q29" s="3" t="s">
        <v>297</v>
      </c>
      <c r="R29" s="3"/>
      <c r="S29" s="208"/>
      <c r="T29" s="208"/>
      <c r="U29" s="3" t="s">
        <v>166</v>
      </c>
    </row>
    <row r="30" spans="1:21" x14ac:dyDescent="0.25">
      <c r="A30" s="3">
        <v>29</v>
      </c>
      <c r="B30" s="3" t="s">
        <v>385</v>
      </c>
      <c r="C30" t="s">
        <v>287</v>
      </c>
      <c r="D30" s="208">
        <v>46035</v>
      </c>
      <c r="E30" s="208">
        <v>46037</v>
      </c>
      <c r="F30" s="3" t="s">
        <v>257</v>
      </c>
      <c r="G30" s="3" t="s">
        <v>252</v>
      </c>
      <c r="H30" s="3" t="s">
        <v>252</v>
      </c>
      <c r="I30" s="3" t="s">
        <v>386</v>
      </c>
      <c r="J30" s="3" t="s">
        <v>384</v>
      </c>
      <c r="K30" s="3" t="s">
        <v>21</v>
      </c>
      <c r="L30" s="3" t="s">
        <v>309</v>
      </c>
      <c r="M30" s="3" t="s">
        <v>387</v>
      </c>
      <c r="N30" s="3" t="s">
        <v>354</v>
      </c>
      <c r="O30" s="3" t="s">
        <v>424</v>
      </c>
      <c r="P30" s="3" t="s">
        <v>310</v>
      </c>
      <c r="Q30" s="3" t="s">
        <v>297</v>
      </c>
      <c r="R30" s="3"/>
      <c r="S30" s="208"/>
      <c r="T30" s="208"/>
      <c r="U30" s="3" t="s">
        <v>166</v>
      </c>
    </row>
    <row r="31" spans="1:21" x14ac:dyDescent="0.25">
      <c r="A31" s="3">
        <v>30</v>
      </c>
      <c r="B31" s="3" t="s">
        <v>388</v>
      </c>
      <c r="C31" t="s">
        <v>287</v>
      </c>
      <c r="D31" s="208">
        <v>46035</v>
      </c>
      <c r="E31" s="208">
        <v>46037</v>
      </c>
      <c r="F31" s="3" t="s">
        <v>257</v>
      </c>
      <c r="G31" s="3" t="s">
        <v>252</v>
      </c>
      <c r="H31" s="3" t="s">
        <v>252</v>
      </c>
      <c r="I31" s="3" t="s">
        <v>386</v>
      </c>
      <c r="J31" s="3" t="s">
        <v>384</v>
      </c>
      <c r="K31" s="3" t="s">
        <v>21</v>
      </c>
      <c r="L31" s="3" t="s">
        <v>309</v>
      </c>
      <c r="M31" s="3" t="s">
        <v>387</v>
      </c>
      <c r="N31" s="3" t="s">
        <v>354</v>
      </c>
      <c r="O31" s="3" t="s">
        <v>424</v>
      </c>
      <c r="P31" s="3" t="s">
        <v>310</v>
      </c>
      <c r="Q31" s="3" t="s">
        <v>297</v>
      </c>
      <c r="R31" s="3"/>
      <c r="S31" s="208"/>
      <c r="T31" s="208"/>
      <c r="U31" s="3" t="s">
        <v>166</v>
      </c>
    </row>
    <row r="32" spans="1:21" x14ac:dyDescent="0.25">
      <c r="A32" s="3">
        <v>31</v>
      </c>
      <c r="B32" s="3" t="s">
        <v>389</v>
      </c>
      <c r="C32" t="s">
        <v>287</v>
      </c>
      <c r="D32" s="208">
        <v>46036</v>
      </c>
      <c r="E32" s="208">
        <v>46037</v>
      </c>
      <c r="F32" s="3" t="s">
        <v>257</v>
      </c>
      <c r="G32" s="3" t="s">
        <v>252</v>
      </c>
      <c r="H32" s="3" t="s">
        <v>252</v>
      </c>
      <c r="I32" s="3" t="s">
        <v>386</v>
      </c>
      <c r="J32" s="3" t="s">
        <v>430</v>
      </c>
      <c r="K32" s="3" t="s">
        <v>21</v>
      </c>
      <c r="L32" s="3" t="s">
        <v>294</v>
      </c>
      <c r="M32" s="3" t="s">
        <v>363</v>
      </c>
      <c r="N32" s="3" t="s">
        <v>354</v>
      </c>
      <c r="O32" s="3" t="s">
        <v>424</v>
      </c>
      <c r="P32" s="3" t="s">
        <v>296</v>
      </c>
      <c r="Q32" s="3" t="s">
        <v>292</v>
      </c>
      <c r="R32" s="3" t="s">
        <v>431</v>
      </c>
      <c r="S32" s="208">
        <v>46065</v>
      </c>
      <c r="T32" s="208">
        <v>46083</v>
      </c>
      <c r="U32" s="3" t="s">
        <v>166</v>
      </c>
    </row>
    <row r="33" spans="1:21" x14ac:dyDescent="0.25">
      <c r="A33" s="3">
        <v>32</v>
      </c>
      <c r="B33" s="3" t="s">
        <v>390</v>
      </c>
      <c r="C33" t="s">
        <v>287</v>
      </c>
      <c r="D33" s="208">
        <v>46036</v>
      </c>
      <c r="E33" s="208">
        <v>46036</v>
      </c>
      <c r="F33" s="3" t="s">
        <v>257</v>
      </c>
      <c r="G33" s="3" t="s">
        <v>252</v>
      </c>
      <c r="H33" s="3" t="s">
        <v>252</v>
      </c>
      <c r="I33" s="3" t="s">
        <v>386</v>
      </c>
      <c r="J33" s="3" t="s">
        <v>384</v>
      </c>
      <c r="K33" s="3" t="s">
        <v>21</v>
      </c>
      <c r="L33" s="3" t="s">
        <v>294</v>
      </c>
      <c r="M33" s="3" t="s">
        <v>363</v>
      </c>
      <c r="N33" s="3" t="s">
        <v>354</v>
      </c>
      <c r="O33" s="3" t="s">
        <v>424</v>
      </c>
      <c r="P33" s="3" t="s">
        <v>296</v>
      </c>
      <c r="Q33" s="3" t="s">
        <v>297</v>
      </c>
      <c r="R33" s="3"/>
      <c r="S33" s="208"/>
      <c r="T33" s="208"/>
      <c r="U33" s="3" t="s">
        <v>166</v>
      </c>
    </row>
    <row r="34" spans="1:21" x14ac:dyDescent="0.25">
      <c r="A34" s="3">
        <v>33</v>
      </c>
      <c r="B34" s="3" t="s">
        <v>391</v>
      </c>
      <c r="C34" t="s">
        <v>287</v>
      </c>
      <c r="D34" s="208">
        <v>46036</v>
      </c>
      <c r="E34" s="208">
        <v>46036</v>
      </c>
      <c r="F34" s="3" t="s">
        <v>257</v>
      </c>
      <c r="G34" s="3" t="s">
        <v>252</v>
      </c>
      <c r="H34" s="3" t="s">
        <v>252</v>
      </c>
      <c r="I34" s="3" t="s">
        <v>386</v>
      </c>
      <c r="J34" s="3" t="s">
        <v>384</v>
      </c>
      <c r="K34" s="3" t="s">
        <v>21</v>
      </c>
      <c r="L34" s="3" t="s">
        <v>294</v>
      </c>
      <c r="M34" s="3" t="s">
        <v>392</v>
      </c>
      <c r="N34" s="3" t="s">
        <v>354</v>
      </c>
      <c r="O34" s="3" t="s">
        <v>424</v>
      </c>
      <c r="P34" s="3" t="s">
        <v>296</v>
      </c>
      <c r="Q34" s="3" t="s">
        <v>297</v>
      </c>
      <c r="R34" s="3"/>
      <c r="S34" s="208"/>
      <c r="T34" s="208"/>
      <c r="U34" s="3" t="s">
        <v>166</v>
      </c>
    </row>
    <row r="35" spans="1:21" x14ac:dyDescent="0.25">
      <c r="A35" s="3">
        <v>34</v>
      </c>
      <c r="B35" s="3" t="s">
        <v>393</v>
      </c>
      <c r="C35" t="s">
        <v>287</v>
      </c>
      <c r="D35" s="208">
        <v>46036</v>
      </c>
      <c r="E35" s="208">
        <v>46036</v>
      </c>
      <c r="F35" s="3" t="s">
        <v>257</v>
      </c>
      <c r="G35" s="3" t="s">
        <v>252</v>
      </c>
      <c r="H35" s="3" t="s">
        <v>252</v>
      </c>
      <c r="I35" s="3" t="s">
        <v>386</v>
      </c>
      <c r="J35" s="3" t="s">
        <v>384</v>
      </c>
      <c r="K35" s="3" t="s">
        <v>21</v>
      </c>
      <c r="L35" s="3" t="s">
        <v>294</v>
      </c>
      <c r="M35" s="3" t="s">
        <v>392</v>
      </c>
      <c r="N35" s="3" t="s">
        <v>354</v>
      </c>
      <c r="O35" s="3" t="s">
        <v>424</v>
      </c>
      <c r="P35" s="3" t="s">
        <v>296</v>
      </c>
      <c r="Q35" s="3" t="s">
        <v>297</v>
      </c>
      <c r="R35" s="3"/>
      <c r="S35" s="208"/>
      <c r="T35" s="208"/>
      <c r="U35" s="3" t="s">
        <v>166</v>
      </c>
    </row>
    <row r="36" spans="1:21" x14ac:dyDescent="0.25">
      <c r="A36" s="3">
        <v>35</v>
      </c>
      <c r="B36" s="3" t="s">
        <v>394</v>
      </c>
      <c r="C36" t="s">
        <v>287</v>
      </c>
      <c r="D36" s="208">
        <v>46036</v>
      </c>
      <c r="E36" s="208">
        <v>46036</v>
      </c>
      <c r="F36" s="3" t="s">
        <v>257</v>
      </c>
      <c r="G36" s="3" t="s">
        <v>252</v>
      </c>
      <c r="H36" s="3" t="s">
        <v>252</v>
      </c>
      <c r="I36" s="3" t="s">
        <v>386</v>
      </c>
      <c r="J36" s="3" t="s">
        <v>384</v>
      </c>
      <c r="K36" s="3" t="s">
        <v>21</v>
      </c>
      <c r="L36" s="3" t="s">
        <v>294</v>
      </c>
      <c r="M36" s="3" t="s">
        <v>295</v>
      </c>
      <c r="N36" s="3" t="s">
        <v>354</v>
      </c>
      <c r="O36" s="3" t="s">
        <v>424</v>
      </c>
      <c r="P36" s="3" t="s">
        <v>296</v>
      </c>
      <c r="Q36" s="3" t="s">
        <v>297</v>
      </c>
      <c r="R36" s="3"/>
      <c r="S36" s="208"/>
      <c r="T36" s="208"/>
      <c r="U36" s="3" t="s">
        <v>166</v>
      </c>
    </row>
    <row r="37" spans="1:21" x14ac:dyDescent="0.25">
      <c r="A37" s="3">
        <v>36</v>
      </c>
      <c r="B37" s="3" t="s">
        <v>395</v>
      </c>
      <c r="C37" t="s">
        <v>287</v>
      </c>
      <c r="D37" s="208">
        <v>46036</v>
      </c>
      <c r="E37" s="208">
        <v>46036</v>
      </c>
      <c r="F37" s="3" t="s">
        <v>257</v>
      </c>
      <c r="G37" s="3" t="s">
        <v>252</v>
      </c>
      <c r="H37" s="3" t="s">
        <v>252</v>
      </c>
      <c r="I37" s="3" t="s">
        <v>386</v>
      </c>
      <c r="J37" s="3" t="s">
        <v>384</v>
      </c>
      <c r="K37" s="3" t="s">
        <v>21</v>
      </c>
      <c r="L37" s="3" t="s">
        <v>294</v>
      </c>
      <c r="M37" s="3" t="s">
        <v>295</v>
      </c>
      <c r="N37" s="3" t="s">
        <v>354</v>
      </c>
      <c r="O37" s="3" t="s">
        <v>424</v>
      </c>
      <c r="P37" s="3" t="s">
        <v>296</v>
      </c>
      <c r="Q37" s="3" t="s">
        <v>297</v>
      </c>
      <c r="R37" s="3"/>
      <c r="S37" s="208"/>
      <c r="T37" s="208"/>
      <c r="U37" s="3" t="s">
        <v>166</v>
      </c>
    </row>
    <row r="38" spans="1:21" x14ac:dyDescent="0.25">
      <c r="A38" s="3">
        <v>37</v>
      </c>
      <c r="B38" s="3" t="s">
        <v>396</v>
      </c>
      <c r="C38" t="s">
        <v>287</v>
      </c>
      <c r="D38" s="208">
        <v>46036</v>
      </c>
      <c r="E38" s="208">
        <v>46036</v>
      </c>
      <c r="F38" s="3" t="s">
        <v>257</v>
      </c>
      <c r="G38" s="3" t="s">
        <v>252</v>
      </c>
      <c r="H38" s="3" t="s">
        <v>252</v>
      </c>
      <c r="I38" s="3" t="s">
        <v>386</v>
      </c>
      <c r="J38" s="3" t="s">
        <v>384</v>
      </c>
      <c r="K38" s="3" t="s">
        <v>21</v>
      </c>
      <c r="L38" s="3" t="s">
        <v>294</v>
      </c>
      <c r="M38" s="3" t="s">
        <v>295</v>
      </c>
      <c r="N38" s="3" t="s">
        <v>354</v>
      </c>
      <c r="O38" s="3" t="s">
        <v>424</v>
      </c>
      <c r="P38" s="3" t="s">
        <v>296</v>
      </c>
      <c r="Q38" s="3" t="s">
        <v>297</v>
      </c>
      <c r="R38" s="3"/>
      <c r="S38" s="208"/>
      <c r="T38" s="208"/>
      <c r="U38" s="3" t="s">
        <v>166</v>
      </c>
    </row>
    <row r="39" spans="1:21" x14ac:dyDescent="0.25">
      <c r="A39" s="3">
        <v>38</v>
      </c>
      <c r="B39" s="3" t="s">
        <v>397</v>
      </c>
      <c r="C39" t="s">
        <v>287</v>
      </c>
      <c r="D39" s="208">
        <v>46036</v>
      </c>
      <c r="E39" s="208">
        <v>46036</v>
      </c>
      <c r="F39" s="3" t="s">
        <v>257</v>
      </c>
      <c r="G39" s="3" t="s">
        <v>252</v>
      </c>
      <c r="H39" s="3" t="s">
        <v>252</v>
      </c>
      <c r="I39" s="3" t="s">
        <v>386</v>
      </c>
      <c r="J39" s="3" t="s">
        <v>384</v>
      </c>
      <c r="K39" s="3" t="s">
        <v>21</v>
      </c>
      <c r="L39" s="3" t="s">
        <v>294</v>
      </c>
      <c r="M39" s="3" t="s">
        <v>311</v>
      </c>
      <c r="N39" s="3" t="s">
        <v>354</v>
      </c>
      <c r="O39" s="3" t="s">
        <v>424</v>
      </c>
      <c r="P39" s="3" t="s">
        <v>296</v>
      </c>
      <c r="Q39" s="3" t="s">
        <v>292</v>
      </c>
      <c r="R39" s="3" t="s">
        <v>432</v>
      </c>
      <c r="S39" s="208">
        <v>46060</v>
      </c>
      <c r="T39" s="208">
        <v>46076</v>
      </c>
      <c r="U39" s="3" t="s">
        <v>166</v>
      </c>
    </row>
    <row r="40" spans="1:21" x14ac:dyDescent="0.25">
      <c r="A40" s="3">
        <v>39</v>
      </c>
      <c r="B40" s="3" t="s">
        <v>398</v>
      </c>
      <c r="C40" t="s">
        <v>287</v>
      </c>
      <c r="D40" s="208">
        <v>46036</v>
      </c>
      <c r="E40" s="208">
        <v>46036</v>
      </c>
      <c r="F40" s="3" t="s">
        <v>257</v>
      </c>
      <c r="G40" s="3" t="s">
        <v>252</v>
      </c>
      <c r="H40" s="3" t="s">
        <v>252</v>
      </c>
      <c r="I40" s="3" t="s">
        <v>386</v>
      </c>
      <c r="J40" s="3" t="s">
        <v>384</v>
      </c>
      <c r="K40" s="3" t="s">
        <v>21</v>
      </c>
      <c r="L40" s="3" t="s">
        <v>294</v>
      </c>
      <c r="M40" s="3" t="s">
        <v>311</v>
      </c>
      <c r="N40" s="3" t="s">
        <v>354</v>
      </c>
      <c r="O40" s="3" t="s">
        <v>424</v>
      </c>
      <c r="P40" s="3" t="s">
        <v>296</v>
      </c>
      <c r="Q40" s="3" t="s">
        <v>292</v>
      </c>
      <c r="R40" s="3" t="s">
        <v>433</v>
      </c>
      <c r="S40" s="208">
        <v>46060</v>
      </c>
      <c r="T40" s="208">
        <v>46076</v>
      </c>
      <c r="U40" s="3" t="s">
        <v>166</v>
      </c>
    </row>
    <row r="41" spans="1:21" x14ac:dyDescent="0.25">
      <c r="A41" s="3">
        <v>40</v>
      </c>
      <c r="B41" s="3" t="s">
        <v>399</v>
      </c>
      <c r="C41" t="s">
        <v>287</v>
      </c>
      <c r="D41" s="208">
        <v>46036</v>
      </c>
      <c r="E41" s="208">
        <v>46036</v>
      </c>
      <c r="F41" s="3" t="s">
        <v>257</v>
      </c>
      <c r="G41" s="3" t="s">
        <v>252</v>
      </c>
      <c r="H41" s="3" t="s">
        <v>252</v>
      </c>
      <c r="I41" s="3" t="s">
        <v>386</v>
      </c>
      <c r="J41" s="3" t="s">
        <v>384</v>
      </c>
      <c r="K41" s="3" t="s">
        <v>21</v>
      </c>
      <c r="L41" s="3" t="s">
        <v>294</v>
      </c>
      <c r="M41" s="3" t="s">
        <v>311</v>
      </c>
      <c r="N41" s="3" t="s">
        <v>354</v>
      </c>
      <c r="O41" s="3" t="s">
        <v>424</v>
      </c>
      <c r="P41" s="3" t="s">
        <v>296</v>
      </c>
      <c r="Q41" s="3" t="s">
        <v>297</v>
      </c>
      <c r="R41" s="3"/>
      <c r="S41" s="208"/>
      <c r="T41" s="208"/>
      <c r="U41" s="3" t="s">
        <v>166</v>
      </c>
    </row>
    <row r="42" spans="1:21" x14ac:dyDescent="0.25">
      <c r="A42" s="3">
        <v>41</v>
      </c>
      <c r="B42" s="3" t="s">
        <v>400</v>
      </c>
      <c r="C42" t="s">
        <v>287</v>
      </c>
      <c r="D42" s="208">
        <v>46037</v>
      </c>
      <c r="E42" s="208">
        <v>46037</v>
      </c>
      <c r="F42" s="3" t="s">
        <v>257</v>
      </c>
      <c r="G42" s="3" t="s">
        <v>252</v>
      </c>
      <c r="H42" s="3" t="s">
        <v>252</v>
      </c>
      <c r="I42" s="3" t="s">
        <v>386</v>
      </c>
      <c r="J42" s="3" t="s">
        <v>430</v>
      </c>
      <c r="K42" s="3" t="s">
        <v>21</v>
      </c>
      <c r="L42" s="3" t="s">
        <v>303</v>
      </c>
      <c r="M42" s="3" t="s">
        <v>387</v>
      </c>
      <c r="N42" s="3" t="s">
        <v>354</v>
      </c>
      <c r="O42" s="3" t="s">
        <v>424</v>
      </c>
      <c r="P42" s="3" t="s">
        <v>304</v>
      </c>
      <c r="Q42" s="3" t="s">
        <v>292</v>
      </c>
      <c r="R42" s="3" t="s">
        <v>434</v>
      </c>
      <c r="S42" s="208">
        <v>46058</v>
      </c>
      <c r="T42" s="208">
        <v>46076</v>
      </c>
      <c r="U42" s="3" t="s">
        <v>166</v>
      </c>
    </row>
    <row r="43" spans="1:21" x14ac:dyDescent="0.25">
      <c r="A43" s="3">
        <v>42</v>
      </c>
      <c r="B43" s="3" t="s">
        <v>401</v>
      </c>
      <c r="C43" t="s">
        <v>287</v>
      </c>
      <c r="D43" s="208">
        <v>46037</v>
      </c>
      <c r="E43" s="208">
        <v>46037</v>
      </c>
      <c r="F43" s="3" t="s">
        <v>257</v>
      </c>
      <c r="G43" s="3" t="s">
        <v>252</v>
      </c>
      <c r="H43" s="3" t="s">
        <v>252</v>
      </c>
      <c r="I43" s="3" t="s">
        <v>386</v>
      </c>
      <c r="J43" s="3" t="s">
        <v>384</v>
      </c>
      <c r="K43" s="3" t="s">
        <v>21</v>
      </c>
      <c r="L43" s="3" t="s">
        <v>303</v>
      </c>
      <c r="M43" s="3" t="s">
        <v>387</v>
      </c>
      <c r="N43" s="3" t="s">
        <v>354</v>
      </c>
      <c r="O43" s="3" t="s">
        <v>424</v>
      </c>
      <c r="P43" s="3" t="s">
        <v>304</v>
      </c>
      <c r="Q43" s="3" t="s">
        <v>297</v>
      </c>
      <c r="R43" s="3"/>
      <c r="S43" s="208"/>
      <c r="T43" s="208"/>
      <c r="U43" s="3" t="s">
        <v>166</v>
      </c>
    </row>
    <row r="44" spans="1:21" x14ac:dyDescent="0.25">
      <c r="A44" s="3">
        <v>43</v>
      </c>
      <c r="B44" s="3" t="s">
        <v>402</v>
      </c>
      <c r="C44" t="s">
        <v>287</v>
      </c>
      <c r="D44" s="208">
        <v>46037</v>
      </c>
      <c r="E44" s="208">
        <v>46037</v>
      </c>
      <c r="F44" s="3" t="s">
        <v>257</v>
      </c>
      <c r="G44" s="3" t="s">
        <v>252</v>
      </c>
      <c r="H44" s="3" t="s">
        <v>252</v>
      </c>
      <c r="I44" s="3" t="s">
        <v>386</v>
      </c>
      <c r="J44" s="3" t="s">
        <v>384</v>
      </c>
      <c r="K44" s="3" t="s">
        <v>21</v>
      </c>
      <c r="L44" s="3" t="s">
        <v>303</v>
      </c>
      <c r="M44" s="3" t="s">
        <v>392</v>
      </c>
      <c r="N44" s="3" t="s">
        <v>354</v>
      </c>
      <c r="O44" s="3" t="s">
        <v>424</v>
      </c>
      <c r="P44" s="3" t="s">
        <v>304</v>
      </c>
      <c r="Q44" s="3" t="s">
        <v>297</v>
      </c>
      <c r="R44" s="3"/>
      <c r="S44" s="208"/>
      <c r="T44" s="208"/>
      <c r="U44" s="3" t="s">
        <v>166</v>
      </c>
    </row>
    <row r="45" spans="1:21" x14ac:dyDescent="0.25">
      <c r="A45" s="3">
        <v>44</v>
      </c>
      <c r="B45" s="3" t="s">
        <v>403</v>
      </c>
      <c r="C45" t="s">
        <v>287</v>
      </c>
      <c r="D45" s="208">
        <v>46037</v>
      </c>
      <c r="E45" s="208">
        <v>46037</v>
      </c>
      <c r="F45" s="3" t="s">
        <v>257</v>
      </c>
      <c r="G45" s="3" t="s">
        <v>252</v>
      </c>
      <c r="H45" s="3" t="s">
        <v>252</v>
      </c>
      <c r="I45" s="3" t="s">
        <v>386</v>
      </c>
      <c r="J45" s="3" t="s">
        <v>384</v>
      </c>
      <c r="K45" s="3" t="s">
        <v>21</v>
      </c>
      <c r="L45" s="3" t="s">
        <v>303</v>
      </c>
      <c r="M45" s="3" t="s">
        <v>392</v>
      </c>
      <c r="N45" s="3" t="s">
        <v>354</v>
      </c>
      <c r="O45" s="3" t="s">
        <v>424</v>
      </c>
      <c r="P45" s="3" t="s">
        <v>304</v>
      </c>
      <c r="Q45" s="3" t="s">
        <v>297</v>
      </c>
      <c r="R45" s="3"/>
      <c r="S45" s="208"/>
      <c r="T45" s="208"/>
      <c r="U45" s="3" t="s">
        <v>166</v>
      </c>
    </row>
    <row r="46" spans="1:21" x14ac:dyDescent="0.25">
      <c r="A46" s="3">
        <v>45</v>
      </c>
      <c r="B46" s="3" t="s">
        <v>404</v>
      </c>
      <c r="C46" t="s">
        <v>287</v>
      </c>
      <c r="D46" s="208">
        <v>46037</v>
      </c>
      <c r="E46" s="208">
        <v>46037</v>
      </c>
      <c r="F46" s="3" t="s">
        <v>257</v>
      </c>
      <c r="G46" s="3" t="s">
        <v>252</v>
      </c>
      <c r="H46" s="3" t="s">
        <v>252</v>
      </c>
      <c r="I46" s="3" t="s">
        <v>386</v>
      </c>
      <c r="J46" s="3" t="s">
        <v>430</v>
      </c>
      <c r="K46" s="3" t="s">
        <v>21</v>
      </c>
      <c r="L46" s="3" t="s">
        <v>303</v>
      </c>
      <c r="M46" s="3" t="s">
        <v>295</v>
      </c>
      <c r="N46" s="3" t="s">
        <v>354</v>
      </c>
      <c r="O46" s="3" t="s">
        <v>424</v>
      </c>
      <c r="P46" s="3" t="s">
        <v>304</v>
      </c>
      <c r="Q46" s="3" t="s">
        <v>292</v>
      </c>
      <c r="R46" s="3" t="s">
        <v>435</v>
      </c>
      <c r="S46" s="208">
        <v>46059</v>
      </c>
      <c r="T46" s="208">
        <v>46076</v>
      </c>
      <c r="U46" s="3" t="s">
        <v>166</v>
      </c>
    </row>
    <row r="47" spans="1:21" x14ac:dyDescent="0.25">
      <c r="A47" s="3">
        <v>46</v>
      </c>
      <c r="B47" s="3" t="s">
        <v>405</v>
      </c>
      <c r="C47" t="s">
        <v>287</v>
      </c>
      <c r="D47" s="208">
        <v>46037</v>
      </c>
      <c r="E47" s="208">
        <v>46037</v>
      </c>
      <c r="F47" s="3" t="s">
        <v>257</v>
      </c>
      <c r="G47" s="3" t="s">
        <v>252</v>
      </c>
      <c r="H47" s="3" t="s">
        <v>252</v>
      </c>
      <c r="I47" s="3" t="s">
        <v>386</v>
      </c>
      <c r="J47" s="3" t="s">
        <v>436</v>
      </c>
      <c r="K47" s="3" t="s">
        <v>21</v>
      </c>
      <c r="L47" s="3" t="s">
        <v>303</v>
      </c>
      <c r="M47" s="3" t="s">
        <v>295</v>
      </c>
      <c r="N47" s="3" t="s">
        <v>354</v>
      </c>
      <c r="O47" s="3" t="s">
        <v>424</v>
      </c>
      <c r="P47" s="3" t="s">
        <v>304</v>
      </c>
      <c r="Q47" s="3" t="s">
        <v>292</v>
      </c>
      <c r="R47" s="3" t="s">
        <v>437</v>
      </c>
      <c r="S47" s="208">
        <v>46064</v>
      </c>
      <c r="T47" s="208">
        <v>46076</v>
      </c>
      <c r="U47" s="3" t="s">
        <v>166</v>
      </c>
    </row>
    <row r="48" spans="1:21" x14ac:dyDescent="0.25">
      <c r="A48" s="3">
        <v>47</v>
      </c>
      <c r="B48" s="3" t="s">
        <v>406</v>
      </c>
      <c r="C48" t="s">
        <v>287</v>
      </c>
      <c r="D48" s="208">
        <v>46037</v>
      </c>
      <c r="E48" s="208">
        <v>46037</v>
      </c>
      <c r="F48" s="3" t="s">
        <v>257</v>
      </c>
      <c r="G48" s="3" t="s">
        <v>252</v>
      </c>
      <c r="H48" s="3" t="s">
        <v>252</v>
      </c>
      <c r="I48" s="3" t="s">
        <v>386</v>
      </c>
      <c r="J48" s="3" t="s">
        <v>384</v>
      </c>
      <c r="K48" s="3" t="s">
        <v>21</v>
      </c>
      <c r="L48" s="3" t="s">
        <v>303</v>
      </c>
      <c r="M48" s="3" t="s">
        <v>311</v>
      </c>
      <c r="N48" s="3" t="s">
        <v>354</v>
      </c>
      <c r="O48" s="3" t="s">
        <v>424</v>
      </c>
      <c r="P48" s="3" t="s">
        <v>304</v>
      </c>
      <c r="Q48" s="3" t="s">
        <v>297</v>
      </c>
      <c r="R48" s="3"/>
      <c r="S48" s="208"/>
      <c r="T48" s="208"/>
      <c r="U48" s="3" t="s">
        <v>166</v>
      </c>
    </row>
    <row r="49" spans="1:21" x14ac:dyDescent="0.25">
      <c r="A49" s="3">
        <v>48</v>
      </c>
      <c r="B49" s="3" t="s">
        <v>252</v>
      </c>
      <c r="C49" t="s">
        <v>298</v>
      </c>
      <c r="D49" s="208" t="s">
        <v>252</v>
      </c>
      <c r="E49" s="208" t="s">
        <v>252</v>
      </c>
      <c r="F49" s="3" t="s">
        <v>257</v>
      </c>
      <c r="G49" s="3" t="s">
        <v>252</v>
      </c>
      <c r="H49" s="3" t="s">
        <v>252</v>
      </c>
      <c r="I49" s="3" t="s">
        <v>362</v>
      </c>
      <c r="J49" s="3" t="s">
        <v>307</v>
      </c>
      <c r="K49" s="3" t="s">
        <v>21</v>
      </c>
      <c r="L49" s="3" t="s">
        <v>294</v>
      </c>
      <c r="M49" s="3" t="s">
        <v>295</v>
      </c>
      <c r="N49" s="3" t="s">
        <v>66</v>
      </c>
      <c r="O49" s="3" t="s">
        <v>424</v>
      </c>
      <c r="P49" s="3" t="s">
        <v>296</v>
      </c>
      <c r="Q49" s="3" t="s">
        <v>305</v>
      </c>
      <c r="R49" s="3" t="s">
        <v>438</v>
      </c>
      <c r="S49" s="208"/>
      <c r="T49" s="208">
        <v>46076</v>
      </c>
      <c r="U49" s="3" t="s">
        <v>166</v>
      </c>
    </row>
    <row r="50" spans="1:21" x14ac:dyDescent="0.25">
      <c r="A50" s="3">
        <v>49</v>
      </c>
      <c r="B50" s="3" t="s">
        <v>252</v>
      </c>
      <c r="C50" t="s">
        <v>298</v>
      </c>
      <c r="D50" s="208" t="s">
        <v>252</v>
      </c>
      <c r="E50" s="208" t="s">
        <v>252</v>
      </c>
      <c r="F50" s="3" t="s">
        <v>257</v>
      </c>
      <c r="G50" s="3" t="s">
        <v>252</v>
      </c>
      <c r="H50" s="3" t="s">
        <v>252</v>
      </c>
      <c r="I50" s="3" t="s">
        <v>49</v>
      </c>
      <c r="J50" s="3" t="s">
        <v>307</v>
      </c>
      <c r="K50" s="3" t="s">
        <v>21</v>
      </c>
      <c r="L50" s="3" t="s">
        <v>294</v>
      </c>
      <c r="M50" s="3" t="s">
        <v>243</v>
      </c>
      <c r="N50" s="3" t="s">
        <v>144</v>
      </c>
      <c r="O50" s="3" t="s">
        <v>424</v>
      </c>
      <c r="P50" s="3" t="s">
        <v>296</v>
      </c>
      <c r="Q50" s="3" t="s">
        <v>297</v>
      </c>
      <c r="R50" s="3"/>
      <c r="S50" s="208"/>
      <c r="T50" s="208"/>
      <c r="U50" s="3" t="s">
        <v>166</v>
      </c>
    </row>
    <row r="51" spans="1:21" x14ac:dyDescent="0.25">
      <c r="A51" s="3">
        <v>50</v>
      </c>
      <c r="B51" s="3" t="s">
        <v>439</v>
      </c>
      <c r="C51" t="s">
        <v>287</v>
      </c>
      <c r="D51" s="208">
        <v>46039</v>
      </c>
      <c r="E51" s="208">
        <v>46041</v>
      </c>
      <c r="F51" s="3" t="s">
        <v>257</v>
      </c>
      <c r="G51" s="3" t="s">
        <v>252</v>
      </c>
      <c r="H51" s="3" t="s">
        <v>252</v>
      </c>
      <c r="I51" s="3" t="s">
        <v>72</v>
      </c>
      <c r="J51" s="3" t="s">
        <v>307</v>
      </c>
      <c r="K51" s="3" t="s">
        <v>21</v>
      </c>
      <c r="L51" s="3" t="s">
        <v>309</v>
      </c>
      <c r="M51" s="3" t="s">
        <v>295</v>
      </c>
      <c r="N51" s="3" t="s">
        <v>157</v>
      </c>
      <c r="O51" s="3" t="s">
        <v>424</v>
      </c>
      <c r="P51" s="3" t="s">
        <v>296</v>
      </c>
      <c r="Q51" s="3" t="s">
        <v>297</v>
      </c>
      <c r="R51" s="3"/>
      <c r="S51" s="208"/>
      <c r="T51" s="208"/>
      <c r="U51" s="3" t="s">
        <v>166</v>
      </c>
    </row>
    <row r="52" spans="1:21" x14ac:dyDescent="0.25">
      <c r="A52" s="3">
        <v>51</v>
      </c>
      <c r="B52" s="3" t="s">
        <v>440</v>
      </c>
      <c r="C52" t="s">
        <v>287</v>
      </c>
      <c r="D52" s="208">
        <v>46034</v>
      </c>
      <c r="E52" s="208">
        <v>46037</v>
      </c>
      <c r="F52" s="3" t="s">
        <v>257</v>
      </c>
      <c r="G52" s="3" t="s">
        <v>252</v>
      </c>
      <c r="H52" s="3" t="s">
        <v>252</v>
      </c>
      <c r="I52" s="3" t="s">
        <v>386</v>
      </c>
      <c r="J52" s="3" t="s">
        <v>384</v>
      </c>
      <c r="K52" s="3" t="s">
        <v>21</v>
      </c>
      <c r="L52" s="3" t="s">
        <v>294</v>
      </c>
      <c r="M52" s="3" t="s">
        <v>311</v>
      </c>
      <c r="N52" s="3" t="s">
        <v>441</v>
      </c>
      <c r="O52" s="3" t="s">
        <v>424</v>
      </c>
      <c r="P52" s="3" t="s">
        <v>296</v>
      </c>
      <c r="Q52" s="3" t="s">
        <v>297</v>
      </c>
      <c r="R52" s="3"/>
      <c r="S52" s="208"/>
      <c r="T52" s="208"/>
      <c r="U52" s="3" t="s">
        <v>166</v>
      </c>
    </row>
    <row r="53" spans="1:21" x14ac:dyDescent="0.25">
      <c r="A53" s="3">
        <v>52</v>
      </c>
      <c r="B53" s="3" t="s">
        <v>442</v>
      </c>
      <c r="C53" t="s">
        <v>287</v>
      </c>
      <c r="D53" s="208">
        <v>46063</v>
      </c>
      <c r="E53" s="208">
        <v>46064</v>
      </c>
      <c r="F53" s="3" t="s">
        <v>256</v>
      </c>
      <c r="G53" s="3" t="s">
        <v>443</v>
      </c>
      <c r="H53" s="3">
        <v>11377</v>
      </c>
      <c r="I53" s="3" t="s">
        <v>444</v>
      </c>
      <c r="J53" s="3" t="s">
        <v>436</v>
      </c>
      <c r="K53" s="3" t="s">
        <v>21</v>
      </c>
      <c r="L53" s="3" t="s">
        <v>294</v>
      </c>
      <c r="M53" s="3" t="s">
        <v>295</v>
      </c>
      <c r="N53" s="3" t="s">
        <v>343</v>
      </c>
      <c r="O53" s="3" t="s">
        <v>424</v>
      </c>
      <c r="P53" s="3" t="s">
        <v>296</v>
      </c>
      <c r="Q53" s="3" t="s">
        <v>292</v>
      </c>
      <c r="R53" s="3" t="s">
        <v>445</v>
      </c>
      <c r="S53" s="208">
        <v>46065</v>
      </c>
      <c r="T53" s="208">
        <v>46083</v>
      </c>
      <c r="U53" s="3" t="s">
        <v>302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A6D2-1BE7-4AEF-A1D6-374276F07344}">
  <sheetPr codeName="Sheet3">
    <tabColor rgb="FFFFFF00"/>
  </sheetPr>
  <dimension ref="B1:V65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4" sqref="L4"/>
    </sheetView>
  </sheetViews>
  <sheetFormatPr defaultColWidth="8.85546875" defaultRowHeight="15" x14ac:dyDescent="0.25"/>
  <cols>
    <col min="2" max="2" width="12" hidden="1" customWidth="1"/>
    <col min="3" max="3" width="36" hidden="1" customWidth="1"/>
    <col min="4" max="4" width="22.7109375" style="127" bestFit="1" customWidth="1"/>
    <col min="5" max="6" width="5.140625" bestFit="1" customWidth="1"/>
    <col min="7" max="8" width="4.5703125" bestFit="1" customWidth="1"/>
    <col min="9" max="9" width="8.5703125" bestFit="1" customWidth="1"/>
    <col min="10" max="10" width="11.42578125" bestFit="1" customWidth="1"/>
    <col min="12" max="12" width="5.42578125" style="3" bestFit="1" customWidth="1"/>
    <col min="13" max="14" width="4.5703125" style="3" bestFit="1" customWidth="1"/>
    <col min="15" max="15" width="4.42578125" style="3" customWidth="1"/>
    <col min="16" max="16" width="5" style="3" bestFit="1" customWidth="1"/>
    <col min="18" max="20" width="8.85546875" customWidth="1"/>
  </cols>
  <sheetData>
    <row r="1" spans="2:18" x14ac:dyDescent="0.25">
      <c r="C1" s="7" t="s">
        <v>228</v>
      </c>
      <c r="M1" s="111"/>
    </row>
    <row r="3" spans="2:18" x14ac:dyDescent="0.25">
      <c r="B3" s="117" t="s">
        <v>9</v>
      </c>
      <c r="C3" s="118" t="s">
        <v>229</v>
      </c>
      <c r="D3" s="135" t="s">
        <v>230</v>
      </c>
      <c r="E3" s="118" t="s">
        <v>21</v>
      </c>
      <c r="F3" s="118" t="s">
        <v>22</v>
      </c>
      <c r="G3" s="118" t="s">
        <v>23</v>
      </c>
      <c r="H3" s="118" t="s">
        <v>24</v>
      </c>
      <c r="I3" s="118" t="s">
        <v>231</v>
      </c>
      <c r="J3" s="118" t="s">
        <v>232</v>
      </c>
      <c r="L3" s="5" t="s">
        <v>21</v>
      </c>
      <c r="M3" s="5" t="s">
        <v>22</v>
      </c>
      <c r="N3" s="5" t="s">
        <v>23</v>
      </c>
      <c r="O3" s="5" t="s">
        <v>24</v>
      </c>
      <c r="P3" s="5" t="s">
        <v>217</v>
      </c>
    </row>
    <row r="4" spans="2:18" ht="15" customHeight="1" x14ac:dyDescent="0.25">
      <c r="B4" s="116" t="s">
        <v>179</v>
      </c>
      <c r="C4" s="115" t="s">
        <v>180</v>
      </c>
      <c r="D4" s="136" t="s">
        <v>181</v>
      </c>
      <c r="E4" s="2">
        <v>22</v>
      </c>
      <c r="F4" s="2">
        <v>1</v>
      </c>
      <c r="G4" s="2">
        <v>0</v>
      </c>
      <c r="H4" s="2">
        <v>0</v>
      </c>
      <c r="I4" s="2" t="s">
        <v>166</v>
      </c>
      <c r="J4" s="6">
        <f>SUM(E4:I4)</f>
        <v>23</v>
      </c>
      <c r="L4" s="2">
        <v>1</v>
      </c>
      <c r="M4" s="2"/>
      <c r="N4" s="2"/>
      <c r="O4" s="2"/>
      <c r="P4" s="6">
        <f t="shared" ref="P4:P55" si="0">SUM(L4:O4)</f>
        <v>1</v>
      </c>
      <c r="R4" s="3"/>
    </row>
    <row r="5" spans="2:18" ht="15" customHeight="1" x14ac:dyDescent="0.25">
      <c r="B5" s="116" t="s">
        <v>177</v>
      </c>
      <c r="C5" s="2" t="s">
        <v>178</v>
      </c>
      <c r="D5" s="136" t="s">
        <v>178</v>
      </c>
      <c r="E5" s="2">
        <v>2</v>
      </c>
      <c r="F5" s="2">
        <v>1</v>
      </c>
      <c r="G5" s="2">
        <v>0</v>
      </c>
      <c r="H5" s="2">
        <v>0</v>
      </c>
      <c r="I5" s="2" t="s">
        <v>166</v>
      </c>
      <c r="J5" s="6">
        <f>SUM(E5:I5)</f>
        <v>3</v>
      </c>
      <c r="L5" s="2"/>
      <c r="M5" s="2"/>
      <c r="N5" s="2"/>
      <c r="O5" s="2"/>
      <c r="P5" s="6">
        <f t="shared" si="0"/>
        <v>0</v>
      </c>
      <c r="R5" s="3"/>
    </row>
    <row r="6" spans="2:18" x14ac:dyDescent="0.25">
      <c r="B6" s="116" t="s">
        <v>114</v>
      </c>
      <c r="C6" s="1" t="s">
        <v>115</v>
      </c>
      <c r="D6" s="136" t="s">
        <v>115</v>
      </c>
      <c r="E6" s="2">
        <v>0</v>
      </c>
      <c r="F6" s="2">
        <v>1</v>
      </c>
      <c r="G6" s="2">
        <v>0</v>
      </c>
      <c r="H6" s="2">
        <v>0</v>
      </c>
      <c r="I6" s="2" t="s">
        <v>166</v>
      </c>
      <c r="J6" s="6">
        <f t="shared" ref="J6:J55" si="1">SUM(E6:I6)</f>
        <v>1</v>
      </c>
      <c r="L6" s="2"/>
      <c r="M6" s="2"/>
      <c r="N6" s="2"/>
      <c r="O6" s="2"/>
      <c r="P6" s="6">
        <f t="shared" si="0"/>
        <v>0</v>
      </c>
      <c r="R6" s="3"/>
    </row>
    <row r="7" spans="2:18" x14ac:dyDescent="0.25">
      <c r="B7" s="116" t="s">
        <v>116</v>
      </c>
      <c r="C7" s="1" t="s">
        <v>117</v>
      </c>
      <c r="D7" s="136" t="s">
        <v>117</v>
      </c>
      <c r="E7" s="2">
        <v>33</v>
      </c>
      <c r="F7" s="2">
        <v>5</v>
      </c>
      <c r="G7" s="2">
        <v>1</v>
      </c>
      <c r="H7" s="2">
        <v>0</v>
      </c>
      <c r="I7" s="2" t="s">
        <v>166</v>
      </c>
      <c r="J7" s="6">
        <f t="shared" si="1"/>
        <v>39</v>
      </c>
      <c r="L7" s="2">
        <v>3</v>
      </c>
      <c r="M7" s="2"/>
      <c r="N7" s="2"/>
      <c r="O7" s="2"/>
      <c r="P7" s="6">
        <f t="shared" si="0"/>
        <v>3</v>
      </c>
      <c r="R7" s="3"/>
    </row>
    <row r="8" spans="2:18" x14ac:dyDescent="0.25">
      <c r="B8" s="116" t="s">
        <v>182</v>
      </c>
      <c r="C8" s="1" t="s">
        <v>183</v>
      </c>
      <c r="D8" s="136" t="s">
        <v>184</v>
      </c>
      <c r="E8" s="2">
        <v>10</v>
      </c>
      <c r="F8" s="2">
        <v>4</v>
      </c>
      <c r="G8" s="2">
        <v>0</v>
      </c>
      <c r="H8" s="2">
        <v>0</v>
      </c>
      <c r="I8" s="2" t="s">
        <v>166</v>
      </c>
      <c r="J8" s="6">
        <f t="shared" si="1"/>
        <v>14</v>
      </c>
      <c r="L8" s="2"/>
      <c r="M8" s="2"/>
      <c r="N8" s="2"/>
      <c r="O8" s="2"/>
      <c r="P8" s="6">
        <f t="shared" si="0"/>
        <v>0</v>
      </c>
      <c r="R8" s="3"/>
    </row>
    <row r="9" spans="2:18" x14ac:dyDescent="0.25">
      <c r="B9" s="116" t="s">
        <v>174</v>
      </c>
      <c r="C9" s="1" t="s">
        <v>175</v>
      </c>
      <c r="D9" s="136" t="s">
        <v>176</v>
      </c>
      <c r="E9" s="2">
        <v>4</v>
      </c>
      <c r="F9" s="2">
        <v>1</v>
      </c>
      <c r="G9" s="2">
        <v>0</v>
      </c>
      <c r="H9" s="2">
        <v>0</v>
      </c>
      <c r="I9" s="2" t="s">
        <v>166</v>
      </c>
      <c r="J9" s="6">
        <f t="shared" si="1"/>
        <v>5</v>
      </c>
      <c r="L9" s="2"/>
      <c r="M9" s="2"/>
      <c r="N9" s="2"/>
      <c r="O9" s="2"/>
      <c r="P9" s="6">
        <f t="shared" si="0"/>
        <v>0</v>
      </c>
      <c r="R9" s="3"/>
    </row>
    <row r="10" spans="2:18" x14ac:dyDescent="0.25">
      <c r="B10" s="116" t="s">
        <v>70</v>
      </c>
      <c r="C10" s="1" t="s">
        <v>71</v>
      </c>
      <c r="D10" s="136" t="s">
        <v>71</v>
      </c>
      <c r="E10" s="2">
        <v>10</v>
      </c>
      <c r="F10" s="2">
        <v>1</v>
      </c>
      <c r="G10" s="2">
        <v>0</v>
      </c>
      <c r="H10" s="2">
        <v>0</v>
      </c>
      <c r="I10" s="2" t="s">
        <v>166</v>
      </c>
      <c r="J10" s="6">
        <f t="shared" si="1"/>
        <v>11</v>
      </c>
      <c r="L10" s="2">
        <v>2</v>
      </c>
      <c r="M10" s="2"/>
      <c r="N10" s="2"/>
      <c r="O10" s="2"/>
      <c r="P10" s="6">
        <f t="shared" si="0"/>
        <v>2</v>
      </c>
      <c r="R10" s="3"/>
    </row>
    <row r="11" spans="2:18" x14ac:dyDescent="0.25">
      <c r="B11" s="116" t="s">
        <v>90</v>
      </c>
      <c r="C11" s="1" t="s">
        <v>91</v>
      </c>
      <c r="D11" s="136" t="s">
        <v>91</v>
      </c>
      <c r="E11" s="2">
        <v>2</v>
      </c>
      <c r="F11" s="2">
        <v>1</v>
      </c>
      <c r="G11" s="2">
        <v>0</v>
      </c>
      <c r="H11" s="2">
        <v>0</v>
      </c>
      <c r="I11" s="2" t="s">
        <v>166</v>
      </c>
      <c r="J11" s="6">
        <f t="shared" si="1"/>
        <v>3</v>
      </c>
      <c r="L11" s="2"/>
      <c r="M11" s="2"/>
      <c r="N11" s="2"/>
      <c r="O11" s="2"/>
      <c r="P11" s="6">
        <f t="shared" si="0"/>
        <v>0</v>
      </c>
      <c r="R11" s="3"/>
    </row>
    <row r="12" spans="2:18" x14ac:dyDescent="0.25">
      <c r="B12" s="116" t="s">
        <v>62</v>
      </c>
      <c r="C12" s="1" t="s">
        <v>63</v>
      </c>
      <c r="D12" s="136" t="s">
        <v>64</v>
      </c>
      <c r="E12" s="2">
        <v>0</v>
      </c>
      <c r="F12" s="2">
        <v>0</v>
      </c>
      <c r="G12" s="2">
        <v>0</v>
      </c>
      <c r="H12" s="2">
        <v>0</v>
      </c>
      <c r="I12" s="2" t="s">
        <v>166</v>
      </c>
      <c r="J12" s="6">
        <f t="shared" si="1"/>
        <v>0</v>
      </c>
      <c r="L12" s="2"/>
      <c r="M12" s="2"/>
      <c r="N12" s="2"/>
      <c r="O12" s="2"/>
      <c r="P12" s="6">
        <f t="shared" si="0"/>
        <v>0</v>
      </c>
      <c r="R12" s="3"/>
    </row>
    <row r="13" spans="2:18" x14ac:dyDescent="0.25">
      <c r="B13" s="116" t="s">
        <v>166</v>
      </c>
      <c r="C13" s="112" t="s">
        <v>227</v>
      </c>
      <c r="D13" s="137" t="s">
        <v>227</v>
      </c>
      <c r="E13" s="2">
        <v>2</v>
      </c>
      <c r="F13" s="2">
        <v>1</v>
      </c>
      <c r="G13" s="2">
        <v>0</v>
      </c>
      <c r="H13" s="2">
        <v>1</v>
      </c>
      <c r="I13" s="2" t="s">
        <v>166</v>
      </c>
      <c r="J13" s="6">
        <f t="shared" si="1"/>
        <v>4</v>
      </c>
      <c r="L13" s="2"/>
      <c r="M13" s="2"/>
      <c r="N13" s="2"/>
      <c r="O13" s="2"/>
      <c r="P13" s="6">
        <f t="shared" si="0"/>
        <v>0</v>
      </c>
      <c r="R13" s="3"/>
    </row>
    <row r="14" spans="2:18" x14ac:dyDescent="0.25">
      <c r="B14" s="116" t="s">
        <v>112</v>
      </c>
      <c r="C14" s="1" t="s">
        <v>113</v>
      </c>
      <c r="D14" s="136" t="s">
        <v>113</v>
      </c>
      <c r="E14" s="2">
        <v>4</v>
      </c>
      <c r="F14" s="2">
        <v>1</v>
      </c>
      <c r="G14" s="2">
        <v>0</v>
      </c>
      <c r="H14" s="2">
        <v>0</v>
      </c>
      <c r="I14" s="2" t="s">
        <v>166</v>
      </c>
      <c r="J14" s="6">
        <f t="shared" si="1"/>
        <v>5</v>
      </c>
      <c r="L14" s="2"/>
      <c r="M14" s="2"/>
      <c r="N14" s="2"/>
      <c r="O14" s="2"/>
      <c r="P14" s="6">
        <f t="shared" si="0"/>
        <v>0</v>
      </c>
      <c r="R14" s="3"/>
    </row>
    <row r="15" spans="2:18" x14ac:dyDescent="0.25">
      <c r="B15" s="116" t="s">
        <v>145</v>
      </c>
      <c r="C15" s="1" t="s">
        <v>146</v>
      </c>
      <c r="D15" s="136" t="s">
        <v>147</v>
      </c>
      <c r="E15" s="2">
        <v>0</v>
      </c>
      <c r="F15" s="2">
        <v>0</v>
      </c>
      <c r="G15" s="2">
        <v>0</v>
      </c>
      <c r="H15" s="2">
        <v>0</v>
      </c>
      <c r="I15" s="2" t="s">
        <v>166</v>
      </c>
      <c r="J15" s="6">
        <f t="shared" si="1"/>
        <v>0</v>
      </c>
      <c r="L15" s="2"/>
      <c r="M15" s="2"/>
      <c r="N15" s="2"/>
      <c r="O15" s="2"/>
      <c r="P15" s="6">
        <f t="shared" si="0"/>
        <v>0</v>
      </c>
      <c r="R15" s="3"/>
    </row>
    <row r="16" spans="2:18" x14ac:dyDescent="0.25">
      <c r="B16" s="116" t="s">
        <v>154</v>
      </c>
      <c r="C16" s="1" t="s">
        <v>155</v>
      </c>
      <c r="D16" s="136" t="s">
        <v>155</v>
      </c>
      <c r="E16" s="2">
        <v>0</v>
      </c>
      <c r="F16" s="2">
        <v>0</v>
      </c>
      <c r="G16" s="2">
        <v>0</v>
      </c>
      <c r="H16" s="2">
        <v>0</v>
      </c>
      <c r="I16" s="2" t="s">
        <v>166</v>
      </c>
      <c r="J16" s="6">
        <f t="shared" si="1"/>
        <v>0</v>
      </c>
      <c r="L16" s="2"/>
      <c r="M16" s="2"/>
      <c r="N16" s="2"/>
      <c r="O16" s="2"/>
      <c r="P16" s="6">
        <f t="shared" si="0"/>
        <v>0</v>
      </c>
      <c r="R16" s="3"/>
    </row>
    <row r="17" spans="2:18" x14ac:dyDescent="0.25">
      <c r="B17" s="116" t="s">
        <v>33</v>
      </c>
      <c r="C17" s="1" t="s">
        <v>34</v>
      </c>
      <c r="D17" s="136" t="s">
        <v>34</v>
      </c>
      <c r="E17" s="2">
        <v>37</v>
      </c>
      <c r="F17" s="2">
        <v>22</v>
      </c>
      <c r="G17" s="2">
        <v>1</v>
      </c>
      <c r="H17" s="2">
        <v>0</v>
      </c>
      <c r="I17" s="2" t="s">
        <v>166</v>
      </c>
      <c r="J17" s="6">
        <f t="shared" si="1"/>
        <v>60</v>
      </c>
      <c r="L17" s="2"/>
      <c r="M17" s="2"/>
      <c r="N17" s="2"/>
      <c r="O17" s="2"/>
      <c r="P17" s="6">
        <f t="shared" si="0"/>
        <v>0</v>
      </c>
      <c r="R17" s="3"/>
    </row>
    <row r="18" spans="2:18" x14ac:dyDescent="0.25">
      <c r="B18" s="116" t="s">
        <v>76</v>
      </c>
      <c r="C18" s="1" t="s">
        <v>77</v>
      </c>
      <c r="D18" s="136" t="s">
        <v>78</v>
      </c>
      <c r="E18" s="2">
        <v>33</v>
      </c>
      <c r="F18" s="2">
        <v>13</v>
      </c>
      <c r="G18" s="2">
        <v>2</v>
      </c>
      <c r="H18" s="2">
        <v>0</v>
      </c>
      <c r="I18" s="2" t="s">
        <v>166</v>
      </c>
      <c r="J18" s="6">
        <f t="shared" si="1"/>
        <v>48</v>
      </c>
      <c r="L18" s="2"/>
      <c r="M18" s="2"/>
      <c r="N18" s="2"/>
      <c r="O18" s="2"/>
      <c r="P18" s="6">
        <f t="shared" si="0"/>
        <v>0</v>
      </c>
      <c r="R18" s="3"/>
    </row>
    <row r="19" spans="2:18" x14ac:dyDescent="0.25">
      <c r="B19" s="116" t="s">
        <v>142</v>
      </c>
      <c r="C19" s="1" t="s">
        <v>143</v>
      </c>
      <c r="D19" s="136" t="s">
        <v>144</v>
      </c>
      <c r="E19" s="2">
        <v>7</v>
      </c>
      <c r="F19" s="2">
        <v>0</v>
      </c>
      <c r="G19" s="2">
        <v>1</v>
      </c>
      <c r="H19" s="2">
        <v>0</v>
      </c>
      <c r="I19" s="2" t="s">
        <v>166</v>
      </c>
      <c r="J19" s="6">
        <f t="shared" si="1"/>
        <v>8</v>
      </c>
      <c r="L19" s="2">
        <v>1</v>
      </c>
      <c r="M19" s="2">
        <v>1</v>
      </c>
      <c r="N19" s="2"/>
      <c r="O19" s="2"/>
      <c r="P19" s="6">
        <f t="shared" si="0"/>
        <v>2</v>
      </c>
      <c r="R19" s="3"/>
    </row>
    <row r="20" spans="2:18" x14ac:dyDescent="0.25">
      <c r="B20" s="116" t="s">
        <v>164</v>
      </c>
      <c r="C20" s="1" t="s">
        <v>165</v>
      </c>
      <c r="D20" s="136" t="s">
        <v>165</v>
      </c>
      <c r="E20" s="2">
        <v>0</v>
      </c>
      <c r="F20" s="2">
        <v>0</v>
      </c>
      <c r="G20" s="2">
        <v>0</v>
      </c>
      <c r="H20" s="2">
        <v>0</v>
      </c>
      <c r="I20" s="2" t="s">
        <v>166</v>
      </c>
      <c r="J20" s="6">
        <f t="shared" si="1"/>
        <v>0</v>
      </c>
      <c r="L20" s="2"/>
      <c r="M20" s="2"/>
      <c r="N20" s="2"/>
      <c r="O20" s="2"/>
      <c r="P20" s="6">
        <f t="shared" si="0"/>
        <v>0</v>
      </c>
      <c r="R20" s="3"/>
    </row>
    <row r="21" spans="2:18" x14ac:dyDescent="0.25">
      <c r="B21" s="116" t="s">
        <v>73</v>
      </c>
      <c r="C21" s="1" t="s">
        <v>74</v>
      </c>
      <c r="D21" s="136" t="s">
        <v>74</v>
      </c>
      <c r="E21" s="2">
        <v>1</v>
      </c>
      <c r="F21" s="2">
        <v>0</v>
      </c>
      <c r="G21" s="2">
        <v>0</v>
      </c>
      <c r="H21" s="2">
        <v>0</v>
      </c>
      <c r="I21" s="2" t="s">
        <v>166</v>
      </c>
      <c r="J21" s="6">
        <f t="shared" si="1"/>
        <v>1</v>
      </c>
      <c r="L21" s="2"/>
      <c r="M21" s="2"/>
      <c r="N21" s="2"/>
      <c r="O21" s="2"/>
      <c r="P21" s="6">
        <f t="shared" si="0"/>
        <v>0</v>
      </c>
      <c r="R21" s="3"/>
    </row>
    <row r="22" spans="2:18" x14ac:dyDescent="0.25">
      <c r="B22" s="116" t="s">
        <v>81</v>
      </c>
      <c r="C22" s="1" t="s">
        <v>82</v>
      </c>
      <c r="D22" s="136" t="s">
        <v>82</v>
      </c>
      <c r="E22" s="2">
        <v>2</v>
      </c>
      <c r="F22" s="2">
        <v>1</v>
      </c>
      <c r="G22" s="2">
        <v>0</v>
      </c>
      <c r="H22" s="2">
        <v>0</v>
      </c>
      <c r="I22" s="2" t="s">
        <v>166</v>
      </c>
      <c r="J22" s="6">
        <f t="shared" si="1"/>
        <v>3</v>
      </c>
      <c r="L22" s="2"/>
      <c r="M22" s="2"/>
      <c r="N22" s="2"/>
      <c r="O22" s="2"/>
      <c r="P22" s="6">
        <f t="shared" si="0"/>
        <v>0</v>
      </c>
      <c r="R22" s="3"/>
    </row>
    <row r="23" spans="2:18" x14ac:dyDescent="0.25">
      <c r="B23" s="116" t="s">
        <v>128</v>
      </c>
      <c r="C23" s="1" t="s">
        <v>129</v>
      </c>
      <c r="D23" s="136" t="s">
        <v>129</v>
      </c>
      <c r="E23" s="2">
        <v>4</v>
      </c>
      <c r="F23" s="2">
        <v>2</v>
      </c>
      <c r="G23" s="2">
        <v>0</v>
      </c>
      <c r="H23" s="2">
        <v>0</v>
      </c>
      <c r="I23" s="2" t="s">
        <v>166</v>
      </c>
      <c r="J23" s="6">
        <f t="shared" si="1"/>
        <v>6</v>
      </c>
      <c r="L23" s="2"/>
      <c r="M23" s="2"/>
      <c r="N23" s="2"/>
      <c r="O23" s="2"/>
      <c r="P23" s="6">
        <f t="shared" si="0"/>
        <v>0</v>
      </c>
      <c r="R23" s="3"/>
    </row>
    <row r="24" spans="2:18" x14ac:dyDescent="0.25">
      <c r="B24" s="116" t="s">
        <v>94</v>
      </c>
      <c r="C24" s="1" t="s">
        <v>95</v>
      </c>
      <c r="D24" s="136" t="s">
        <v>95</v>
      </c>
      <c r="E24" s="2">
        <v>65</v>
      </c>
      <c r="F24" s="2">
        <v>16</v>
      </c>
      <c r="G24" s="2">
        <v>1</v>
      </c>
      <c r="H24" s="2">
        <v>0</v>
      </c>
      <c r="I24" s="2" t="s">
        <v>166</v>
      </c>
      <c r="J24" s="6">
        <f t="shared" si="1"/>
        <v>82</v>
      </c>
      <c r="L24" s="2">
        <v>4</v>
      </c>
      <c r="M24" s="2">
        <v>1</v>
      </c>
      <c r="N24" s="2">
        <v>1</v>
      </c>
      <c r="O24" s="2"/>
      <c r="P24" s="6">
        <f t="shared" si="0"/>
        <v>6</v>
      </c>
      <c r="R24" s="3"/>
    </row>
    <row r="25" spans="2:18" x14ac:dyDescent="0.25">
      <c r="B25" s="116" t="s">
        <v>188</v>
      </c>
      <c r="C25" s="1" t="s">
        <v>189</v>
      </c>
      <c r="D25" s="136" t="s">
        <v>190</v>
      </c>
      <c r="E25" s="2">
        <v>1</v>
      </c>
      <c r="F25" s="2">
        <v>0</v>
      </c>
      <c r="G25" s="2">
        <v>0</v>
      </c>
      <c r="H25" s="2">
        <v>0</v>
      </c>
      <c r="I25" s="2" t="s">
        <v>166</v>
      </c>
      <c r="J25" s="6">
        <f t="shared" si="1"/>
        <v>1</v>
      </c>
      <c r="L25" s="2"/>
      <c r="M25" s="2"/>
      <c r="N25" s="2"/>
      <c r="O25" s="2"/>
      <c r="P25" s="6">
        <f t="shared" si="0"/>
        <v>0</v>
      </c>
      <c r="R25" s="3"/>
    </row>
    <row r="26" spans="2:18" x14ac:dyDescent="0.25">
      <c r="B26" s="116" t="s">
        <v>161</v>
      </c>
      <c r="C26" s="1" t="s">
        <v>162</v>
      </c>
      <c r="D26" s="136" t="s">
        <v>162</v>
      </c>
      <c r="E26" s="2">
        <v>0</v>
      </c>
      <c r="F26" s="2">
        <v>0</v>
      </c>
      <c r="G26" s="2">
        <v>1</v>
      </c>
      <c r="H26" s="2">
        <v>0</v>
      </c>
      <c r="I26" s="2" t="s">
        <v>166</v>
      </c>
      <c r="J26" s="6">
        <f t="shared" si="1"/>
        <v>1</v>
      </c>
      <c r="L26" s="2"/>
      <c r="M26" s="2"/>
      <c r="N26" s="2"/>
      <c r="O26" s="2"/>
      <c r="P26" s="6">
        <f t="shared" si="0"/>
        <v>0</v>
      </c>
      <c r="R26" s="3"/>
    </row>
    <row r="27" spans="2:18" x14ac:dyDescent="0.25">
      <c r="B27" s="116" t="s">
        <v>86</v>
      </c>
      <c r="C27" s="1" t="s">
        <v>87</v>
      </c>
      <c r="D27" s="136" t="s">
        <v>88</v>
      </c>
      <c r="E27" s="2">
        <v>6</v>
      </c>
      <c r="F27" s="2">
        <v>1</v>
      </c>
      <c r="G27" s="2">
        <v>0</v>
      </c>
      <c r="H27" s="2">
        <v>0</v>
      </c>
      <c r="I27" s="2" t="s">
        <v>166</v>
      </c>
      <c r="J27" s="6">
        <f t="shared" si="1"/>
        <v>7</v>
      </c>
      <c r="L27" s="2"/>
      <c r="M27" s="2"/>
      <c r="N27" s="2"/>
      <c r="O27" s="2"/>
      <c r="P27" s="6">
        <f t="shared" si="0"/>
        <v>0</v>
      </c>
      <c r="R27" s="3"/>
    </row>
    <row r="28" spans="2:18" x14ac:dyDescent="0.25">
      <c r="B28" s="116" t="s">
        <v>148</v>
      </c>
      <c r="C28" s="1" t="s">
        <v>149</v>
      </c>
      <c r="D28" s="136" t="s">
        <v>150</v>
      </c>
      <c r="E28" s="2">
        <v>33</v>
      </c>
      <c r="F28" s="2">
        <v>5</v>
      </c>
      <c r="G28" s="2">
        <v>2</v>
      </c>
      <c r="H28" s="2">
        <v>0</v>
      </c>
      <c r="I28" s="2" t="s">
        <v>166</v>
      </c>
      <c r="J28" s="6">
        <f t="shared" si="1"/>
        <v>40</v>
      </c>
      <c r="L28" s="2"/>
      <c r="M28" s="2"/>
      <c r="N28" s="2"/>
      <c r="O28" s="2"/>
      <c r="P28" s="6">
        <f t="shared" si="0"/>
        <v>0</v>
      </c>
      <c r="R28" s="3"/>
    </row>
    <row r="29" spans="2:18" x14ac:dyDescent="0.25">
      <c r="B29" s="116" t="s">
        <v>166</v>
      </c>
      <c r="C29" s="112" t="s">
        <v>223</v>
      </c>
      <c r="D29" s="137" t="s">
        <v>223</v>
      </c>
      <c r="E29" s="2">
        <v>17</v>
      </c>
      <c r="F29" s="2">
        <v>4</v>
      </c>
      <c r="G29" s="2">
        <v>1</v>
      </c>
      <c r="H29" s="2">
        <v>1</v>
      </c>
      <c r="I29" s="2" t="s">
        <v>166</v>
      </c>
      <c r="J29" s="6">
        <f t="shared" si="1"/>
        <v>23</v>
      </c>
      <c r="L29" s="2"/>
      <c r="M29" s="2"/>
      <c r="N29" s="2"/>
      <c r="O29" s="2"/>
      <c r="P29" s="6">
        <f t="shared" si="0"/>
        <v>0</v>
      </c>
      <c r="R29" s="3"/>
    </row>
    <row r="30" spans="2:18" x14ac:dyDescent="0.25">
      <c r="B30" s="116" t="s">
        <v>97</v>
      </c>
      <c r="C30" s="1" t="s">
        <v>98</v>
      </c>
      <c r="D30" s="136" t="s">
        <v>353</v>
      </c>
      <c r="E30" s="2">
        <v>1</v>
      </c>
      <c r="F30" s="2">
        <v>0</v>
      </c>
      <c r="G30" s="2">
        <v>0</v>
      </c>
      <c r="H30" s="2">
        <v>0</v>
      </c>
      <c r="I30" s="2" t="s">
        <v>166</v>
      </c>
      <c r="J30" s="6">
        <f t="shared" si="1"/>
        <v>1</v>
      </c>
      <c r="L30" s="2">
        <v>1</v>
      </c>
      <c r="M30" s="2"/>
      <c r="N30" s="2"/>
      <c r="O30" s="2"/>
      <c r="P30" s="6">
        <f t="shared" si="0"/>
        <v>1</v>
      </c>
      <c r="R30" s="3"/>
    </row>
    <row r="31" spans="2:18" x14ac:dyDescent="0.25">
      <c r="B31" s="116" t="s">
        <v>39</v>
      </c>
      <c r="C31" s="1" t="s">
        <v>40</v>
      </c>
      <c r="D31" s="136" t="s">
        <v>40</v>
      </c>
      <c r="E31" s="2">
        <v>4</v>
      </c>
      <c r="F31" s="2">
        <v>1</v>
      </c>
      <c r="G31" s="2">
        <v>0</v>
      </c>
      <c r="H31" s="2">
        <v>0</v>
      </c>
      <c r="I31" s="2" t="s">
        <v>166</v>
      </c>
      <c r="J31" s="6">
        <f t="shared" si="1"/>
        <v>5</v>
      </c>
      <c r="L31" s="2"/>
      <c r="M31" s="2">
        <v>1</v>
      </c>
      <c r="N31" s="2"/>
      <c r="O31" s="2"/>
      <c r="P31" s="6">
        <f t="shared" si="0"/>
        <v>1</v>
      </c>
      <c r="R31" s="3"/>
    </row>
    <row r="32" spans="2:18" x14ac:dyDescent="0.25">
      <c r="B32" s="116" t="s">
        <v>65</v>
      </c>
      <c r="C32" s="1" t="s">
        <v>66</v>
      </c>
      <c r="D32" s="136" t="s">
        <v>66</v>
      </c>
      <c r="E32" s="2">
        <v>9</v>
      </c>
      <c r="F32" s="2">
        <v>0</v>
      </c>
      <c r="G32" s="2">
        <v>1</v>
      </c>
      <c r="H32" s="2">
        <v>0</v>
      </c>
      <c r="I32" s="2" t="s">
        <v>166</v>
      </c>
      <c r="J32" s="6">
        <f t="shared" si="1"/>
        <v>10</v>
      </c>
      <c r="L32" s="2">
        <v>3</v>
      </c>
      <c r="M32" s="2"/>
      <c r="N32" s="2"/>
      <c r="O32" s="2"/>
      <c r="P32" s="6">
        <f t="shared" si="0"/>
        <v>3</v>
      </c>
      <c r="R32" s="3"/>
    </row>
    <row r="33" spans="2:18" x14ac:dyDescent="0.25">
      <c r="B33" s="116" t="s">
        <v>136</v>
      </c>
      <c r="C33" s="1" t="s">
        <v>233</v>
      </c>
      <c r="D33" s="136" t="s">
        <v>137</v>
      </c>
      <c r="E33" s="2">
        <v>15</v>
      </c>
      <c r="F33" s="2">
        <v>1</v>
      </c>
      <c r="G33" s="2">
        <v>0</v>
      </c>
      <c r="H33" s="2">
        <v>0</v>
      </c>
      <c r="I33" s="2" t="s">
        <v>166</v>
      </c>
      <c r="J33" s="6">
        <f t="shared" si="1"/>
        <v>16</v>
      </c>
      <c r="L33" s="2">
        <v>1</v>
      </c>
      <c r="M33" s="2">
        <v>1</v>
      </c>
      <c r="N33" s="2"/>
      <c r="O33" s="2"/>
      <c r="P33" s="6">
        <f t="shared" si="0"/>
        <v>2</v>
      </c>
      <c r="R33" s="3"/>
    </row>
    <row r="34" spans="2:18" x14ac:dyDescent="0.25">
      <c r="B34" s="116" t="s">
        <v>138</v>
      </c>
      <c r="C34" s="1" t="s">
        <v>139</v>
      </c>
      <c r="D34" s="136" t="s">
        <v>140</v>
      </c>
      <c r="E34" s="2">
        <v>12</v>
      </c>
      <c r="F34" s="2">
        <v>2</v>
      </c>
      <c r="G34" s="2">
        <v>0</v>
      </c>
      <c r="H34" s="2">
        <v>0</v>
      </c>
      <c r="I34" s="2" t="s">
        <v>166</v>
      </c>
      <c r="J34" s="6">
        <f t="shared" si="1"/>
        <v>14</v>
      </c>
      <c r="L34" s="2"/>
      <c r="M34" s="2"/>
      <c r="N34" s="2"/>
      <c r="O34" s="2"/>
      <c r="P34" s="6">
        <f t="shared" si="0"/>
        <v>0</v>
      </c>
      <c r="R34" s="3"/>
    </row>
    <row r="35" spans="2:18" x14ac:dyDescent="0.25">
      <c r="B35" s="116" t="s">
        <v>134</v>
      </c>
      <c r="C35" s="1" t="s">
        <v>135</v>
      </c>
      <c r="D35" s="136" t="s">
        <v>135</v>
      </c>
      <c r="E35" s="2">
        <v>4</v>
      </c>
      <c r="F35" s="2">
        <v>1</v>
      </c>
      <c r="G35" s="2">
        <v>0</v>
      </c>
      <c r="H35" s="2">
        <v>0</v>
      </c>
      <c r="I35" s="2" t="s">
        <v>166</v>
      </c>
      <c r="J35" s="6">
        <f t="shared" si="1"/>
        <v>5</v>
      </c>
      <c r="L35" s="2"/>
      <c r="M35" s="2">
        <v>1</v>
      </c>
      <c r="N35" s="2"/>
      <c r="O35" s="2"/>
      <c r="P35" s="6">
        <f t="shared" si="0"/>
        <v>1</v>
      </c>
      <c r="R35" s="3"/>
    </row>
    <row r="36" spans="2:18" x14ac:dyDescent="0.25">
      <c r="B36" s="116" t="s">
        <v>59</v>
      </c>
      <c r="C36" s="1" t="s">
        <v>60</v>
      </c>
      <c r="D36" s="136" t="s">
        <v>60</v>
      </c>
      <c r="E36" s="2">
        <v>12</v>
      </c>
      <c r="F36" s="2">
        <v>2</v>
      </c>
      <c r="G36" s="2">
        <v>0</v>
      </c>
      <c r="H36" s="2">
        <v>0</v>
      </c>
      <c r="I36" s="2" t="s">
        <v>166</v>
      </c>
      <c r="J36" s="6">
        <f t="shared" si="1"/>
        <v>14</v>
      </c>
      <c r="L36" s="2"/>
      <c r="M36" s="2"/>
      <c r="N36" s="2"/>
      <c r="O36" s="2"/>
      <c r="P36" s="6">
        <f t="shared" si="0"/>
        <v>0</v>
      </c>
      <c r="R36" s="3"/>
    </row>
    <row r="37" spans="2:18" x14ac:dyDescent="0.25">
      <c r="B37" s="116" t="s">
        <v>54</v>
      </c>
      <c r="C37" s="1" t="s">
        <v>55</v>
      </c>
      <c r="D37" s="136" t="s">
        <v>56</v>
      </c>
      <c r="E37" s="2">
        <v>11</v>
      </c>
      <c r="F37" s="2">
        <v>4</v>
      </c>
      <c r="G37" s="2">
        <v>1</v>
      </c>
      <c r="H37" s="2">
        <v>0</v>
      </c>
      <c r="I37" s="2" t="s">
        <v>166</v>
      </c>
      <c r="J37" s="6">
        <f t="shared" si="1"/>
        <v>16</v>
      </c>
      <c r="L37" s="2"/>
      <c r="M37" s="2"/>
      <c r="N37" s="2"/>
      <c r="O37" s="2"/>
      <c r="P37" s="6">
        <f t="shared" si="0"/>
        <v>0</v>
      </c>
      <c r="R37" s="3"/>
    </row>
    <row r="38" spans="2:18" x14ac:dyDescent="0.25">
      <c r="B38" s="116" t="s">
        <v>185</v>
      </c>
      <c r="C38" s="1" t="s">
        <v>234</v>
      </c>
      <c r="D38" s="136" t="s">
        <v>187</v>
      </c>
      <c r="E38" s="2">
        <v>3</v>
      </c>
      <c r="F38" s="2">
        <v>1</v>
      </c>
      <c r="G38" s="2">
        <v>0</v>
      </c>
      <c r="H38" s="2">
        <v>0</v>
      </c>
      <c r="I38" s="2" t="s">
        <v>166</v>
      </c>
      <c r="J38" s="6">
        <f t="shared" si="1"/>
        <v>4</v>
      </c>
      <c r="L38" s="2"/>
      <c r="M38" s="2"/>
      <c r="N38" s="2"/>
      <c r="O38" s="2"/>
      <c r="P38" s="6">
        <f t="shared" si="0"/>
        <v>0</v>
      </c>
      <c r="R38" s="3"/>
    </row>
    <row r="39" spans="2:18" x14ac:dyDescent="0.25">
      <c r="B39" s="116" t="s">
        <v>171</v>
      </c>
      <c r="C39" s="1" t="s">
        <v>172</v>
      </c>
      <c r="D39" s="136" t="s">
        <v>173</v>
      </c>
      <c r="E39" s="2">
        <v>3</v>
      </c>
      <c r="F39" s="2">
        <v>0</v>
      </c>
      <c r="G39" s="2">
        <v>0</v>
      </c>
      <c r="H39" s="2">
        <v>0</v>
      </c>
      <c r="I39" s="2" t="s">
        <v>166</v>
      </c>
      <c r="J39" s="6">
        <f t="shared" si="1"/>
        <v>3</v>
      </c>
      <c r="L39" s="2"/>
      <c r="M39" s="2"/>
      <c r="N39" s="2"/>
      <c r="O39" s="2"/>
      <c r="P39" s="6">
        <f t="shared" si="0"/>
        <v>0</v>
      </c>
      <c r="R39" s="3"/>
    </row>
    <row r="40" spans="2:18" x14ac:dyDescent="0.25">
      <c r="B40" s="116" t="s">
        <v>166</v>
      </c>
      <c r="C40" s="1" t="s">
        <v>169</v>
      </c>
      <c r="D40" s="136" t="s">
        <v>170</v>
      </c>
      <c r="E40" s="2">
        <v>1</v>
      </c>
      <c r="F40" s="2">
        <v>0</v>
      </c>
      <c r="G40" s="2">
        <v>0</v>
      </c>
      <c r="H40" s="2">
        <v>0</v>
      </c>
      <c r="I40" s="2" t="s">
        <v>166</v>
      </c>
      <c r="J40" s="6">
        <f t="shared" si="1"/>
        <v>1</v>
      </c>
      <c r="L40" s="2"/>
      <c r="M40" s="2"/>
      <c r="N40" s="2"/>
      <c r="O40" s="2"/>
      <c r="P40" s="6">
        <f t="shared" si="0"/>
        <v>0</v>
      </c>
      <c r="R40" s="3"/>
    </row>
    <row r="41" spans="2:18" x14ac:dyDescent="0.25">
      <c r="B41" s="116" t="s">
        <v>156</v>
      </c>
      <c r="C41" s="1" t="s">
        <v>157</v>
      </c>
      <c r="D41" s="136" t="s">
        <v>157</v>
      </c>
      <c r="E41" s="2">
        <v>13</v>
      </c>
      <c r="F41" s="2">
        <v>1</v>
      </c>
      <c r="G41" s="2">
        <v>0</v>
      </c>
      <c r="H41" s="2">
        <v>0</v>
      </c>
      <c r="I41" s="2" t="s">
        <v>166</v>
      </c>
      <c r="J41" s="6">
        <f t="shared" si="1"/>
        <v>14</v>
      </c>
      <c r="L41" s="2">
        <v>1</v>
      </c>
      <c r="M41" s="2"/>
      <c r="N41" s="2"/>
      <c r="O41" s="2"/>
      <c r="P41" s="6">
        <f t="shared" si="0"/>
        <v>1</v>
      </c>
      <c r="R41" s="3"/>
    </row>
    <row r="42" spans="2:18" x14ac:dyDescent="0.25">
      <c r="B42" s="116" t="s">
        <v>124</v>
      </c>
      <c r="C42" s="1" t="s">
        <v>125</v>
      </c>
      <c r="D42" s="136" t="s">
        <v>125</v>
      </c>
      <c r="E42" s="2">
        <v>2</v>
      </c>
      <c r="F42" s="2">
        <v>1</v>
      </c>
      <c r="G42" s="2">
        <v>1</v>
      </c>
      <c r="H42" s="2">
        <v>0</v>
      </c>
      <c r="I42" s="2" t="s">
        <v>166</v>
      </c>
      <c r="J42" s="6">
        <f t="shared" si="1"/>
        <v>4</v>
      </c>
      <c r="L42" s="2"/>
      <c r="M42" s="2"/>
      <c r="N42" s="2"/>
      <c r="O42" s="2"/>
      <c r="P42" s="6">
        <f t="shared" si="0"/>
        <v>0</v>
      </c>
      <c r="R42" s="3"/>
    </row>
    <row r="43" spans="2:18" x14ac:dyDescent="0.25">
      <c r="B43" s="116" t="s">
        <v>45</v>
      </c>
      <c r="C43" s="1" t="s">
        <v>46</v>
      </c>
      <c r="D43" s="136" t="s">
        <v>338</v>
      </c>
      <c r="E43" s="2">
        <v>5</v>
      </c>
      <c r="F43" s="2">
        <v>1</v>
      </c>
      <c r="G43" s="2">
        <v>0</v>
      </c>
      <c r="H43" s="2">
        <v>0</v>
      </c>
      <c r="I43" s="2" t="s">
        <v>166</v>
      </c>
      <c r="J43" s="6">
        <f t="shared" si="1"/>
        <v>6</v>
      </c>
      <c r="L43" s="2">
        <v>2</v>
      </c>
      <c r="M43" s="2">
        <v>1</v>
      </c>
      <c r="N43" s="2"/>
      <c r="O43" s="2"/>
      <c r="P43" s="6">
        <f t="shared" si="0"/>
        <v>3</v>
      </c>
      <c r="R43" s="3"/>
    </row>
    <row r="44" spans="2:18" x14ac:dyDescent="0.25">
      <c r="B44" s="116" t="s">
        <v>158</v>
      </c>
      <c r="C44" s="1" t="s">
        <v>159</v>
      </c>
      <c r="D44" s="136" t="s">
        <v>159</v>
      </c>
      <c r="E44" s="2">
        <v>1</v>
      </c>
      <c r="F44" s="2">
        <v>0</v>
      </c>
      <c r="G44" s="2">
        <v>0</v>
      </c>
      <c r="H44" s="2">
        <v>0</v>
      </c>
      <c r="I44" s="2" t="s">
        <v>166</v>
      </c>
      <c r="J44" s="6">
        <f t="shared" si="1"/>
        <v>1</v>
      </c>
      <c r="L44" s="2"/>
      <c r="M44" s="2"/>
      <c r="N44" s="2"/>
      <c r="O44" s="2"/>
      <c r="P44" s="6">
        <f t="shared" si="0"/>
        <v>0</v>
      </c>
      <c r="R44" s="3"/>
    </row>
    <row r="45" spans="2:18" x14ac:dyDescent="0.25">
      <c r="B45" s="116" t="s">
        <v>126</v>
      </c>
      <c r="C45" s="1" t="s">
        <v>235</v>
      </c>
      <c r="D45" s="136" t="s">
        <v>197</v>
      </c>
      <c r="E45" s="2">
        <v>5</v>
      </c>
      <c r="F45" s="2">
        <v>1</v>
      </c>
      <c r="G45" s="2">
        <v>0</v>
      </c>
      <c r="H45" s="2">
        <v>0</v>
      </c>
      <c r="I45" s="2" t="s">
        <v>166</v>
      </c>
      <c r="J45" s="6">
        <f t="shared" si="1"/>
        <v>6</v>
      </c>
      <c r="L45" s="2"/>
      <c r="M45" s="2">
        <v>1</v>
      </c>
      <c r="N45" s="2"/>
      <c r="O45" s="2"/>
      <c r="P45" s="6">
        <f t="shared" si="0"/>
        <v>1</v>
      </c>
      <c r="R45" s="3"/>
    </row>
    <row r="46" spans="2:18" x14ac:dyDescent="0.25">
      <c r="B46" s="116" t="s">
        <v>83</v>
      </c>
      <c r="C46" s="1" t="s">
        <v>84</v>
      </c>
      <c r="D46" s="136" t="s">
        <v>354</v>
      </c>
      <c r="E46" s="2">
        <v>3</v>
      </c>
      <c r="F46" s="2">
        <v>0</v>
      </c>
      <c r="G46" s="2">
        <v>0</v>
      </c>
      <c r="H46" s="2">
        <v>0</v>
      </c>
      <c r="I46" s="2" t="s">
        <v>166</v>
      </c>
      <c r="J46" s="6">
        <f t="shared" si="1"/>
        <v>3</v>
      </c>
      <c r="L46" s="2">
        <v>19</v>
      </c>
      <c r="M46" s="2">
        <v>2</v>
      </c>
      <c r="N46" s="2"/>
      <c r="O46" s="2"/>
      <c r="P46" s="6">
        <f t="shared" si="0"/>
        <v>21</v>
      </c>
      <c r="R46" s="3"/>
    </row>
    <row r="47" spans="2:18" x14ac:dyDescent="0.25">
      <c r="B47" s="116"/>
      <c r="C47" s="2" t="s">
        <v>324</v>
      </c>
      <c r="D47" s="136" t="s">
        <v>324</v>
      </c>
      <c r="E47" s="2">
        <v>1</v>
      </c>
      <c r="F47" s="2">
        <v>0</v>
      </c>
      <c r="G47" s="2">
        <v>0</v>
      </c>
      <c r="H47" s="2">
        <v>0</v>
      </c>
      <c r="I47" s="2" t="s">
        <v>166</v>
      </c>
      <c r="J47" s="6">
        <f t="shared" si="1"/>
        <v>1</v>
      </c>
      <c r="L47" s="2"/>
      <c r="M47" s="2"/>
      <c r="N47" s="2"/>
      <c r="O47" s="2"/>
      <c r="P47" s="6">
        <f t="shared" si="0"/>
        <v>0</v>
      </c>
      <c r="R47" s="3"/>
    </row>
    <row r="48" spans="2:18" x14ac:dyDescent="0.25">
      <c r="B48" s="116" t="s">
        <v>166</v>
      </c>
      <c r="C48" s="127" t="s">
        <v>61</v>
      </c>
      <c r="D48" s="127" t="s">
        <v>61</v>
      </c>
      <c r="E48" s="2">
        <v>4</v>
      </c>
      <c r="F48" s="2">
        <v>2</v>
      </c>
      <c r="G48" s="2">
        <v>0</v>
      </c>
      <c r="H48" s="2">
        <v>0</v>
      </c>
      <c r="I48" s="2"/>
      <c r="J48" s="6">
        <f t="shared" si="1"/>
        <v>6</v>
      </c>
      <c r="L48" s="2"/>
      <c r="M48" s="2"/>
      <c r="N48" s="2"/>
      <c r="O48" s="2"/>
      <c r="P48" s="6">
        <f t="shared" si="0"/>
        <v>0</v>
      </c>
      <c r="R48" s="3"/>
    </row>
    <row r="49" spans="2:22" x14ac:dyDescent="0.25">
      <c r="B49" s="116" t="s">
        <v>166</v>
      </c>
      <c r="C49" s="2" t="s">
        <v>195</v>
      </c>
      <c r="D49" s="136" t="s">
        <v>195</v>
      </c>
      <c r="E49" s="2">
        <v>3</v>
      </c>
      <c r="F49" s="2">
        <v>1</v>
      </c>
      <c r="G49" s="2">
        <v>0</v>
      </c>
      <c r="H49" s="2">
        <v>0</v>
      </c>
      <c r="I49" s="2" t="s">
        <v>166</v>
      </c>
      <c r="J49" s="6">
        <f t="shared" ref="J49" si="2">SUM(E49:I49)</f>
        <v>4</v>
      </c>
      <c r="L49" s="2"/>
      <c r="M49" s="2"/>
      <c r="N49" s="2"/>
      <c r="O49" s="2"/>
      <c r="P49" s="6">
        <f t="shared" si="0"/>
        <v>0</v>
      </c>
      <c r="R49" s="3"/>
    </row>
    <row r="50" spans="2:22" x14ac:dyDescent="0.25">
      <c r="B50" s="116" t="s">
        <v>67</v>
      </c>
      <c r="C50" s="1" t="s">
        <v>68</v>
      </c>
      <c r="D50" s="136" t="s">
        <v>68</v>
      </c>
      <c r="E50" s="2">
        <v>2</v>
      </c>
      <c r="F50" s="2">
        <v>1</v>
      </c>
      <c r="G50" s="2">
        <v>0</v>
      </c>
      <c r="H50" s="2">
        <v>0</v>
      </c>
      <c r="I50" s="2" t="s">
        <v>166</v>
      </c>
      <c r="J50" s="6">
        <f t="shared" si="1"/>
        <v>3</v>
      </c>
      <c r="L50" s="2"/>
      <c r="M50" s="2"/>
      <c r="N50" s="2"/>
      <c r="O50" s="2"/>
      <c r="P50" s="6">
        <f t="shared" si="0"/>
        <v>0</v>
      </c>
      <c r="R50" s="3"/>
    </row>
    <row r="51" spans="2:22" x14ac:dyDescent="0.25">
      <c r="B51" s="116" t="s">
        <v>166</v>
      </c>
      <c r="C51" s="2" t="s">
        <v>194</v>
      </c>
      <c r="D51" s="136" t="s">
        <v>194</v>
      </c>
      <c r="E51" s="2">
        <v>4</v>
      </c>
      <c r="F51" s="2">
        <v>2</v>
      </c>
      <c r="G51" s="2">
        <v>0</v>
      </c>
      <c r="H51" s="2">
        <v>0</v>
      </c>
      <c r="I51" s="2" t="s">
        <v>166</v>
      </c>
      <c r="J51" s="6">
        <f t="shared" ref="J51" si="3">SUM(E51:I51)</f>
        <v>6</v>
      </c>
      <c r="L51" s="2"/>
      <c r="M51" s="2"/>
      <c r="N51" s="2"/>
      <c r="O51" s="2"/>
      <c r="P51" s="6">
        <f t="shared" si="0"/>
        <v>0</v>
      </c>
      <c r="R51" s="3"/>
    </row>
    <row r="52" spans="2:22" x14ac:dyDescent="0.25">
      <c r="B52" s="116" t="s">
        <v>103</v>
      </c>
      <c r="C52" s="1" t="s">
        <v>198</v>
      </c>
      <c r="D52" s="138" t="s">
        <v>198</v>
      </c>
      <c r="E52" s="2">
        <v>3</v>
      </c>
      <c r="F52" s="2">
        <v>0</v>
      </c>
      <c r="G52" s="2">
        <v>0</v>
      </c>
      <c r="H52" s="2">
        <v>0</v>
      </c>
      <c r="I52" s="2" t="s">
        <v>166</v>
      </c>
      <c r="J52" s="6">
        <f t="shared" si="1"/>
        <v>3</v>
      </c>
      <c r="L52" s="2"/>
      <c r="M52" s="2"/>
      <c r="N52" s="2"/>
      <c r="O52" s="2"/>
      <c r="P52" s="6">
        <f t="shared" si="0"/>
        <v>0</v>
      </c>
      <c r="R52" s="3"/>
    </row>
    <row r="53" spans="2:22" x14ac:dyDescent="0.25">
      <c r="B53" s="116" t="s">
        <v>100</v>
      </c>
      <c r="C53" s="1" t="s">
        <v>101</v>
      </c>
      <c r="D53" s="136" t="s">
        <v>101</v>
      </c>
      <c r="E53" s="2">
        <v>14</v>
      </c>
      <c r="F53" s="2">
        <v>1</v>
      </c>
      <c r="G53" s="2">
        <v>1</v>
      </c>
      <c r="H53" s="2">
        <v>0</v>
      </c>
      <c r="I53" s="2" t="s">
        <v>166</v>
      </c>
      <c r="J53" s="6">
        <f t="shared" si="1"/>
        <v>16</v>
      </c>
      <c r="L53" s="2"/>
      <c r="M53" s="2"/>
      <c r="N53" s="2"/>
      <c r="O53" s="2"/>
      <c r="P53" s="6">
        <f t="shared" si="0"/>
        <v>0</v>
      </c>
      <c r="R53" s="3"/>
    </row>
    <row r="54" spans="2:22" x14ac:dyDescent="0.25">
      <c r="C54" s="1"/>
      <c r="D54" s="136" t="s">
        <v>342</v>
      </c>
      <c r="E54" s="2">
        <v>3</v>
      </c>
      <c r="F54" s="2">
        <v>0</v>
      </c>
      <c r="G54" s="2">
        <v>0</v>
      </c>
      <c r="H54" s="2">
        <v>0</v>
      </c>
      <c r="I54" s="2"/>
      <c r="J54" s="6">
        <f t="shared" si="1"/>
        <v>3</v>
      </c>
      <c r="L54" s="2"/>
      <c r="M54" s="2"/>
      <c r="N54" s="2"/>
      <c r="O54" s="2"/>
      <c r="P54" s="6">
        <f t="shared" si="0"/>
        <v>0</v>
      </c>
      <c r="R54" s="3"/>
    </row>
    <row r="55" spans="2:22" x14ac:dyDescent="0.25">
      <c r="C55" s="1"/>
      <c r="D55" s="136" t="s">
        <v>343</v>
      </c>
      <c r="E55" s="2">
        <v>10</v>
      </c>
      <c r="F55" s="2">
        <v>3</v>
      </c>
      <c r="G55" s="2">
        <v>0</v>
      </c>
      <c r="H55" s="2">
        <v>0</v>
      </c>
      <c r="I55" s="2"/>
      <c r="J55" s="6">
        <f t="shared" si="1"/>
        <v>13</v>
      </c>
      <c r="L55" s="2">
        <v>1</v>
      </c>
      <c r="M55" s="2"/>
      <c r="N55" s="2">
        <v>1</v>
      </c>
      <c r="O55" s="2"/>
      <c r="P55" s="6">
        <f t="shared" si="0"/>
        <v>2</v>
      </c>
      <c r="R55" s="3"/>
    </row>
    <row r="56" spans="2:22" x14ac:dyDescent="0.25">
      <c r="C56" s="2"/>
      <c r="D56" s="139" t="s">
        <v>232</v>
      </c>
      <c r="E56" s="6">
        <f>SUM(E4:E55)</f>
        <v>443</v>
      </c>
      <c r="F56" s="6">
        <f t="shared" ref="F56:J56" si="4">SUM(F4:F55)</f>
        <v>107</v>
      </c>
      <c r="G56" s="6">
        <f t="shared" si="4"/>
        <v>14</v>
      </c>
      <c r="H56" s="6">
        <f t="shared" si="4"/>
        <v>2</v>
      </c>
      <c r="I56" s="6">
        <f t="shared" si="4"/>
        <v>0</v>
      </c>
      <c r="J56" s="6">
        <f t="shared" si="4"/>
        <v>566</v>
      </c>
      <c r="K56" s="7"/>
      <c r="L56" s="6">
        <f t="shared" ref="L56" si="5">SUM(L4:L55)</f>
        <v>39</v>
      </c>
      <c r="M56" s="6">
        <f t="shared" ref="M56" si="6">SUM(M4:M55)</f>
        <v>9</v>
      </c>
      <c r="N56" s="6">
        <f t="shared" ref="N56" si="7">SUM(N4:N55)</f>
        <v>2</v>
      </c>
      <c r="O56" s="6">
        <f t="shared" ref="O56" si="8">SUM(O4:O55)</f>
        <v>0</v>
      </c>
      <c r="P56" s="6">
        <f t="shared" ref="P56" si="9">SUM(P4:P55)</f>
        <v>50</v>
      </c>
      <c r="V56" s="127"/>
    </row>
    <row r="58" spans="2:22" s="143" customFormat="1" x14ac:dyDescent="0.25">
      <c r="D58" s="171" t="s">
        <v>193</v>
      </c>
      <c r="E58" s="2">
        <v>4</v>
      </c>
      <c r="F58" s="2">
        <v>2</v>
      </c>
      <c r="G58" s="2">
        <v>1</v>
      </c>
      <c r="H58" s="2">
        <v>2</v>
      </c>
      <c r="I58" s="166">
        <v>0</v>
      </c>
      <c r="J58" s="166">
        <f>SUM(E58:I58)</f>
        <v>9</v>
      </c>
      <c r="L58" s="155"/>
      <c r="M58" s="155"/>
      <c r="N58" s="155">
        <v>2</v>
      </c>
      <c r="O58" s="166"/>
      <c r="P58" s="166"/>
    </row>
    <row r="59" spans="2:22" x14ac:dyDescent="0.25">
      <c r="D59" s="140"/>
      <c r="E59" s="111"/>
      <c r="F59" s="111"/>
      <c r="G59" s="111"/>
      <c r="H59" s="111"/>
      <c r="I59" s="111"/>
      <c r="J59" s="111"/>
    </row>
    <row r="60" spans="2:22" x14ac:dyDescent="0.25">
      <c r="D60" s="141" t="s">
        <v>236</v>
      </c>
      <c r="E60" s="128">
        <f>E56+E58</f>
        <v>447</v>
      </c>
      <c r="F60" s="128">
        <f t="shared" ref="F60:J60" si="10">F56+F58</f>
        <v>109</v>
      </c>
      <c r="G60" s="128">
        <f t="shared" si="10"/>
        <v>15</v>
      </c>
      <c r="H60" s="128">
        <f t="shared" si="10"/>
        <v>4</v>
      </c>
      <c r="I60" s="128">
        <f t="shared" si="10"/>
        <v>0</v>
      </c>
      <c r="J60" s="128">
        <f t="shared" si="10"/>
        <v>575</v>
      </c>
      <c r="L60" s="111">
        <f>L56+L58</f>
        <v>39</v>
      </c>
      <c r="M60" s="111">
        <f t="shared" ref="M60:O60" si="11">M56</f>
        <v>9</v>
      </c>
      <c r="N60" s="111">
        <f>N56+N58</f>
        <v>4</v>
      </c>
      <c r="O60" s="111">
        <f t="shared" si="11"/>
        <v>0</v>
      </c>
      <c r="P60" s="111">
        <f>SUM(L60:O60)</f>
        <v>52</v>
      </c>
    </row>
    <row r="62" spans="2:22" x14ac:dyDescent="0.25">
      <c r="D62" s="142" t="s">
        <v>226</v>
      </c>
      <c r="E62" s="129">
        <f>E13+E29</f>
        <v>19</v>
      </c>
      <c r="F62" s="129">
        <f t="shared" ref="F62:G62" si="12">F13+F29</f>
        <v>5</v>
      </c>
      <c r="G62" s="129">
        <f t="shared" si="12"/>
        <v>1</v>
      </c>
      <c r="H62" s="129">
        <f>H13+H29</f>
        <v>2</v>
      </c>
      <c r="I62" s="129">
        <v>0</v>
      </c>
      <c r="J62" s="129">
        <f>J13+J29</f>
        <v>27</v>
      </c>
      <c r="L62" s="111">
        <f>L29</f>
        <v>0</v>
      </c>
      <c r="M62" s="111">
        <f t="shared" ref="M62:P62" si="13">M29</f>
        <v>0</v>
      </c>
      <c r="N62" s="111">
        <f t="shared" si="13"/>
        <v>0</v>
      </c>
      <c r="O62" s="111">
        <f t="shared" si="13"/>
        <v>0</v>
      </c>
      <c r="P62" s="111">
        <f t="shared" si="13"/>
        <v>0</v>
      </c>
    </row>
    <row r="65" spans="4:16" s="103" customFormat="1" ht="45" x14ac:dyDescent="0.25">
      <c r="D65" s="167" t="s">
        <v>331</v>
      </c>
      <c r="E65" s="168">
        <f>E56+E58-E62</f>
        <v>428</v>
      </c>
      <c r="F65" s="168">
        <f t="shared" ref="F65:I65" si="14">F56+F58-F62</f>
        <v>104</v>
      </c>
      <c r="G65" s="168">
        <f t="shared" si="14"/>
        <v>14</v>
      </c>
      <c r="H65" s="168">
        <f>H56+H58-H62</f>
        <v>2</v>
      </c>
      <c r="I65" s="168">
        <f t="shared" si="14"/>
        <v>0</v>
      </c>
      <c r="J65" s="168">
        <f>J56+J58-J62</f>
        <v>548</v>
      </c>
      <c r="K65" s="169"/>
      <c r="L65" s="170">
        <f>L60-L62</f>
        <v>39</v>
      </c>
      <c r="M65" s="170">
        <f t="shared" ref="M65:P65" si="15">M60-M62</f>
        <v>9</v>
      </c>
      <c r="N65" s="170">
        <f t="shared" si="15"/>
        <v>4</v>
      </c>
      <c r="O65" s="170">
        <f t="shared" si="15"/>
        <v>0</v>
      </c>
      <c r="P65" s="170">
        <f t="shared" si="15"/>
        <v>52</v>
      </c>
    </row>
  </sheetData>
  <conditionalFormatting sqref="E58:H58">
    <cfRule type="cellIs" dxfId="10" priority="1" operator="greaterThan">
      <formula>0</formula>
    </cfRule>
  </conditionalFormatting>
  <conditionalFormatting sqref="E4:J56">
    <cfRule type="cellIs" dxfId="9" priority="36" operator="greaterThan">
      <formula>0</formula>
    </cfRule>
  </conditionalFormatting>
  <conditionalFormatting sqref="L4:P56">
    <cfRule type="cellIs" dxfId="8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6F65-A00A-462E-B95E-31891522B7D4}">
  <sheetPr codeName="Sheet4">
    <tabColor rgb="FFFFFF00"/>
  </sheetPr>
  <dimension ref="A1:F51"/>
  <sheetViews>
    <sheetView showGridLines="0" topLeftCell="A30" workbookViewId="0">
      <selection activeCell="E30" sqref="E30"/>
    </sheetView>
  </sheetViews>
  <sheetFormatPr defaultRowHeight="15" x14ac:dyDescent="0.25"/>
  <cols>
    <col min="1" max="1" width="22.42578125" bestFit="1" customWidth="1"/>
    <col min="2" max="2" width="22.42578125" customWidth="1"/>
    <col min="3" max="4" width="8.28515625" bestFit="1" customWidth="1"/>
    <col min="5" max="5" width="7" bestFit="1" customWidth="1"/>
  </cols>
  <sheetData>
    <row r="1" spans="1:6" ht="30" x14ac:dyDescent="0.25">
      <c r="A1" s="87" t="s">
        <v>237</v>
      </c>
      <c r="B1" s="87" t="s">
        <v>10</v>
      </c>
      <c r="C1" s="87" t="s">
        <v>238</v>
      </c>
      <c r="D1" s="87" t="s">
        <v>17</v>
      </c>
      <c r="E1" s="87" t="s">
        <v>239</v>
      </c>
      <c r="F1" s="104"/>
    </row>
    <row r="2" spans="1:6" x14ac:dyDescent="0.25">
      <c r="A2" s="88" t="s">
        <v>91</v>
      </c>
      <c r="B2" s="88" t="s">
        <v>91</v>
      </c>
      <c r="C2" s="88" t="s">
        <v>207</v>
      </c>
      <c r="D2" s="88" t="s">
        <v>240</v>
      </c>
      <c r="E2" s="88">
        <v>27000</v>
      </c>
    </row>
    <row r="3" spans="1:6" x14ac:dyDescent="0.25">
      <c r="A3" s="88" t="s">
        <v>155</v>
      </c>
      <c r="B3" s="88" t="s">
        <v>155</v>
      </c>
      <c r="C3" s="88" t="s">
        <v>207</v>
      </c>
      <c r="D3" s="88" t="s">
        <v>240</v>
      </c>
      <c r="E3" s="88">
        <v>57300</v>
      </c>
    </row>
    <row r="4" spans="1:6" x14ac:dyDescent="0.25">
      <c r="A4" s="88" t="s">
        <v>98</v>
      </c>
      <c r="B4" s="88" t="s">
        <v>98</v>
      </c>
      <c r="C4" s="88" t="s">
        <v>207</v>
      </c>
      <c r="D4" s="88" t="s">
        <v>240</v>
      </c>
      <c r="E4" s="88">
        <v>176000</v>
      </c>
    </row>
    <row r="5" spans="1:6" x14ac:dyDescent="0.25">
      <c r="A5" s="88" t="s">
        <v>137</v>
      </c>
      <c r="B5" s="88" t="s">
        <v>233</v>
      </c>
      <c r="C5" s="88" t="s">
        <v>207</v>
      </c>
      <c r="D5" s="88" t="s">
        <v>240</v>
      </c>
      <c r="E5" s="88">
        <v>69700</v>
      </c>
    </row>
    <row r="6" spans="1:6" x14ac:dyDescent="0.25">
      <c r="A6" s="88" t="s">
        <v>157</v>
      </c>
      <c r="B6" s="88" t="s">
        <v>157</v>
      </c>
      <c r="C6" s="88" t="s">
        <v>206</v>
      </c>
      <c r="D6" s="88" t="s">
        <v>240</v>
      </c>
      <c r="E6" s="88">
        <v>58700</v>
      </c>
    </row>
    <row r="7" spans="1:6" x14ac:dyDescent="0.25">
      <c r="A7" s="88" t="s">
        <v>125</v>
      </c>
      <c r="B7" s="88" t="s">
        <v>125</v>
      </c>
      <c r="C7" s="88" t="s">
        <v>207</v>
      </c>
      <c r="D7" s="88" t="s">
        <v>240</v>
      </c>
      <c r="E7" s="88">
        <v>33320</v>
      </c>
    </row>
    <row r="8" spans="1:6" x14ac:dyDescent="0.25">
      <c r="A8" s="88" t="s">
        <v>147</v>
      </c>
      <c r="B8" s="88" t="s">
        <v>146</v>
      </c>
      <c r="C8" s="88" t="s">
        <v>241</v>
      </c>
      <c r="D8" s="88" t="s">
        <v>242</v>
      </c>
      <c r="E8" s="88">
        <v>19000</v>
      </c>
    </row>
    <row r="9" spans="1:6" x14ac:dyDescent="0.25">
      <c r="A9" s="88" t="s">
        <v>74</v>
      </c>
      <c r="B9" s="88" t="s">
        <v>74</v>
      </c>
      <c r="C9" s="88" t="s">
        <v>241</v>
      </c>
      <c r="D9" s="88" t="s">
        <v>242</v>
      </c>
      <c r="E9" s="88">
        <v>45000</v>
      </c>
    </row>
    <row r="10" spans="1:6" x14ac:dyDescent="0.25">
      <c r="A10" s="88" t="s">
        <v>132</v>
      </c>
      <c r="B10" s="88" t="s">
        <v>132</v>
      </c>
      <c r="C10" s="88" t="s">
        <v>241</v>
      </c>
      <c r="D10" s="88" t="s">
        <v>242</v>
      </c>
      <c r="E10" s="88">
        <v>60000</v>
      </c>
    </row>
    <row r="11" spans="1:6" x14ac:dyDescent="0.25">
      <c r="A11" s="88" t="s">
        <v>140</v>
      </c>
      <c r="B11" s="88" t="s">
        <v>139</v>
      </c>
      <c r="C11" s="88" t="s">
        <v>241</v>
      </c>
      <c r="D11" s="88" t="s">
        <v>242</v>
      </c>
      <c r="E11" s="88">
        <v>23000</v>
      </c>
    </row>
    <row r="12" spans="1:6" x14ac:dyDescent="0.25">
      <c r="A12" s="88" t="s">
        <v>165</v>
      </c>
      <c r="B12" s="88" t="s">
        <v>165</v>
      </c>
      <c r="C12" s="88" t="s">
        <v>241</v>
      </c>
      <c r="D12" s="88" t="s">
        <v>242</v>
      </c>
      <c r="E12" s="88">
        <v>68000</v>
      </c>
    </row>
    <row r="13" spans="1:6" x14ac:dyDescent="0.25">
      <c r="A13" s="88" t="s">
        <v>101</v>
      </c>
      <c r="B13" s="88" t="s">
        <v>101</v>
      </c>
      <c r="C13" s="88" t="s">
        <v>241</v>
      </c>
      <c r="D13" s="88" t="s">
        <v>242</v>
      </c>
      <c r="E13" s="88">
        <v>45000</v>
      </c>
    </row>
    <row r="14" spans="1:6" x14ac:dyDescent="0.25">
      <c r="A14" s="88" t="s">
        <v>129</v>
      </c>
      <c r="B14" s="88" t="s">
        <v>129</v>
      </c>
      <c r="C14" s="88" t="s">
        <v>212</v>
      </c>
      <c r="D14" s="88" t="s">
        <v>58</v>
      </c>
      <c r="E14" s="88">
        <v>60000</v>
      </c>
    </row>
    <row r="15" spans="1:6" x14ac:dyDescent="0.25">
      <c r="A15" s="88" t="s">
        <v>150</v>
      </c>
      <c r="B15" s="88" t="s">
        <v>149</v>
      </c>
      <c r="C15" s="88" t="s">
        <v>212</v>
      </c>
      <c r="D15" s="88" t="s">
        <v>58</v>
      </c>
      <c r="E15" s="88">
        <v>59000</v>
      </c>
    </row>
    <row r="16" spans="1:6" x14ac:dyDescent="0.25">
      <c r="A16" s="88" t="s">
        <v>173</v>
      </c>
      <c r="B16" s="88" t="s">
        <v>172</v>
      </c>
      <c r="C16" s="88" t="s">
        <v>212</v>
      </c>
      <c r="D16" s="88" t="s">
        <v>58</v>
      </c>
      <c r="E16" s="88">
        <v>54000</v>
      </c>
    </row>
    <row r="17" spans="1:5" x14ac:dyDescent="0.25">
      <c r="A17" s="88" t="s">
        <v>56</v>
      </c>
      <c r="B17" s="88" t="s">
        <v>55</v>
      </c>
      <c r="C17" s="88" t="s">
        <v>212</v>
      </c>
      <c r="D17" s="88" t="s">
        <v>58</v>
      </c>
      <c r="E17" s="88">
        <v>83000</v>
      </c>
    </row>
    <row r="18" spans="1:5" x14ac:dyDescent="0.25">
      <c r="A18" s="88" t="s">
        <v>144</v>
      </c>
      <c r="B18" s="88" t="s">
        <v>143</v>
      </c>
      <c r="C18" s="88" t="s">
        <v>214</v>
      </c>
      <c r="D18" s="88" t="s">
        <v>243</v>
      </c>
      <c r="E18" s="88">
        <v>51800</v>
      </c>
    </row>
    <row r="19" spans="1:5" x14ac:dyDescent="0.25">
      <c r="A19" s="88" t="s">
        <v>135</v>
      </c>
      <c r="B19" s="88" t="s">
        <v>135</v>
      </c>
      <c r="C19" s="88" t="s">
        <v>214</v>
      </c>
      <c r="D19" s="88" t="s">
        <v>243</v>
      </c>
      <c r="E19" s="88">
        <v>60000</v>
      </c>
    </row>
    <row r="20" spans="1:5" x14ac:dyDescent="0.25">
      <c r="A20" s="88" t="s">
        <v>105</v>
      </c>
      <c r="B20" s="88" t="s">
        <v>166</v>
      </c>
      <c r="C20" s="88" t="s">
        <v>214</v>
      </c>
      <c r="D20" s="88" t="s">
        <v>243</v>
      </c>
      <c r="E20" s="88">
        <v>50000</v>
      </c>
    </row>
    <row r="21" spans="1:5" x14ac:dyDescent="0.25">
      <c r="A21" s="88" t="s">
        <v>47</v>
      </c>
      <c r="B21" s="88" t="s">
        <v>46</v>
      </c>
      <c r="C21" s="88" t="s">
        <v>214</v>
      </c>
      <c r="D21" s="88" t="s">
        <v>243</v>
      </c>
      <c r="E21" s="88">
        <v>51800</v>
      </c>
    </row>
    <row r="22" spans="1:5" x14ac:dyDescent="0.25">
      <c r="A22" s="88" t="s">
        <v>85</v>
      </c>
      <c r="B22" s="88" t="s">
        <v>84</v>
      </c>
      <c r="C22" s="88" t="s">
        <v>214</v>
      </c>
      <c r="D22" s="88" t="s">
        <v>243</v>
      </c>
      <c r="E22" s="88">
        <v>54000</v>
      </c>
    </row>
    <row r="23" spans="1:5" x14ac:dyDescent="0.25">
      <c r="A23" s="88" t="s">
        <v>123</v>
      </c>
      <c r="B23" s="88" t="s">
        <v>166</v>
      </c>
      <c r="C23" s="88" t="s">
        <v>214</v>
      </c>
      <c r="D23" s="88" t="s">
        <v>243</v>
      </c>
      <c r="E23" s="88">
        <v>25000</v>
      </c>
    </row>
    <row r="24" spans="1:5" x14ac:dyDescent="0.25">
      <c r="A24" s="88" t="s">
        <v>68</v>
      </c>
      <c r="B24" s="88" t="s">
        <v>68</v>
      </c>
      <c r="C24" s="88" t="s">
        <v>214</v>
      </c>
      <c r="D24" s="88" t="s">
        <v>243</v>
      </c>
      <c r="E24" s="88">
        <v>60000</v>
      </c>
    </row>
    <row r="25" spans="1:5" x14ac:dyDescent="0.25">
      <c r="A25" s="88" t="s">
        <v>115</v>
      </c>
      <c r="B25" s="88" t="s">
        <v>115</v>
      </c>
      <c r="C25" s="88" t="s">
        <v>244</v>
      </c>
      <c r="D25" s="88" t="s">
        <v>38</v>
      </c>
      <c r="E25" s="88">
        <v>70000</v>
      </c>
    </row>
    <row r="26" spans="1:5" x14ac:dyDescent="0.25">
      <c r="A26" s="88" t="s">
        <v>113</v>
      </c>
      <c r="B26" s="88" t="s">
        <v>113</v>
      </c>
      <c r="C26" s="88" t="s">
        <v>206</v>
      </c>
      <c r="D26" s="88" t="s">
        <v>38</v>
      </c>
      <c r="E26" s="88">
        <v>70000</v>
      </c>
    </row>
    <row r="27" spans="1:5" x14ac:dyDescent="0.25">
      <c r="A27" s="88" t="s">
        <v>34</v>
      </c>
      <c r="B27" s="88" t="s">
        <v>34</v>
      </c>
      <c r="C27" s="88" t="s">
        <v>244</v>
      </c>
      <c r="D27" s="88" t="s">
        <v>38</v>
      </c>
      <c r="E27" s="88">
        <v>43500</v>
      </c>
    </row>
    <row r="28" spans="1:5" x14ac:dyDescent="0.25">
      <c r="A28" s="88" t="s">
        <v>78</v>
      </c>
      <c r="B28" s="88" t="s">
        <v>77</v>
      </c>
      <c r="C28" s="88" t="s">
        <v>244</v>
      </c>
      <c r="D28" s="88" t="s">
        <v>38</v>
      </c>
      <c r="E28" s="88">
        <v>54000</v>
      </c>
    </row>
    <row r="29" spans="1:5" x14ac:dyDescent="0.25">
      <c r="A29" s="88" t="s">
        <v>82</v>
      </c>
      <c r="B29" s="88" t="s">
        <v>82</v>
      </c>
      <c r="C29" s="88" t="s">
        <v>244</v>
      </c>
      <c r="D29" s="88" t="s">
        <v>38</v>
      </c>
      <c r="E29" s="88">
        <v>69000</v>
      </c>
    </row>
    <row r="30" spans="1:5" x14ac:dyDescent="0.25">
      <c r="A30" s="88" t="s">
        <v>64</v>
      </c>
      <c r="B30" s="88" t="s">
        <v>63</v>
      </c>
      <c r="C30" s="88" t="s">
        <v>244</v>
      </c>
      <c r="D30" s="88" t="s">
        <v>38</v>
      </c>
      <c r="E30" s="88">
        <v>55000</v>
      </c>
    </row>
    <row r="31" spans="1:5" x14ac:dyDescent="0.25">
      <c r="A31" s="88" t="s">
        <v>60</v>
      </c>
      <c r="B31" s="88" t="s">
        <v>60</v>
      </c>
      <c r="C31" s="88" t="s">
        <v>244</v>
      </c>
      <c r="D31" s="88" t="s">
        <v>38</v>
      </c>
      <c r="E31" s="88">
        <v>32000</v>
      </c>
    </row>
    <row r="32" spans="1:5" x14ac:dyDescent="0.25">
      <c r="A32" s="89" t="s">
        <v>159</v>
      </c>
      <c r="B32" s="88" t="s">
        <v>159</v>
      </c>
      <c r="C32" s="88" t="s">
        <v>206</v>
      </c>
      <c r="D32" s="88" t="s">
        <v>38</v>
      </c>
      <c r="E32" s="88">
        <v>56000</v>
      </c>
    </row>
    <row r="33" spans="1:5" x14ac:dyDescent="0.25">
      <c r="A33" s="88" t="s">
        <v>120</v>
      </c>
      <c r="B33" s="88" t="s">
        <v>120</v>
      </c>
      <c r="C33" s="88" t="s">
        <v>244</v>
      </c>
      <c r="D33" s="88" t="s">
        <v>38</v>
      </c>
      <c r="E33" s="88">
        <v>41000</v>
      </c>
    </row>
    <row r="34" spans="1:5" x14ac:dyDescent="0.25">
      <c r="A34" s="88" t="s">
        <v>117</v>
      </c>
      <c r="B34" s="88" t="s">
        <v>117</v>
      </c>
      <c r="C34" s="88" t="s">
        <v>206</v>
      </c>
      <c r="D34" s="88" t="s">
        <v>44</v>
      </c>
      <c r="E34" s="88">
        <v>33000</v>
      </c>
    </row>
    <row r="35" spans="1:5" x14ac:dyDescent="0.25">
      <c r="A35" s="88" t="s">
        <v>71</v>
      </c>
      <c r="B35" s="88" t="s">
        <v>71</v>
      </c>
      <c r="C35" s="88" t="s">
        <v>206</v>
      </c>
      <c r="D35" s="88" t="s">
        <v>44</v>
      </c>
      <c r="E35" s="88">
        <v>26600</v>
      </c>
    </row>
    <row r="36" spans="1:5" x14ac:dyDescent="0.25">
      <c r="A36" s="88" t="s">
        <v>110</v>
      </c>
      <c r="B36" s="88" t="s">
        <v>166</v>
      </c>
      <c r="C36" s="88" t="s">
        <v>206</v>
      </c>
      <c r="D36" s="88" t="s">
        <v>44</v>
      </c>
      <c r="E36" s="88">
        <v>50000</v>
      </c>
    </row>
    <row r="37" spans="1:5" x14ac:dyDescent="0.25">
      <c r="A37" s="88" t="s">
        <v>95</v>
      </c>
      <c r="B37" s="88" t="s">
        <v>95</v>
      </c>
      <c r="C37" s="88" t="s">
        <v>206</v>
      </c>
      <c r="D37" s="88" t="s">
        <v>44</v>
      </c>
      <c r="E37" s="88">
        <v>65000</v>
      </c>
    </row>
    <row r="38" spans="1:5" x14ac:dyDescent="0.25">
      <c r="A38" s="88" t="s">
        <v>162</v>
      </c>
      <c r="B38" s="88" t="s">
        <v>162</v>
      </c>
      <c r="C38" s="88" t="s">
        <v>206</v>
      </c>
      <c r="D38" s="88" t="s">
        <v>44</v>
      </c>
      <c r="E38" s="88">
        <v>62000</v>
      </c>
    </row>
    <row r="39" spans="1:5" x14ac:dyDescent="0.25">
      <c r="A39" s="88" t="s">
        <v>88</v>
      </c>
      <c r="B39" s="88" t="s">
        <v>87</v>
      </c>
      <c r="C39" s="88" t="s">
        <v>206</v>
      </c>
      <c r="D39" s="88" t="s">
        <v>44</v>
      </c>
      <c r="E39" s="88">
        <v>22000</v>
      </c>
    </row>
    <row r="40" spans="1:5" x14ac:dyDescent="0.25">
      <c r="A40" s="88" t="s">
        <v>40</v>
      </c>
      <c r="B40" s="88" t="s">
        <v>40</v>
      </c>
      <c r="C40" s="88" t="s">
        <v>206</v>
      </c>
      <c r="D40" s="88" t="s">
        <v>44</v>
      </c>
      <c r="E40" s="88">
        <v>74000</v>
      </c>
    </row>
    <row r="41" spans="1:5" x14ac:dyDescent="0.25">
      <c r="A41" s="88" t="s">
        <v>66</v>
      </c>
      <c r="B41" s="88" t="s">
        <v>66</v>
      </c>
      <c r="C41" s="88" t="s">
        <v>206</v>
      </c>
      <c r="D41" s="88" t="s">
        <v>44</v>
      </c>
      <c r="E41" s="88">
        <v>21000</v>
      </c>
    </row>
    <row r="42" spans="1:5" x14ac:dyDescent="0.25">
      <c r="A42" s="88" t="s">
        <v>51</v>
      </c>
      <c r="B42" s="88" t="s">
        <v>166</v>
      </c>
      <c r="C42" s="88" t="s">
        <v>206</v>
      </c>
      <c r="D42" s="88" t="s">
        <v>44</v>
      </c>
      <c r="E42" s="88">
        <v>21400</v>
      </c>
    </row>
    <row r="43" spans="1:5" x14ac:dyDescent="0.25">
      <c r="A43" s="88" t="s">
        <v>127</v>
      </c>
      <c r="B43" s="88" t="s">
        <v>127</v>
      </c>
      <c r="C43" s="88" t="s">
        <v>207</v>
      </c>
      <c r="D43" s="88" t="s">
        <v>44</v>
      </c>
      <c r="E43" s="88">
        <v>54000</v>
      </c>
    </row>
    <row r="44" spans="1:5" x14ac:dyDescent="0.25">
      <c r="A44" s="88" t="s">
        <v>176</v>
      </c>
      <c r="B44" s="88" t="s">
        <v>175</v>
      </c>
      <c r="C44" s="88" t="s">
        <v>206</v>
      </c>
      <c r="D44" s="88" t="s">
        <v>44</v>
      </c>
      <c r="E44" s="88">
        <f>20400+21200</f>
        <v>41600</v>
      </c>
    </row>
    <row r="45" spans="1:5" x14ac:dyDescent="0.25">
      <c r="A45" s="88" t="s">
        <v>181</v>
      </c>
      <c r="B45" s="88" t="s">
        <v>180</v>
      </c>
      <c r="C45" s="88" t="s">
        <v>206</v>
      </c>
      <c r="D45" s="88" t="s">
        <v>44</v>
      </c>
      <c r="E45" s="88">
        <v>32000</v>
      </c>
    </row>
    <row r="46" spans="1:5" x14ac:dyDescent="0.25">
      <c r="A46" s="88" t="s">
        <v>107</v>
      </c>
      <c r="B46" s="88" t="s">
        <v>166</v>
      </c>
      <c r="C46" s="88" t="s">
        <v>206</v>
      </c>
      <c r="D46" s="88" t="s">
        <v>44</v>
      </c>
      <c r="E46" s="88">
        <v>60000</v>
      </c>
    </row>
    <row r="47" spans="1:5" x14ac:dyDescent="0.25">
      <c r="A47" s="90" t="s">
        <v>184</v>
      </c>
      <c r="B47" s="88" t="s">
        <v>166</v>
      </c>
      <c r="C47" s="88" t="s">
        <v>245</v>
      </c>
      <c r="D47" s="90"/>
      <c r="E47" s="88">
        <v>97346</v>
      </c>
    </row>
    <row r="48" spans="1:5" x14ac:dyDescent="0.25">
      <c r="A48" s="90" t="s">
        <v>246</v>
      </c>
      <c r="B48" s="88" t="s">
        <v>166</v>
      </c>
      <c r="C48" s="88" t="s">
        <v>79</v>
      </c>
      <c r="D48" s="88" t="s">
        <v>79</v>
      </c>
      <c r="E48" s="90" t="s">
        <v>79</v>
      </c>
    </row>
    <row r="49" spans="1:5" x14ac:dyDescent="0.25">
      <c r="A49" s="90" t="s">
        <v>190</v>
      </c>
      <c r="B49" s="88" t="s">
        <v>166</v>
      </c>
      <c r="C49" s="90"/>
      <c r="D49" s="90"/>
      <c r="E49" s="88">
        <v>60000</v>
      </c>
    </row>
    <row r="50" spans="1:5" x14ac:dyDescent="0.25">
      <c r="A50" s="91" t="s">
        <v>187</v>
      </c>
      <c r="B50" s="91" t="s">
        <v>187</v>
      </c>
      <c r="C50" s="88" t="s">
        <v>79</v>
      </c>
      <c r="D50" s="90" t="s">
        <v>79</v>
      </c>
      <c r="E50" s="90">
        <v>83000</v>
      </c>
    </row>
    <row r="51" spans="1:5" x14ac:dyDescent="0.25">
      <c r="A51" s="92" t="s">
        <v>170</v>
      </c>
      <c r="B51" s="92" t="s">
        <v>170</v>
      </c>
      <c r="C51" s="88" t="s">
        <v>212</v>
      </c>
      <c r="D51" s="88" t="s">
        <v>58</v>
      </c>
      <c r="E51" s="88">
        <v>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8A97-333D-4E89-9F04-9295767442CD}">
  <sheetPr codeName="Sheet5">
    <tabColor rgb="FF002060"/>
  </sheetPr>
  <dimension ref="A1:AU88"/>
  <sheetViews>
    <sheetView showGridLines="0" workbookViewId="0">
      <pane xSplit="9" ySplit="3" topLeftCell="J4" activePane="bottomRight" state="frozen"/>
      <selection pane="topRight" activeCell="F1" sqref="F1"/>
      <selection pane="bottomLeft" activeCell="A4" sqref="A4"/>
      <selection pane="bottomRight" activeCell="Q4" sqref="Q4"/>
    </sheetView>
  </sheetViews>
  <sheetFormatPr defaultRowHeight="15" outlineLevelRow="1" outlineLevelCol="1" x14ac:dyDescent="0.25"/>
  <cols>
    <col min="1" max="1" width="12" bestFit="1" customWidth="1"/>
    <col min="2" max="2" width="24.85546875" bestFit="1" customWidth="1"/>
    <col min="3" max="3" width="24.85546875" customWidth="1"/>
    <col min="4" max="6" width="24.85546875" hidden="1" customWidth="1"/>
    <col min="7" max="7" width="7.140625" customWidth="1"/>
    <col min="8" max="8" width="8.5703125" customWidth="1"/>
    <col min="9" max="9" width="8.28515625" customWidth="1"/>
    <col min="10" max="10" width="9.5703125" style="7" bestFit="1" customWidth="1"/>
    <col min="11" max="11" width="5" bestFit="1" customWidth="1"/>
    <col min="12" max="14" width="5" customWidth="1" outlineLevel="1"/>
    <col min="15" max="15" width="7" style="7" bestFit="1" customWidth="1"/>
    <col min="16" max="16" width="2.7109375" customWidth="1"/>
    <col min="17" max="17" width="4" bestFit="1" customWidth="1"/>
    <col min="18" max="20" width="4" customWidth="1" outlineLevel="1"/>
    <col min="21" max="21" width="7" style="7" bestFit="1" customWidth="1"/>
    <col min="22" max="22" width="2.85546875" customWidth="1"/>
    <col min="23" max="23" width="4.5703125" bestFit="1" customWidth="1"/>
    <col min="24" max="26" width="4.5703125" customWidth="1" outlineLevel="1"/>
    <col min="27" max="27" width="4.7109375" style="7" bestFit="1" customWidth="1"/>
    <col min="28" max="28" width="2.5703125" customWidth="1"/>
    <col min="29" max="29" width="4.85546875" bestFit="1" customWidth="1"/>
    <col min="30" max="32" width="4.85546875" customWidth="1" outlineLevel="1"/>
    <col min="33" max="33" width="11.85546875" style="7" customWidth="1"/>
    <col min="34" max="34" width="4" customWidth="1"/>
    <col min="35" max="38" width="4.85546875" bestFit="1" customWidth="1"/>
    <col min="39" max="39" width="10.7109375" style="7" bestFit="1" customWidth="1"/>
    <col min="40" max="40" width="9.5703125" style="7" customWidth="1"/>
    <col min="41" max="41" width="3.42578125" customWidth="1"/>
    <col min="42" max="42" width="10" customWidth="1"/>
    <col min="43" max="43" width="10.5703125" customWidth="1"/>
    <col min="44" max="44" width="9.5703125" customWidth="1"/>
    <col min="46" max="46" width="9.140625" style="7"/>
    <col min="47" max="47" width="15" style="7" bestFit="1" customWidth="1"/>
  </cols>
  <sheetData>
    <row r="1" spans="1:47" s="7" customFormat="1" ht="15.75" x14ac:dyDescent="0.25">
      <c r="A1" s="107"/>
      <c r="B1" s="109"/>
      <c r="C1" s="107"/>
      <c r="D1" s="107"/>
      <c r="E1" s="107"/>
      <c r="F1" s="107"/>
      <c r="G1" s="107"/>
      <c r="H1" s="107"/>
      <c r="I1" s="107"/>
      <c r="J1" s="216" t="s">
        <v>2</v>
      </c>
      <c r="K1" s="222" t="s">
        <v>3</v>
      </c>
      <c r="L1" s="223"/>
      <c r="M1" s="223"/>
      <c r="N1" s="223"/>
      <c r="O1" s="224"/>
      <c r="P1" s="58"/>
      <c r="Q1" s="222" t="s">
        <v>4</v>
      </c>
      <c r="R1" s="223"/>
      <c r="S1" s="223"/>
      <c r="T1" s="223"/>
      <c r="U1" s="224"/>
      <c r="V1" s="59"/>
      <c r="W1" s="222" t="s">
        <v>5</v>
      </c>
      <c r="X1" s="223"/>
      <c r="Y1" s="223"/>
      <c r="Z1" s="223"/>
      <c r="AA1" s="224"/>
      <c r="AB1" s="59"/>
      <c r="AC1" s="222" t="s">
        <v>6</v>
      </c>
      <c r="AD1" s="223"/>
      <c r="AE1" s="223"/>
      <c r="AF1" s="223"/>
      <c r="AG1" s="224"/>
      <c r="AH1" s="59"/>
      <c r="AI1" s="222" t="s">
        <v>7</v>
      </c>
      <c r="AJ1" s="223"/>
      <c r="AK1" s="223"/>
      <c r="AL1" s="223"/>
      <c r="AM1" s="224"/>
      <c r="AN1" s="60"/>
      <c r="AO1" s="59"/>
      <c r="AP1" s="222" t="s">
        <v>8</v>
      </c>
      <c r="AQ1" s="223"/>
      <c r="AR1" s="223"/>
      <c r="AS1" s="223"/>
      <c r="AT1" s="224"/>
      <c r="AU1" s="60"/>
    </row>
    <row r="2" spans="1:47" x14ac:dyDescent="0.25">
      <c r="A2" s="108"/>
      <c r="B2" s="110"/>
      <c r="C2" s="107"/>
      <c r="D2" s="107"/>
      <c r="E2" s="107"/>
      <c r="F2" s="107"/>
      <c r="G2" s="107"/>
      <c r="H2" s="107"/>
      <c r="I2" s="107"/>
      <c r="J2" s="217"/>
      <c r="K2" s="61">
        <f>SUM(K4:K63)</f>
        <v>2530.625</v>
      </c>
      <c r="L2" s="64">
        <f>SUM(L4:L63)</f>
        <v>2731.2850000000003</v>
      </c>
      <c r="M2" s="16">
        <f>SUM(M4:M63)</f>
        <v>2329.9649999999997</v>
      </c>
      <c r="N2" s="68">
        <f>SUM(N4:N63)</f>
        <v>2530.625</v>
      </c>
      <c r="O2" s="93">
        <f>SUM(O4:O63)</f>
        <v>10122.5</v>
      </c>
      <c r="P2" s="8"/>
      <c r="Q2" s="61">
        <f>SUM(Q4:Q63)</f>
        <v>589.04724279835398</v>
      </c>
      <c r="R2" s="64">
        <f>SUM(R4:R63)</f>
        <v>590.75390946502057</v>
      </c>
      <c r="S2" s="16">
        <f>SUM(S4:S63)</f>
        <v>592.60390946502059</v>
      </c>
      <c r="T2" s="68">
        <f>SUM(T4:T63)</f>
        <v>592.60390946502059</v>
      </c>
      <c r="U2" s="98">
        <f>SUM(U4:U63)</f>
        <v>591.64833333333331</v>
      </c>
      <c r="W2" s="78">
        <f>IFERROR((K2/Q2/0.835/3)*1.3,"")</f>
        <v>2.2295298369526342</v>
      </c>
      <c r="X2" s="79">
        <f>IFERROR((L2/R2/0.835/3)*1.3,"")</f>
        <v>2.3993634415673077</v>
      </c>
      <c r="Y2" s="80">
        <f>IFERROR((M2/S2/0.835/3)*1.3,"")</f>
        <v>2.0404243943403566</v>
      </c>
      <c r="Z2" s="81">
        <f>IFERROR((N2/T2/0.835/3)*1.3,"")</f>
        <v>2.2161487331043879</v>
      </c>
      <c r="AA2" s="99">
        <f>IFERROR((O2/U2/0.835/3/4)*1.3,"")</f>
        <v>2.2197280533091663</v>
      </c>
      <c r="AC2" s="55">
        <f>SUM(AC4:AC64)</f>
        <v>363.7510448717947</v>
      </c>
      <c r="AD2" s="56">
        <f>SUM(AD4:AD64)</f>
        <v>48.093880608974338</v>
      </c>
      <c r="AE2" s="56">
        <f>SUM(AE4:AE64)</f>
        <v>6.0117350761217923</v>
      </c>
      <c r="AF2" s="56">
        <f>SUM(AF4:AF64)</f>
        <v>4.8789116920405977</v>
      </c>
      <c r="AG2" s="98">
        <f>SUM(AG4:AG64)</f>
        <v>422.73557224893153</v>
      </c>
      <c r="AI2" s="55">
        <f t="shared" ref="AI2:AN2" si="0">SUM(AI4:AI64)</f>
        <v>389</v>
      </c>
      <c r="AJ2" s="56">
        <f t="shared" si="0"/>
        <v>97</v>
      </c>
      <c r="AK2" s="56">
        <f t="shared" si="0"/>
        <v>14</v>
      </c>
      <c r="AL2" s="56">
        <f t="shared" si="0"/>
        <v>3</v>
      </c>
      <c r="AM2" s="98">
        <f t="shared" si="0"/>
        <v>503</v>
      </c>
      <c r="AN2" s="35">
        <f t="shared" si="0"/>
        <v>-80.264427751068439</v>
      </c>
      <c r="AP2" s="55">
        <f>SUM(AP4:AP64)</f>
        <v>16</v>
      </c>
      <c r="AQ2" s="56">
        <f>SUM(AQ4:AQ64)</f>
        <v>5</v>
      </c>
      <c r="AR2" s="56">
        <f>SUM(AR4:AR64)</f>
        <v>1</v>
      </c>
      <c r="AS2" s="56">
        <f>SUM(AS4:AS64)</f>
        <v>0</v>
      </c>
      <c r="AT2" s="98">
        <f>SUM(AT4:AT64)</f>
        <v>22</v>
      </c>
      <c r="AU2" s="35">
        <f t="shared" ref="AU2" si="1">AG2-(AM2+AT2)</f>
        <v>-102.26442775106847</v>
      </c>
    </row>
    <row r="3" spans="1:47" s="7" customFormat="1" ht="50.1" customHeight="1" x14ac:dyDescent="0.25">
      <c r="A3" s="102" t="s">
        <v>9</v>
      </c>
      <c r="B3" s="102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15</v>
      </c>
      <c r="H3" s="16" t="s">
        <v>16</v>
      </c>
      <c r="I3" s="16" t="s">
        <v>17</v>
      </c>
      <c r="J3" s="25" t="s">
        <v>18</v>
      </c>
      <c r="K3" s="61" t="s">
        <v>247</v>
      </c>
      <c r="L3" s="64" t="s">
        <v>20</v>
      </c>
      <c r="M3" s="16" t="s">
        <v>19</v>
      </c>
      <c r="N3" s="68" t="s">
        <v>248</v>
      </c>
      <c r="O3" s="93" t="s">
        <v>249</v>
      </c>
      <c r="P3" s="14"/>
      <c r="Q3" s="61" t="s">
        <v>247</v>
      </c>
      <c r="R3" s="64" t="s">
        <v>20</v>
      </c>
      <c r="S3" s="16" t="s">
        <v>19</v>
      </c>
      <c r="T3" s="68" t="s">
        <v>248</v>
      </c>
      <c r="U3" s="93" t="s">
        <v>249</v>
      </c>
      <c r="V3" s="15"/>
      <c r="W3" s="61" t="s">
        <v>247</v>
      </c>
      <c r="X3" s="64" t="s">
        <v>20</v>
      </c>
      <c r="Y3" s="16" t="s">
        <v>19</v>
      </c>
      <c r="Z3" s="68" t="s">
        <v>248</v>
      </c>
      <c r="AA3" s="93" t="s">
        <v>250</v>
      </c>
      <c r="AC3" s="27" t="s">
        <v>21</v>
      </c>
      <c r="AD3" s="16" t="s">
        <v>22</v>
      </c>
      <c r="AE3" s="16" t="s">
        <v>23</v>
      </c>
      <c r="AF3" s="16" t="s">
        <v>24</v>
      </c>
      <c r="AG3" s="93" t="s">
        <v>25</v>
      </c>
      <c r="AI3" s="16" t="s">
        <v>21</v>
      </c>
      <c r="AJ3" s="16" t="s">
        <v>22</v>
      </c>
      <c r="AK3" s="16" t="s">
        <v>23</v>
      </c>
      <c r="AL3" s="16" t="s">
        <v>24</v>
      </c>
      <c r="AM3" s="93" t="s">
        <v>26</v>
      </c>
      <c r="AN3" s="36" t="s">
        <v>0</v>
      </c>
      <c r="AP3" s="82" t="s">
        <v>27</v>
      </c>
      <c r="AQ3" s="57" t="s">
        <v>28</v>
      </c>
      <c r="AR3" s="57" t="s">
        <v>29</v>
      </c>
      <c r="AS3" s="57" t="s">
        <v>30</v>
      </c>
      <c r="AT3" s="101" t="s">
        <v>31</v>
      </c>
      <c r="AU3" s="39" t="s">
        <v>32</v>
      </c>
    </row>
    <row r="4" spans="1:47" outlineLevel="1" x14ac:dyDescent="0.25">
      <c r="A4" t="s">
        <v>33</v>
      </c>
      <c r="B4" s="53" t="s">
        <v>34</v>
      </c>
      <c r="C4" s="4" t="s">
        <v>34</v>
      </c>
      <c r="D4" s="4" t="s">
        <v>35</v>
      </c>
      <c r="E4" s="106">
        <v>42097</v>
      </c>
      <c r="F4" s="106">
        <v>46112</v>
      </c>
      <c r="G4" s="13" t="s">
        <v>251</v>
      </c>
      <c r="H4" s="13" t="s">
        <v>205</v>
      </c>
      <c r="I4" s="13" t="s">
        <v>38</v>
      </c>
      <c r="J4" s="25">
        <f>IFERROR(VLOOKUP(C4,CPH!$A:$E,5,0),"")</f>
        <v>43500</v>
      </c>
      <c r="K4" s="26">
        <v>456.75</v>
      </c>
      <c r="L4" s="65">
        <v>493.29</v>
      </c>
      <c r="M4" s="72">
        <v>420.21000000000004</v>
      </c>
      <c r="N4" s="69">
        <v>456.75</v>
      </c>
      <c r="O4" s="94">
        <v>1827</v>
      </c>
      <c r="P4" s="8"/>
      <c r="Q4" s="26">
        <v>72</v>
      </c>
      <c r="R4" s="65">
        <v>72</v>
      </c>
      <c r="S4" s="72">
        <v>72</v>
      </c>
      <c r="T4" s="69">
        <v>72</v>
      </c>
      <c r="U4" s="94">
        <v>72</v>
      </c>
      <c r="W4" s="33">
        <f>IFERROR((K4/Q4/0.835/3)*1.3,"")</f>
        <v>3.2921656686626752</v>
      </c>
      <c r="X4" s="75">
        <f>IFERROR((L4/R4/0.835/3)*1.3,"")</f>
        <v>3.555538922155689</v>
      </c>
      <c r="Y4" s="76">
        <f>IFERROR((M4/S4/0.835/3)*1.3,"")</f>
        <v>3.028792415169661</v>
      </c>
      <c r="Z4" s="77">
        <f>IFERROR((N4/T4/0.835/3)*1.3,"")</f>
        <v>3.2921656686626752</v>
      </c>
      <c r="AA4" s="100">
        <f>IFERROR((O4/U4/0.835/3/4)*1.3,"")</f>
        <v>3.2921656686626752</v>
      </c>
      <c r="AC4" s="28">
        <f>IFERROR(O4/(AA4*3*4),"")</f>
        <v>46.246153846153845</v>
      </c>
      <c r="AD4" s="9">
        <f>IFERROR(AC4/8,"")</f>
        <v>5.7807692307692307</v>
      </c>
      <c r="AE4" s="9">
        <f t="shared" ref="AE4" si="2">IFERROR(AD4/8,"")</f>
        <v>0.72259615384615383</v>
      </c>
      <c r="AF4" s="9">
        <f>IFERROR(AE4/3,"")</f>
        <v>0.24086538461538462</v>
      </c>
      <c r="AG4" s="94">
        <f>SUM(AC4:AF4)</f>
        <v>52.990384615384613</v>
      </c>
      <c r="AI4" s="34">
        <f>IFERROR(VLOOKUP($C4,'HC &amp; Open Position'!$D:$J,MATCH(AI$3,'HC &amp; Open Position'!$D$3:$J$3,1),0),"")</f>
        <v>37</v>
      </c>
      <c r="AJ4" s="4">
        <f>IFERROR(VLOOKUP($C4,'HC &amp; Open Position'!$D:$J,MATCH(AJ$3,'HC &amp; Open Position'!$D$3:$J$3,1),0),"")</f>
        <v>22</v>
      </c>
      <c r="AK4" s="4">
        <f>IFERROR(VLOOKUP($C4,'HC &amp; Open Position'!$D:$J,MATCH(AK$3,'HC &amp; Open Position'!$D$3:$J$3,1),0),"")</f>
        <v>1</v>
      </c>
      <c r="AL4" s="4">
        <f>IFERROR(VLOOKUP($C4,'HC &amp; Open Position'!$D:$J,MATCH(AL$3,'HC &amp; Open Position'!$D$3:$J$3,1),0),"")</f>
        <v>0</v>
      </c>
      <c r="AM4" s="94">
        <f>SUM(AI4:AL4)</f>
        <v>60</v>
      </c>
      <c r="AN4" s="35">
        <f>AG4-AM4</f>
        <v>-7.0096153846153868</v>
      </c>
      <c r="AP4" s="34">
        <f>IFERROR(VLOOKUP($C4,'HC &amp; Open Position'!$D$3:$P$53,9,0),"")</f>
        <v>0</v>
      </c>
      <c r="AQ4" s="4">
        <f>IFERROR(VLOOKUP($C4,'HC &amp; Open Position'!$D$3:$P$53,10,0),"")</f>
        <v>0</v>
      </c>
      <c r="AR4" s="4">
        <f>IFERROR(VLOOKUP($C4,'HC &amp; Open Position'!$D$3:$P$53,11,0),"")</f>
        <v>0</v>
      </c>
      <c r="AS4" s="4">
        <f>IFERROR(VLOOKUP($C4,'HC &amp; Open Position'!$D$3:$P$53,12,0),"")</f>
        <v>0</v>
      </c>
      <c r="AT4" s="94">
        <f>SUM(AP4:AS4)</f>
        <v>0</v>
      </c>
      <c r="AU4" s="35">
        <f>AG4-(AM4+AT4)</f>
        <v>-7.0096153846153868</v>
      </c>
    </row>
    <row r="5" spans="1:47" outlineLevel="1" x14ac:dyDescent="0.25">
      <c r="A5" t="s">
        <v>39</v>
      </c>
      <c r="B5" s="53" t="s">
        <v>40</v>
      </c>
      <c r="C5" s="4" t="s">
        <v>40</v>
      </c>
      <c r="D5" s="4" t="s">
        <v>41</v>
      </c>
      <c r="E5" s="106">
        <v>43286</v>
      </c>
      <c r="F5" s="106">
        <v>45504</v>
      </c>
      <c r="G5" s="13" t="s">
        <v>201</v>
      </c>
      <c r="H5" s="13" t="s">
        <v>216</v>
      </c>
      <c r="I5" s="13" t="s">
        <v>44</v>
      </c>
      <c r="J5" s="25">
        <f>IFERROR(VLOOKUP(C5,CPH!$A:$E,5,0),"")</f>
        <v>74000</v>
      </c>
      <c r="K5" s="26">
        <v>33.75</v>
      </c>
      <c r="L5" s="65">
        <v>36.450000000000003</v>
      </c>
      <c r="M5" s="72">
        <v>31.05</v>
      </c>
      <c r="N5" s="69">
        <v>33.75</v>
      </c>
      <c r="O5" s="94">
        <v>135</v>
      </c>
      <c r="P5" s="8"/>
      <c r="Q5" s="26">
        <v>6</v>
      </c>
      <c r="R5" s="65">
        <v>6</v>
      </c>
      <c r="S5" s="72">
        <v>6</v>
      </c>
      <c r="T5" s="69">
        <v>6</v>
      </c>
      <c r="U5" s="94">
        <v>6</v>
      </c>
      <c r="W5" s="33">
        <f t="shared" ref="W5:W62" si="3">IFERROR((K5/Q5/0.835/3)*1.3,"")</f>
        <v>2.9191616766467066</v>
      </c>
      <c r="X5" s="75">
        <f t="shared" ref="X5:X62" si="4">IFERROR((L5/R5/0.835/3)*1.3,"")</f>
        <v>3.1526946107784437</v>
      </c>
      <c r="Y5" s="76">
        <f t="shared" ref="Y5:Y62" si="5">IFERROR((M5/S5/0.835/3)*1.3,"")</f>
        <v>2.6856287425149699</v>
      </c>
      <c r="Z5" s="77">
        <f t="shared" ref="Z5:Z62" si="6">IFERROR((N5/T5/0.835/3)*1.3,"")</f>
        <v>2.9191616766467066</v>
      </c>
      <c r="AA5" s="100">
        <f t="shared" ref="AA5:AA62" si="7">IFERROR((O5/U5/0.835/3/4)*1.3,"")</f>
        <v>2.9191616766467066</v>
      </c>
      <c r="AC5" s="28">
        <f t="shared" ref="AC5:AC55" si="8">IFERROR(O5/(AA5*3*4),"")</f>
        <v>3.8538461538461535</v>
      </c>
      <c r="AD5" s="9">
        <f t="shared" ref="AD5:AE5" si="9">IFERROR(AC5/8,"")</f>
        <v>0.48173076923076918</v>
      </c>
      <c r="AE5" s="9">
        <f t="shared" si="9"/>
        <v>6.0216346153846148E-2</v>
      </c>
      <c r="AF5" s="9">
        <f t="shared" ref="AF5:AF55" si="10">IFERROR(AE5/3,"")</f>
        <v>2.0072115384615383E-2</v>
      </c>
      <c r="AG5" s="94">
        <f t="shared" ref="AG5:AG55" si="11">SUM(AC5:AF5)</f>
        <v>4.415865384615385</v>
      </c>
      <c r="AI5" s="34">
        <f>IFERROR(VLOOKUP($C5,'HC &amp; Open Position'!$D:$J,MATCH(AI$3,'HC &amp; Open Position'!$D$3:$J$3,1),0),"")</f>
        <v>4</v>
      </c>
      <c r="AJ5" s="4">
        <f>IFERROR(VLOOKUP($C5,'HC &amp; Open Position'!$D:$J,MATCH(AJ$3,'HC &amp; Open Position'!$D$3:$J$3,1),0),"")</f>
        <v>1</v>
      </c>
      <c r="AK5" s="4">
        <f>IFERROR(VLOOKUP($C5,'HC &amp; Open Position'!$D:$J,MATCH(AK$3,'HC &amp; Open Position'!$D$3:$J$3,1),0),"")</f>
        <v>0</v>
      </c>
      <c r="AL5" s="4">
        <f>IFERROR(VLOOKUP($C5,'HC &amp; Open Position'!$D:$J,MATCH(AL$3,'HC &amp; Open Position'!$D$3:$J$3,1),0),"")</f>
        <v>0</v>
      </c>
      <c r="AM5" s="94">
        <f t="shared" ref="AM5:AM55" si="12">SUM(AI5:AL5)</f>
        <v>5</v>
      </c>
      <c r="AN5" s="35">
        <f t="shared" ref="AN5:AN57" si="13">AG5-AM5</f>
        <v>-0.58413461538461497</v>
      </c>
      <c r="AP5" s="34">
        <f>IFERROR(VLOOKUP($C5,'HC &amp; Open Position'!$D$3:$P$53,9,0),"")</f>
        <v>0</v>
      </c>
      <c r="AQ5" s="4">
        <f>IFERROR(VLOOKUP($C5,'HC &amp; Open Position'!$D$3:$P$53,10,0),"")</f>
        <v>1</v>
      </c>
      <c r="AR5" s="4">
        <f>IFERROR(VLOOKUP($C5,'HC &amp; Open Position'!$D$3:$P$53,11,0),"")</f>
        <v>0</v>
      </c>
      <c r="AS5" s="4">
        <f>IFERROR(VLOOKUP($C5,'HC &amp; Open Position'!$D$3:$P$53,12,0),"")</f>
        <v>0</v>
      </c>
      <c r="AT5" s="94">
        <f t="shared" ref="AT5:AT55" si="14">SUM(AP5:AS5)</f>
        <v>1</v>
      </c>
      <c r="AU5" s="35">
        <f t="shared" ref="AU5:AU55" si="15">AG5-(AM5+AT5)</f>
        <v>-1.584134615384615</v>
      </c>
    </row>
    <row r="6" spans="1:47" outlineLevel="1" x14ac:dyDescent="0.25">
      <c r="A6" t="s">
        <v>45</v>
      </c>
      <c r="B6" s="53" t="s">
        <v>46</v>
      </c>
      <c r="C6" s="4" t="s">
        <v>47</v>
      </c>
      <c r="D6" s="4" t="s">
        <v>48</v>
      </c>
      <c r="E6" s="106">
        <v>42280</v>
      </c>
      <c r="F6" s="106">
        <v>46295</v>
      </c>
      <c r="G6" s="13" t="s">
        <v>201</v>
      </c>
      <c r="H6" s="13" t="s">
        <v>214</v>
      </c>
      <c r="I6" s="13" t="s">
        <v>44</v>
      </c>
      <c r="J6" s="25">
        <f>IFERROR(VLOOKUP(C6,CPH!$A:$E,5,0),"")</f>
        <v>51800</v>
      </c>
      <c r="K6" s="26">
        <v>0</v>
      </c>
      <c r="L6" s="65">
        <v>0</v>
      </c>
      <c r="M6" s="72">
        <v>0</v>
      </c>
      <c r="N6" s="69">
        <v>0</v>
      </c>
      <c r="O6" s="94">
        <v>0</v>
      </c>
      <c r="P6" s="8"/>
      <c r="Q6" s="26">
        <v>0</v>
      </c>
      <c r="R6" s="65">
        <v>0</v>
      </c>
      <c r="S6" s="72">
        <v>0</v>
      </c>
      <c r="T6" s="69">
        <v>0</v>
      </c>
      <c r="U6" s="94">
        <v>0</v>
      </c>
      <c r="W6" s="33" t="str">
        <f t="shared" si="3"/>
        <v/>
      </c>
      <c r="X6" s="75" t="str">
        <f t="shared" si="4"/>
        <v/>
      </c>
      <c r="Y6" s="76" t="str">
        <f t="shared" si="5"/>
        <v/>
      </c>
      <c r="Z6" s="77" t="str">
        <f t="shared" si="6"/>
        <v/>
      </c>
      <c r="AA6" s="100" t="str">
        <f t="shared" si="7"/>
        <v/>
      </c>
      <c r="AC6" s="28" t="str">
        <f t="shared" si="8"/>
        <v/>
      </c>
      <c r="AD6" s="9" t="str">
        <f t="shared" ref="AD6:AE6" si="16">IFERROR(AC6/8,"")</f>
        <v/>
      </c>
      <c r="AE6" s="9" t="str">
        <f t="shared" si="16"/>
        <v/>
      </c>
      <c r="AF6" s="9" t="str">
        <f t="shared" si="10"/>
        <v/>
      </c>
      <c r="AG6" s="94">
        <f t="shared" si="11"/>
        <v>0</v>
      </c>
      <c r="AI6" s="34" t="str">
        <f>IFERROR(VLOOKUP($C6,'HC &amp; Open Position'!$D:$J,MATCH(AI$3,'HC &amp; Open Position'!$D$3:$J$3,1),0),"")</f>
        <v/>
      </c>
      <c r="AJ6" s="4" t="str">
        <f>IFERROR(VLOOKUP($C6,'HC &amp; Open Position'!$D:$J,MATCH(AJ$3,'HC &amp; Open Position'!$D$3:$J$3,1),0),"")</f>
        <v/>
      </c>
      <c r="AK6" s="4" t="str">
        <f>IFERROR(VLOOKUP($C6,'HC &amp; Open Position'!$D:$J,MATCH(AK$3,'HC &amp; Open Position'!$D$3:$J$3,1),0),"")</f>
        <v/>
      </c>
      <c r="AL6" s="4" t="str">
        <f>IFERROR(VLOOKUP($C6,'HC &amp; Open Position'!$D:$J,MATCH(AL$3,'HC &amp; Open Position'!$D$3:$J$3,1),0),"")</f>
        <v/>
      </c>
      <c r="AM6" s="94">
        <f t="shared" si="12"/>
        <v>0</v>
      </c>
      <c r="AN6" s="35">
        <f t="shared" si="13"/>
        <v>0</v>
      </c>
      <c r="AP6" s="34" t="str">
        <f>IFERROR(VLOOKUP($C6,'HC &amp; Open Position'!$D$3:$P$53,9,0),"")</f>
        <v/>
      </c>
      <c r="AQ6" s="4" t="str">
        <f>IFERROR(VLOOKUP($C6,'HC &amp; Open Position'!$D$3:$P$53,10,0),"")</f>
        <v/>
      </c>
      <c r="AR6" s="4" t="str">
        <f>IFERROR(VLOOKUP($C6,'HC &amp; Open Position'!$D$3:$P$53,11,0),"")</f>
        <v/>
      </c>
      <c r="AS6" s="4" t="str">
        <f>IFERROR(VLOOKUP($C6,'HC &amp; Open Position'!$D$3:$P$53,12,0),"")</f>
        <v/>
      </c>
      <c r="AT6" s="94">
        <f t="shared" si="14"/>
        <v>0</v>
      </c>
      <c r="AU6" s="35">
        <f t="shared" si="15"/>
        <v>0</v>
      </c>
    </row>
    <row r="7" spans="1:47" outlineLevel="1" x14ac:dyDescent="0.25">
      <c r="A7" t="s">
        <v>50</v>
      </c>
      <c r="B7" s="53" t="s">
        <v>51</v>
      </c>
      <c r="C7" s="4" t="s">
        <v>51</v>
      </c>
      <c r="D7" s="4" t="s">
        <v>52</v>
      </c>
      <c r="E7" s="106">
        <v>44181</v>
      </c>
      <c r="F7" s="106">
        <v>47834</v>
      </c>
      <c r="G7" s="13" t="s">
        <v>201</v>
      </c>
      <c r="H7" s="13" t="s">
        <v>206</v>
      </c>
      <c r="I7" s="13" t="s">
        <v>44</v>
      </c>
      <c r="J7" s="25">
        <f>IFERROR(VLOOKUP(C7,CPH!$A:$E,5,0),"")</f>
        <v>21400</v>
      </c>
      <c r="K7" s="26">
        <v>0</v>
      </c>
      <c r="L7" s="65">
        <v>0</v>
      </c>
      <c r="M7" s="72">
        <v>0</v>
      </c>
      <c r="N7" s="69">
        <v>0</v>
      </c>
      <c r="O7" s="94">
        <v>0</v>
      </c>
      <c r="P7" s="8"/>
      <c r="Q7" s="26">
        <v>0</v>
      </c>
      <c r="R7" s="65">
        <v>0</v>
      </c>
      <c r="S7" s="72">
        <v>0</v>
      </c>
      <c r="T7" s="69">
        <v>0</v>
      </c>
      <c r="U7" s="94">
        <v>0</v>
      </c>
      <c r="W7" s="33" t="str">
        <f t="shared" si="3"/>
        <v/>
      </c>
      <c r="X7" s="75" t="str">
        <f t="shared" si="4"/>
        <v/>
      </c>
      <c r="Y7" s="76" t="str">
        <f t="shared" si="5"/>
        <v/>
      </c>
      <c r="Z7" s="77" t="str">
        <f t="shared" si="6"/>
        <v/>
      </c>
      <c r="AA7" s="100" t="str">
        <f t="shared" si="7"/>
        <v/>
      </c>
      <c r="AC7" s="28" t="str">
        <f t="shared" si="8"/>
        <v/>
      </c>
      <c r="AD7" s="9" t="str">
        <f t="shared" ref="AD7:AE7" si="17">IFERROR(AC7/8,"")</f>
        <v/>
      </c>
      <c r="AE7" s="9" t="str">
        <f t="shared" si="17"/>
        <v/>
      </c>
      <c r="AF7" s="9" t="str">
        <f t="shared" si="10"/>
        <v/>
      </c>
      <c r="AG7" s="94">
        <f t="shared" si="11"/>
        <v>0</v>
      </c>
      <c r="AI7" s="34" t="str">
        <f>IFERROR(VLOOKUP($C7,'HC &amp; Open Position'!$D:$J,MATCH(AI$3,'HC &amp; Open Position'!$D$3:$J$3,1),0),"")</f>
        <v/>
      </c>
      <c r="AJ7" s="4" t="str">
        <f>IFERROR(VLOOKUP($C7,'HC &amp; Open Position'!$D:$J,MATCH(AJ$3,'HC &amp; Open Position'!$D$3:$J$3,1),0),"")</f>
        <v/>
      </c>
      <c r="AK7" s="4" t="str">
        <f>IFERROR(VLOOKUP($C7,'HC &amp; Open Position'!$D:$J,MATCH(AK$3,'HC &amp; Open Position'!$D$3:$J$3,1),0),"")</f>
        <v/>
      </c>
      <c r="AL7" s="4" t="str">
        <f>IFERROR(VLOOKUP($C7,'HC &amp; Open Position'!$D:$J,MATCH(AL$3,'HC &amp; Open Position'!$D$3:$J$3,1),0),"")</f>
        <v/>
      </c>
      <c r="AM7" s="94">
        <f t="shared" si="12"/>
        <v>0</v>
      </c>
      <c r="AN7" s="35">
        <f t="shared" si="13"/>
        <v>0</v>
      </c>
      <c r="AP7" s="34" t="str">
        <f>IFERROR(VLOOKUP($C7,'HC &amp; Open Position'!$D$3:$P$53,9,0),"")</f>
        <v/>
      </c>
      <c r="AQ7" s="4" t="str">
        <f>IFERROR(VLOOKUP($C7,'HC &amp; Open Position'!$D$3:$P$53,10,0),"")</f>
        <v/>
      </c>
      <c r="AR7" s="4" t="str">
        <f>IFERROR(VLOOKUP($C7,'HC &amp; Open Position'!$D$3:$P$53,11,0),"")</f>
        <v/>
      </c>
      <c r="AS7" s="4" t="str">
        <f>IFERROR(VLOOKUP($C7,'HC &amp; Open Position'!$D$3:$P$53,12,0),"")</f>
        <v/>
      </c>
      <c r="AT7" s="94">
        <f t="shared" si="14"/>
        <v>0</v>
      </c>
      <c r="AU7" s="35">
        <f t="shared" si="15"/>
        <v>0</v>
      </c>
    </row>
    <row r="8" spans="1:47" outlineLevel="1" x14ac:dyDescent="0.25">
      <c r="A8" t="s">
        <v>54</v>
      </c>
      <c r="B8" s="53" t="s">
        <v>55</v>
      </c>
      <c r="C8" s="4" t="s">
        <v>56</v>
      </c>
      <c r="D8" s="4" t="s">
        <v>41</v>
      </c>
      <c r="E8" s="106">
        <v>44866</v>
      </c>
      <c r="F8" s="106">
        <v>45322</v>
      </c>
      <c r="G8" s="13" t="s">
        <v>201</v>
      </c>
      <c r="H8" s="13" t="s">
        <v>211</v>
      </c>
      <c r="I8" s="13" t="s">
        <v>58</v>
      </c>
      <c r="J8" s="25">
        <f>IFERROR(VLOOKUP(C8,CPH!$A:$E,5,0),"")</f>
        <v>83000</v>
      </c>
      <c r="K8" s="26">
        <v>49.75</v>
      </c>
      <c r="L8" s="65">
        <v>53.730000000000004</v>
      </c>
      <c r="M8" s="72">
        <v>45.77</v>
      </c>
      <c r="N8" s="69">
        <v>49.75</v>
      </c>
      <c r="O8" s="94">
        <v>199</v>
      </c>
      <c r="P8" s="8"/>
      <c r="Q8" s="26">
        <v>15</v>
      </c>
      <c r="R8" s="65">
        <v>15</v>
      </c>
      <c r="S8" s="72">
        <v>15</v>
      </c>
      <c r="T8" s="69">
        <v>15</v>
      </c>
      <c r="U8" s="94">
        <v>15</v>
      </c>
      <c r="W8" s="33">
        <f t="shared" si="3"/>
        <v>1.7212242182302064</v>
      </c>
      <c r="X8" s="75">
        <f t="shared" si="4"/>
        <v>1.8589221556886228</v>
      </c>
      <c r="Y8" s="76">
        <f t="shared" si="5"/>
        <v>1.5835262807717898</v>
      </c>
      <c r="Z8" s="77">
        <f t="shared" si="6"/>
        <v>1.7212242182302064</v>
      </c>
      <c r="AA8" s="100">
        <f t="shared" si="7"/>
        <v>1.7212242182302064</v>
      </c>
      <c r="AC8" s="28">
        <f t="shared" si="8"/>
        <v>9.6346153846153832</v>
      </c>
      <c r="AD8" s="9">
        <f t="shared" ref="AD8:AE8" si="18">IFERROR(AC8/8,"")</f>
        <v>1.2043269230769229</v>
      </c>
      <c r="AE8" s="9">
        <f t="shared" si="18"/>
        <v>0.15054086538461536</v>
      </c>
      <c r="AF8" s="9">
        <f t="shared" si="10"/>
        <v>5.0180288461538457E-2</v>
      </c>
      <c r="AG8" s="94">
        <f t="shared" si="11"/>
        <v>11.03966346153846</v>
      </c>
      <c r="AI8" s="34">
        <f>IFERROR(VLOOKUP($C8,'HC &amp; Open Position'!$D:$J,MATCH(AI$3,'HC &amp; Open Position'!$D$3:$J$3,1),0),"")</f>
        <v>11</v>
      </c>
      <c r="AJ8" s="4">
        <f>IFERROR(VLOOKUP($C8,'HC &amp; Open Position'!$D:$J,MATCH(AJ$3,'HC &amp; Open Position'!$D$3:$J$3,1),0),"")</f>
        <v>4</v>
      </c>
      <c r="AK8" s="4">
        <f>IFERROR(VLOOKUP($C8,'HC &amp; Open Position'!$D:$J,MATCH(AK$3,'HC &amp; Open Position'!$D$3:$J$3,1),0),"")</f>
        <v>1</v>
      </c>
      <c r="AL8" s="4">
        <f>IFERROR(VLOOKUP($C8,'HC &amp; Open Position'!$D:$J,MATCH(AL$3,'HC &amp; Open Position'!$D$3:$J$3,1),0),"")</f>
        <v>0</v>
      </c>
      <c r="AM8" s="94">
        <f t="shared" si="12"/>
        <v>16</v>
      </c>
      <c r="AN8" s="35">
        <f t="shared" si="13"/>
        <v>-4.9603365384615401</v>
      </c>
      <c r="AP8" s="34">
        <f>IFERROR(VLOOKUP($C8,'HC &amp; Open Position'!$D$3:$P$53,9,0),"")</f>
        <v>0</v>
      </c>
      <c r="AQ8" s="4">
        <f>IFERROR(VLOOKUP($C8,'HC &amp; Open Position'!$D$3:$P$53,10,0),"")</f>
        <v>0</v>
      </c>
      <c r="AR8" s="4">
        <f>IFERROR(VLOOKUP($C8,'HC &amp; Open Position'!$D$3:$P$53,11,0),"")</f>
        <v>0</v>
      </c>
      <c r="AS8" s="4">
        <f>IFERROR(VLOOKUP($C8,'HC &amp; Open Position'!$D$3:$P$53,12,0),"")</f>
        <v>0</v>
      </c>
      <c r="AT8" s="94">
        <f t="shared" si="14"/>
        <v>0</v>
      </c>
      <c r="AU8" s="35">
        <f t="shared" si="15"/>
        <v>-4.9603365384615401</v>
      </c>
    </row>
    <row r="9" spans="1:47" outlineLevel="1" x14ac:dyDescent="0.25">
      <c r="A9" t="s">
        <v>59</v>
      </c>
      <c r="B9" s="53" t="s">
        <v>60</v>
      </c>
      <c r="C9" s="4" t="s">
        <v>60</v>
      </c>
      <c r="D9" s="4" t="s">
        <v>35</v>
      </c>
      <c r="E9" s="106">
        <v>44287</v>
      </c>
      <c r="F9" s="106">
        <v>45350</v>
      </c>
      <c r="G9" s="13" t="s">
        <v>251</v>
      </c>
      <c r="H9" s="13" t="s">
        <v>208</v>
      </c>
      <c r="I9" s="13" t="s">
        <v>38</v>
      </c>
      <c r="J9" s="25">
        <f>IFERROR(VLOOKUP(C9,CPH!$A:$E,5,0),"")</f>
        <v>32000</v>
      </c>
      <c r="K9" s="26">
        <v>68.75</v>
      </c>
      <c r="L9" s="65">
        <v>74.25</v>
      </c>
      <c r="M9" s="72">
        <v>63.25</v>
      </c>
      <c r="N9" s="69">
        <v>68.75</v>
      </c>
      <c r="O9" s="94">
        <v>275</v>
      </c>
      <c r="P9" s="8"/>
      <c r="Q9" s="26">
        <v>14</v>
      </c>
      <c r="R9" s="65">
        <v>14</v>
      </c>
      <c r="S9" s="72">
        <v>14</v>
      </c>
      <c r="T9" s="69">
        <v>14</v>
      </c>
      <c r="U9" s="94">
        <v>14</v>
      </c>
      <c r="W9" s="33">
        <f t="shared" si="3"/>
        <v>2.5484744796122043</v>
      </c>
      <c r="X9" s="75">
        <f t="shared" si="4"/>
        <v>2.7523524379811812</v>
      </c>
      <c r="Y9" s="76">
        <f t="shared" si="5"/>
        <v>2.3445965212432278</v>
      </c>
      <c r="Z9" s="77">
        <f t="shared" si="6"/>
        <v>2.5484744796122043</v>
      </c>
      <c r="AA9" s="100">
        <f t="shared" si="7"/>
        <v>2.5484744796122043</v>
      </c>
      <c r="AC9" s="28">
        <f t="shared" si="8"/>
        <v>8.9923076923076923</v>
      </c>
      <c r="AD9" s="9">
        <f t="shared" ref="AD9:AE9" si="19">IFERROR(AC9/8,"")</f>
        <v>1.1240384615384615</v>
      </c>
      <c r="AE9" s="9">
        <f t="shared" si="19"/>
        <v>0.14050480769230769</v>
      </c>
      <c r="AF9" s="9">
        <f t="shared" si="10"/>
        <v>4.6834935897435898E-2</v>
      </c>
      <c r="AG9" s="94">
        <f t="shared" si="11"/>
        <v>10.303685897435898</v>
      </c>
      <c r="AI9" s="34">
        <f>IFERROR(VLOOKUP($C9,'HC &amp; Open Position'!$D:$J,MATCH(AI$3,'HC &amp; Open Position'!$D$3:$J$3,1),0),"")</f>
        <v>12</v>
      </c>
      <c r="AJ9" s="4">
        <f>IFERROR(VLOOKUP($C9,'HC &amp; Open Position'!$D:$J,MATCH(AJ$3,'HC &amp; Open Position'!$D$3:$J$3,1),0),"")</f>
        <v>2</v>
      </c>
      <c r="AK9" s="4">
        <f>IFERROR(VLOOKUP($C9,'HC &amp; Open Position'!$D:$J,MATCH(AK$3,'HC &amp; Open Position'!$D$3:$J$3,1),0),"")</f>
        <v>0</v>
      </c>
      <c r="AL9" s="4">
        <f>IFERROR(VLOOKUP($C9,'HC &amp; Open Position'!$D:$J,MATCH(AL$3,'HC &amp; Open Position'!$D$3:$J$3,1),0),"")</f>
        <v>0</v>
      </c>
      <c r="AM9" s="94">
        <f t="shared" si="12"/>
        <v>14</v>
      </c>
      <c r="AN9" s="35">
        <f t="shared" si="13"/>
        <v>-3.6963141025641022</v>
      </c>
      <c r="AP9" s="34">
        <f>IFERROR(VLOOKUP($C9,'HC &amp; Open Position'!$D$3:$P$53,9,0),"")</f>
        <v>0</v>
      </c>
      <c r="AQ9" s="4">
        <f>IFERROR(VLOOKUP($C9,'HC &amp; Open Position'!$D$3:$P$53,10,0),"")</f>
        <v>0</v>
      </c>
      <c r="AR9" s="4">
        <f>IFERROR(VLOOKUP($C9,'HC &amp; Open Position'!$D$3:$P$53,11,0),"")</f>
        <v>0</v>
      </c>
      <c r="AS9" s="4">
        <f>IFERROR(VLOOKUP($C9,'HC &amp; Open Position'!$D$3:$P$53,12,0),"")</f>
        <v>0</v>
      </c>
      <c r="AT9" s="94">
        <f t="shared" si="14"/>
        <v>0</v>
      </c>
      <c r="AU9" s="35">
        <f t="shared" si="15"/>
        <v>-3.6963141025641022</v>
      </c>
    </row>
    <row r="10" spans="1:47" outlineLevel="1" x14ac:dyDescent="0.25">
      <c r="A10" t="s">
        <v>62</v>
      </c>
      <c r="B10" s="53" t="s">
        <v>63</v>
      </c>
      <c r="C10" s="4" t="s">
        <v>64</v>
      </c>
      <c r="D10" s="4" t="s">
        <v>35</v>
      </c>
      <c r="E10" s="106">
        <v>44348</v>
      </c>
      <c r="F10" s="106">
        <v>45444</v>
      </c>
      <c r="G10" s="13" t="s">
        <v>252</v>
      </c>
      <c r="H10" s="13" t="s">
        <v>252</v>
      </c>
      <c r="I10" s="13" t="s">
        <v>38</v>
      </c>
      <c r="J10" s="25">
        <f>IFERROR(VLOOKUP(C10,CPH!$A:$E,5,0),"")</f>
        <v>55000</v>
      </c>
      <c r="K10" s="26">
        <v>0</v>
      </c>
      <c r="L10" s="65">
        <v>0</v>
      </c>
      <c r="M10" s="72">
        <v>0</v>
      </c>
      <c r="N10" s="69">
        <v>0</v>
      </c>
      <c r="O10" s="94">
        <v>0</v>
      </c>
      <c r="P10" s="8"/>
      <c r="Q10" s="26">
        <v>0</v>
      </c>
      <c r="R10" s="65">
        <v>0</v>
      </c>
      <c r="S10" s="72">
        <v>0</v>
      </c>
      <c r="T10" s="69">
        <v>0</v>
      </c>
      <c r="U10" s="94">
        <v>0</v>
      </c>
      <c r="W10" s="33" t="str">
        <f t="shared" si="3"/>
        <v/>
      </c>
      <c r="X10" s="75" t="str">
        <f t="shared" si="4"/>
        <v/>
      </c>
      <c r="Y10" s="76" t="str">
        <f t="shared" si="5"/>
        <v/>
      </c>
      <c r="Z10" s="77" t="str">
        <f t="shared" si="6"/>
        <v/>
      </c>
      <c r="AA10" s="100" t="str">
        <f t="shared" si="7"/>
        <v/>
      </c>
      <c r="AC10" s="28" t="str">
        <f t="shared" si="8"/>
        <v/>
      </c>
      <c r="AD10" s="9" t="str">
        <f t="shared" ref="AD10:AE10" si="20">IFERROR(AC10/8,"")</f>
        <v/>
      </c>
      <c r="AE10" s="9" t="str">
        <f t="shared" si="20"/>
        <v/>
      </c>
      <c r="AF10" s="9" t="str">
        <f t="shared" si="10"/>
        <v/>
      </c>
      <c r="AG10" s="94">
        <f t="shared" si="11"/>
        <v>0</v>
      </c>
      <c r="AI10" s="34">
        <f>IFERROR(VLOOKUP($C10,'HC &amp; Open Position'!$D:$J,MATCH(AI$3,'HC &amp; Open Position'!$D$3:$J$3,1),0),"")</f>
        <v>0</v>
      </c>
      <c r="AJ10" s="4">
        <f>IFERROR(VLOOKUP($C10,'HC &amp; Open Position'!$D:$J,MATCH(AJ$3,'HC &amp; Open Position'!$D$3:$J$3,1),0),"")</f>
        <v>0</v>
      </c>
      <c r="AK10" s="4">
        <f>IFERROR(VLOOKUP($C10,'HC &amp; Open Position'!$D:$J,MATCH(AK$3,'HC &amp; Open Position'!$D$3:$J$3,1),0),"")</f>
        <v>0</v>
      </c>
      <c r="AL10" s="4">
        <f>IFERROR(VLOOKUP($C10,'HC &amp; Open Position'!$D:$J,MATCH(AL$3,'HC &amp; Open Position'!$D$3:$J$3,1),0),"")</f>
        <v>0</v>
      </c>
      <c r="AM10" s="94">
        <f t="shared" si="12"/>
        <v>0</v>
      </c>
      <c r="AN10" s="35">
        <f t="shared" si="13"/>
        <v>0</v>
      </c>
      <c r="AP10" s="34">
        <f>IFERROR(VLOOKUP($C10,'HC &amp; Open Position'!$D$3:$P$53,9,0),"")</f>
        <v>0</v>
      </c>
      <c r="AQ10" s="4">
        <f>IFERROR(VLOOKUP($C10,'HC &amp; Open Position'!$D$3:$P$53,10,0),"")</f>
        <v>0</v>
      </c>
      <c r="AR10" s="4">
        <f>IFERROR(VLOOKUP($C10,'HC &amp; Open Position'!$D$3:$P$53,11,0),"")</f>
        <v>0</v>
      </c>
      <c r="AS10" s="4">
        <f>IFERROR(VLOOKUP($C10,'HC &amp; Open Position'!$D$3:$P$53,12,0),"")</f>
        <v>0</v>
      </c>
      <c r="AT10" s="94">
        <f t="shared" si="14"/>
        <v>0</v>
      </c>
      <c r="AU10" s="35">
        <f t="shared" si="15"/>
        <v>0</v>
      </c>
    </row>
    <row r="11" spans="1:47" outlineLevel="1" x14ac:dyDescent="0.25">
      <c r="A11" t="s">
        <v>65</v>
      </c>
      <c r="B11" s="53" t="s">
        <v>66</v>
      </c>
      <c r="C11" s="4" t="s">
        <v>66</v>
      </c>
      <c r="D11" s="4" t="s">
        <v>52</v>
      </c>
      <c r="E11" s="106">
        <v>44978</v>
      </c>
      <c r="F11" s="106">
        <v>46073</v>
      </c>
      <c r="G11" s="13" t="s">
        <v>201</v>
      </c>
      <c r="H11" s="13" t="s">
        <v>216</v>
      </c>
      <c r="I11" s="13" t="s">
        <v>44</v>
      </c>
      <c r="J11" s="25">
        <f>IFERROR(VLOOKUP(C11,CPH!$A:$E,5,0),"")</f>
        <v>21000</v>
      </c>
      <c r="K11" s="26">
        <v>45</v>
      </c>
      <c r="L11" s="65">
        <v>48.6</v>
      </c>
      <c r="M11" s="72">
        <v>41.4</v>
      </c>
      <c r="N11" s="69">
        <v>45</v>
      </c>
      <c r="O11" s="94">
        <v>180</v>
      </c>
      <c r="P11" s="8"/>
      <c r="Q11" s="26">
        <v>12</v>
      </c>
      <c r="R11" s="65">
        <v>12</v>
      </c>
      <c r="S11" s="72">
        <v>12</v>
      </c>
      <c r="T11" s="69">
        <v>12</v>
      </c>
      <c r="U11" s="94">
        <v>12</v>
      </c>
      <c r="W11" s="33">
        <f t="shared" si="3"/>
        <v>1.9461077844311379</v>
      </c>
      <c r="X11" s="75">
        <f t="shared" si="4"/>
        <v>2.1017964071856285</v>
      </c>
      <c r="Y11" s="76">
        <f t="shared" si="5"/>
        <v>1.7904191616766465</v>
      </c>
      <c r="Z11" s="77">
        <f t="shared" si="6"/>
        <v>1.9461077844311379</v>
      </c>
      <c r="AA11" s="100">
        <f t="shared" si="7"/>
        <v>1.9461077844311379</v>
      </c>
      <c r="AC11" s="28">
        <f t="shared" si="8"/>
        <v>7.7076923076923078</v>
      </c>
      <c r="AD11" s="9">
        <f t="shared" ref="AD11:AE11" si="21">IFERROR(AC11/8,"")</f>
        <v>0.96346153846153848</v>
      </c>
      <c r="AE11" s="9">
        <f t="shared" si="21"/>
        <v>0.12043269230769231</v>
      </c>
      <c r="AF11" s="9">
        <f t="shared" si="10"/>
        <v>4.0144230769230772E-2</v>
      </c>
      <c r="AG11" s="94">
        <f t="shared" si="11"/>
        <v>8.8317307692307701</v>
      </c>
      <c r="AI11" s="34">
        <f>IFERROR(VLOOKUP($C11,'HC &amp; Open Position'!$D:$J,MATCH(AI$3,'HC &amp; Open Position'!$D$3:$J$3,1),0),"")</f>
        <v>9</v>
      </c>
      <c r="AJ11" s="4">
        <f>IFERROR(VLOOKUP($C11,'HC &amp; Open Position'!$D:$J,MATCH(AJ$3,'HC &amp; Open Position'!$D$3:$J$3,1),0),"")</f>
        <v>0</v>
      </c>
      <c r="AK11" s="4">
        <f>IFERROR(VLOOKUP($C11,'HC &amp; Open Position'!$D:$J,MATCH(AK$3,'HC &amp; Open Position'!$D$3:$J$3,1),0),"")</f>
        <v>1</v>
      </c>
      <c r="AL11" s="4">
        <f>IFERROR(VLOOKUP($C11,'HC &amp; Open Position'!$D:$J,MATCH(AL$3,'HC &amp; Open Position'!$D$3:$J$3,1),0),"")</f>
        <v>0</v>
      </c>
      <c r="AM11" s="94">
        <f t="shared" si="12"/>
        <v>10</v>
      </c>
      <c r="AN11" s="35">
        <f t="shared" si="13"/>
        <v>-1.1682692307692299</v>
      </c>
      <c r="AP11" s="34">
        <f>IFERROR(VLOOKUP($C11,'HC &amp; Open Position'!$D$3:$P$53,9,0),"")</f>
        <v>3</v>
      </c>
      <c r="AQ11" s="4">
        <f>IFERROR(VLOOKUP($C11,'HC &amp; Open Position'!$D$3:$P$53,10,0),"")</f>
        <v>0</v>
      </c>
      <c r="AR11" s="4">
        <f>IFERROR(VLOOKUP($C11,'HC &amp; Open Position'!$D$3:$P$53,11,0),"")</f>
        <v>0</v>
      </c>
      <c r="AS11" s="4">
        <f>IFERROR(VLOOKUP($C11,'HC &amp; Open Position'!$D$3:$P$53,12,0),"")</f>
        <v>0</v>
      </c>
      <c r="AT11" s="94">
        <f t="shared" si="14"/>
        <v>3</v>
      </c>
      <c r="AU11" s="35">
        <f t="shared" si="15"/>
        <v>-4.1682692307692299</v>
      </c>
    </row>
    <row r="12" spans="1:47" outlineLevel="1" x14ac:dyDescent="0.25">
      <c r="A12" t="s">
        <v>67</v>
      </c>
      <c r="B12" s="53" t="s">
        <v>68</v>
      </c>
      <c r="C12" s="4" t="s">
        <v>68</v>
      </c>
      <c r="D12" s="4" t="s">
        <v>69</v>
      </c>
      <c r="E12" s="106">
        <v>44405</v>
      </c>
      <c r="F12" s="106">
        <v>45818</v>
      </c>
      <c r="G12" s="13" t="s">
        <v>201</v>
      </c>
      <c r="H12" s="13" t="s">
        <v>214</v>
      </c>
      <c r="I12" s="13" t="s">
        <v>44</v>
      </c>
      <c r="J12" s="25">
        <f>IFERROR(VLOOKUP(C12,CPH!$A:$E,5,0),"")</f>
        <v>60000</v>
      </c>
      <c r="K12" s="26">
        <v>20</v>
      </c>
      <c r="L12" s="65">
        <v>21.6</v>
      </c>
      <c r="M12" s="72">
        <v>18.400000000000002</v>
      </c>
      <c r="N12" s="69">
        <v>20</v>
      </c>
      <c r="O12" s="94">
        <v>80</v>
      </c>
      <c r="P12" s="8"/>
      <c r="Q12" s="26">
        <v>4</v>
      </c>
      <c r="R12" s="65">
        <v>4</v>
      </c>
      <c r="S12" s="72">
        <v>4</v>
      </c>
      <c r="T12" s="69">
        <v>4</v>
      </c>
      <c r="U12" s="94">
        <v>4</v>
      </c>
      <c r="W12" s="33">
        <f t="shared" si="3"/>
        <v>2.5948103792415171</v>
      </c>
      <c r="X12" s="75">
        <f t="shared" si="4"/>
        <v>2.8023952095808387</v>
      </c>
      <c r="Y12" s="76">
        <f t="shared" si="5"/>
        <v>2.3872255489021961</v>
      </c>
      <c r="Z12" s="77">
        <f t="shared" si="6"/>
        <v>2.5948103792415171</v>
      </c>
      <c r="AA12" s="100">
        <f t="shared" si="7"/>
        <v>2.5948103792415171</v>
      </c>
      <c r="AC12" s="28">
        <f t="shared" si="8"/>
        <v>2.569230769230769</v>
      </c>
      <c r="AD12" s="9">
        <f t="shared" ref="AD12:AE12" si="22">IFERROR(AC12/8,"")</f>
        <v>0.32115384615384612</v>
      </c>
      <c r="AE12" s="9">
        <f t="shared" si="22"/>
        <v>4.0144230769230765E-2</v>
      </c>
      <c r="AF12" s="9">
        <f t="shared" si="10"/>
        <v>1.3381410256410256E-2</v>
      </c>
      <c r="AG12" s="94">
        <f t="shared" si="11"/>
        <v>2.9439102564102559</v>
      </c>
      <c r="AI12" s="34">
        <f>IFERROR(VLOOKUP($C12,'HC &amp; Open Position'!$D:$J,MATCH(AI$3,'HC &amp; Open Position'!$D$3:$J$3,1),0),"")</f>
        <v>2</v>
      </c>
      <c r="AJ12" s="4">
        <f>IFERROR(VLOOKUP($C12,'HC &amp; Open Position'!$D:$J,MATCH(AJ$3,'HC &amp; Open Position'!$D$3:$J$3,1),0),"")</f>
        <v>1</v>
      </c>
      <c r="AK12" s="4">
        <f>IFERROR(VLOOKUP($C12,'HC &amp; Open Position'!$D:$J,MATCH(AK$3,'HC &amp; Open Position'!$D$3:$J$3,1),0),"")</f>
        <v>0</v>
      </c>
      <c r="AL12" s="4">
        <f>IFERROR(VLOOKUP($C12,'HC &amp; Open Position'!$D:$J,MATCH(AL$3,'HC &amp; Open Position'!$D$3:$J$3,1),0),"")</f>
        <v>0</v>
      </c>
      <c r="AM12" s="94">
        <f t="shared" si="12"/>
        <v>3</v>
      </c>
      <c r="AN12" s="35">
        <f t="shared" si="13"/>
        <v>-5.6089743589744057E-2</v>
      </c>
      <c r="AP12" s="34">
        <f>IFERROR(VLOOKUP($C12,'HC &amp; Open Position'!$D$3:$P$53,9,0),"")</f>
        <v>0</v>
      </c>
      <c r="AQ12" s="4">
        <f>IFERROR(VLOOKUP($C12,'HC &amp; Open Position'!$D$3:$P$53,10,0),"")</f>
        <v>0</v>
      </c>
      <c r="AR12" s="4">
        <f>IFERROR(VLOOKUP($C12,'HC &amp; Open Position'!$D$3:$P$53,11,0),"")</f>
        <v>0</v>
      </c>
      <c r="AS12" s="4">
        <f>IFERROR(VLOOKUP($C12,'HC &amp; Open Position'!$D$3:$P$53,12,0),"")</f>
        <v>0</v>
      </c>
      <c r="AT12" s="94">
        <f t="shared" si="14"/>
        <v>0</v>
      </c>
      <c r="AU12" s="35">
        <f t="shared" si="15"/>
        <v>-5.6089743589744057E-2</v>
      </c>
    </row>
    <row r="13" spans="1:47" outlineLevel="1" x14ac:dyDescent="0.25">
      <c r="A13" t="s">
        <v>70</v>
      </c>
      <c r="B13" s="53" t="s">
        <v>71</v>
      </c>
      <c r="C13" s="4" t="s">
        <v>71</v>
      </c>
      <c r="D13" s="4" t="s">
        <v>52</v>
      </c>
      <c r="E13" s="106">
        <v>44574</v>
      </c>
      <c r="F13" s="106">
        <v>45303</v>
      </c>
      <c r="G13" s="13" t="s">
        <v>201</v>
      </c>
      <c r="H13" s="13" t="s">
        <v>206</v>
      </c>
      <c r="I13" s="13" t="s">
        <v>44</v>
      </c>
      <c r="J13" s="25">
        <f>IFERROR(VLOOKUP(C13,CPH!$A:$E,5,0),"")</f>
        <v>26600</v>
      </c>
      <c r="K13" s="26">
        <v>60</v>
      </c>
      <c r="L13" s="65">
        <v>64.800000000000011</v>
      </c>
      <c r="M13" s="72">
        <v>55.2</v>
      </c>
      <c r="N13" s="69">
        <v>60</v>
      </c>
      <c r="O13" s="94">
        <v>240</v>
      </c>
      <c r="P13" s="8"/>
      <c r="Q13" s="26">
        <v>16</v>
      </c>
      <c r="R13" s="65">
        <v>16</v>
      </c>
      <c r="S13" s="72">
        <v>16</v>
      </c>
      <c r="T13" s="69">
        <v>16</v>
      </c>
      <c r="U13" s="94">
        <v>16</v>
      </c>
      <c r="W13" s="33">
        <f t="shared" si="3"/>
        <v>1.9461077844311379</v>
      </c>
      <c r="X13" s="75">
        <f t="shared" si="4"/>
        <v>2.1017964071856294</v>
      </c>
      <c r="Y13" s="76">
        <f t="shared" si="5"/>
        <v>1.7904191616766469</v>
      </c>
      <c r="Z13" s="77">
        <f t="shared" si="6"/>
        <v>1.9461077844311379</v>
      </c>
      <c r="AA13" s="100">
        <f t="shared" si="7"/>
        <v>1.9461077844311379</v>
      </c>
      <c r="AC13" s="28">
        <f t="shared" si="8"/>
        <v>10.276923076923078</v>
      </c>
      <c r="AD13" s="9">
        <f t="shared" ref="AD13:AE13" si="23">IFERROR(AC13/8,"")</f>
        <v>1.2846153846153847</v>
      </c>
      <c r="AE13" s="9">
        <f t="shared" si="23"/>
        <v>0.16057692307692309</v>
      </c>
      <c r="AF13" s="9">
        <f t="shared" si="10"/>
        <v>5.352564102564103E-2</v>
      </c>
      <c r="AG13" s="94">
        <f t="shared" si="11"/>
        <v>11.775641025641026</v>
      </c>
      <c r="AI13" s="34">
        <f>IFERROR(VLOOKUP($C13,'HC &amp; Open Position'!$D:$J,MATCH(AI$3,'HC &amp; Open Position'!$D$3:$J$3,1),0),"")</f>
        <v>10</v>
      </c>
      <c r="AJ13" s="4">
        <f>IFERROR(VLOOKUP($C13,'HC &amp; Open Position'!$D:$J,MATCH(AJ$3,'HC &amp; Open Position'!$D$3:$J$3,1),0),"")</f>
        <v>1</v>
      </c>
      <c r="AK13" s="4">
        <f>IFERROR(VLOOKUP($C13,'HC &amp; Open Position'!$D:$J,MATCH(AK$3,'HC &amp; Open Position'!$D$3:$J$3,1),0),"")</f>
        <v>0</v>
      </c>
      <c r="AL13" s="4">
        <f>IFERROR(VLOOKUP($C13,'HC &amp; Open Position'!$D:$J,MATCH(AL$3,'HC &amp; Open Position'!$D$3:$J$3,1),0),"")</f>
        <v>0</v>
      </c>
      <c r="AM13" s="94">
        <f t="shared" si="12"/>
        <v>11</v>
      </c>
      <c r="AN13" s="35">
        <f t="shared" si="13"/>
        <v>0.77564102564102555</v>
      </c>
      <c r="AP13" s="34">
        <f>IFERROR(VLOOKUP($C13,'HC &amp; Open Position'!$D$3:$P$53,9,0),"")</f>
        <v>2</v>
      </c>
      <c r="AQ13" s="4">
        <f>IFERROR(VLOOKUP($C13,'HC &amp; Open Position'!$D$3:$P$53,10,0),"")</f>
        <v>0</v>
      </c>
      <c r="AR13" s="4">
        <f>IFERROR(VLOOKUP($C13,'HC &amp; Open Position'!$D$3:$P$53,11,0),"")</f>
        <v>0</v>
      </c>
      <c r="AS13" s="4">
        <f>IFERROR(VLOOKUP($C13,'HC &amp; Open Position'!$D$3:$P$53,12,0),"")</f>
        <v>0</v>
      </c>
      <c r="AT13" s="94">
        <f t="shared" si="14"/>
        <v>2</v>
      </c>
      <c r="AU13" s="35">
        <f t="shared" si="15"/>
        <v>-1.2243589743589745</v>
      </c>
    </row>
    <row r="14" spans="1:47" outlineLevel="1" x14ac:dyDescent="0.25">
      <c r="A14" t="s">
        <v>73</v>
      </c>
      <c r="B14" s="53" t="s">
        <v>74</v>
      </c>
      <c r="C14" s="4" t="s">
        <v>74</v>
      </c>
      <c r="D14" s="4" t="s">
        <v>75</v>
      </c>
      <c r="E14" s="106">
        <v>44593</v>
      </c>
      <c r="F14" s="106">
        <v>45688</v>
      </c>
      <c r="G14" s="13" t="s">
        <v>201</v>
      </c>
      <c r="H14" s="13" t="s">
        <v>216</v>
      </c>
      <c r="I14" s="13" t="s">
        <v>58</v>
      </c>
      <c r="J14" s="25">
        <f>IFERROR(VLOOKUP(C14,CPH!$A:$E,5,0),"")</f>
        <v>45000</v>
      </c>
      <c r="K14" s="26">
        <v>25</v>
      </c>
      <c r="L14" s="65">
        <v>27</v>
      </c>
      <c r="M14" s="72">
        <v>23</v>
      </c>
      <c r="N14" s="69">
        <v>25</v>
      </c>
      <c r="O14" s="94">
        <v>100</v>
      </c>
      <c r="P14" s="8"/>
      <c r="Q14" s="26">
        <v>4.2433333333333332</v>
      </c>
      <c r="R14" s="65">
        <v>4.1500000000000004</v>
      </c>
      <c r="S14" s="72">
        <v>4</v>
      </c>
      <c r="T14" s="69">
        <v>4</v>
      </c>
      <c r="U14" s="94">
        <v>4.0983333333333336</v>
      </c>
      <c r="W14" s="33">
        <f t="shared" si="3"/>
        <v>3.0575141939216626</v>
      </c>
      <c r="X14" s="75">
        <f t="shared" si="4"/>
        <v>3.3763797705793226</v>
      </c>
      <c r="Y14" s="76">
        <f t="shared" si="5"/>
        <v>2.984031936127745</v>
      </c>
      <c r="Z14" s="77">
        <f t="shared" si="6"/>
        <v>3.2435129740518964</v>
      </c>
      <c r="AA14" s="100">
        <f t="shared" si="7"/>
        <v>3.1656897672730997</v>
      </c>
      <c r="AC14" s="28">
        <f t="shared" si="8"/>
        <v>2.6323910256410255</v>
      </c>
      <c r="AD14" s="9">
        <f t="shared" ref="AD14:AE14" si="24">IFERROR(AC14/8,"")</f>
        <v>0.32904887820512818</v>
      </c>
      <c r="AE14" s="9">
        <f t="shared" si="24"/>
        <v>4.1131109775641023E-2</v>
      </c>
      <c r="AF14" s="9">
        <f t="shared" si="10"/>
        <v>1.3710369925213675E-2</v>
      </c>
      <c r="AG14" s="94">
        <f t="shared" si="11"/>
        <v>3.0162813835470086</v>
      </c>
      <c r="AI14" s="34">
        <f>IFERROR(VLOOKUP($C14,'HC &amp; Open Position'!$D:$J,MATCH(AI$3,'HC &amp; Open Position'!$D$3:$J$3,1),0),"")</f>
        <v>1</v>
      </c>
      <c r="AJ14" s="4">
        <f>IFERROR(VLOOKUP($C14,'HC &amp; Open Position'!$D:$J,MATCH(AJ$3,'HC &amp; Open Position'!$D$3:$J$3,1),0),"")</f>
        <v>0</v>
      </c>
      <c r="AK14" s="4">
        <f>IFERROR(VLOOKUP($C14,'HC &amp; Open Position'!$D:$J,MATCH(AK$3,'HC &amp; Open Position'!$D$3:$J$3,1),0),"")</f>
        <v>0</v>
      </c>
      <c r="AL14" s="4">
        <f>IFERROR(VLOOKUP($C14,'HC &amp; Open Position'!$D:$J,MATCH(AL$3,'HC &amp; Open Position'!$D$3:$J$3,1),0),"")</f>
        <v>0</v>
      </c>
      <c r="AM14" s="94">
        <f t="shared" si="12"/>
        <v>1</v>
      </c>
      <c r="AN14" s="35">
        <f t="shared" si="13"/>
        <v>2.0162813835470086</v>
      </c>
      <c r="AP14" s="34">
        <f>IFERROR(VLOOKUP($C14,'HC &amp; Open Position'!$D$3:$P$53,9,0),"")</f>
        <v>0</v>
      </c>
      <c r="AQ14" s="4">
        <f>IFERROR(VLOOKUP($C14,'HC &amp; Open Position'!$D$3:$P$53,10,0),"")</f>
        <v>0</v>
      </c>
      <c r="AR14" s="4">
        <f>IFERROR(VLOOKUP($C14,'HC &amp; Open Position'!$D$3:$P$53,11,0),"")</f>
        <v>0</v>
      </c>
      <c r="AS14" s="4">
        <f>IFERROR(VLOOKUP($C14,'HC &amp; Open Position'!$D$3:$P$53,12,0),"")</f>
        <v>0</v>
      </c>
      <c r="AT14" s="94">
        <f t="shared" si="14"/>
        <v>0</v>
      </c>
      <c r="AU14" s="35">
        <f t="shared" si="15"/>
        <v>2.0162813835470086</v>
      </c>
    </row>
    <row r="15" spans="1:47" outlineLevel="1" x14ac:dyDescent="0.25">
      <c r="A15" t="s">
        <v>76</v>
      </c>
      <c r="B15" s="53" t="s">
        <v>77</v>
      </c>
      <c r="C15" s="4" t="s">
        <v>78</v>
      </c>
      <c r="D15" s="4" t="s">
        <v>75</v>
      </c>
      <c r="E15" s="106">
        <v>44635</v>
      </c>
      <c r="F15" s="106">
        <v>0</v>
      </c>
      <c r="G15" s="13" t="s">
        <v>209</v>
      </c>
      <c r="H15" s="13" t="s">
        <v>209</v>
      </c>
      <c r="I15" s="13" t="s">
        <v>38</v>
      </c>
      <c r="J15" s="25">
        <f>IFERROR(VLOOKUP(C15,CPH!$A:$E,5,0),"")</f>
        <v>54000</v>
      </c>
      <c r="K15" s="26">
        <v>428.5</v>
      </c>
      <c r="L15" s="65">
        <v>462.78000000000003</v>
      </c>
      <c r="M15" s="72">
        <v>394.22</v>
      </c>
      <c r="N15" s="69">
        <v>428.5</v>
      </c>
      <c r="O15" s="94">
        <v>1714</v>
      </c>
      <c r="P15" s="8"/>
      <c r="Q15" s="26">
        <v>70</v>
      </c>
      <c r="R15" s="65">
        <v>70</v>
      </c>
      <c r="S15" s="72">
        <v>70</v>
      </c>
      <c r="T15" s="69">
        <v>70</v>
      </c>
      <c r="U15" s="94">
        <v>70</v>
      </c>
      <c r="W15" s="33">
        <f t="shared" si="3"/>
        <v>3.1767892785856859</v>
      </c>
      <c r="X15" s="75">
        <f t="shared" si="4"/>
        <v>3.4309324208725407</v>
      </c>
      <c r="Y15" s="76">
        <f t="shared" si="5"/>
        <v>2.9226461362988312</v>
      </c>
      <c r="Z15" s="77">
        <f t="shared" si="6"/>
        <v>3.1767892785856859</v>
      </c>
      <c r="AA15" s="100">
        <f t="shared" si="7"/>
        <v>3.1767892785856859</v>
      </c>
      <c r="AC15" s="28">
        <f t="shared" si="8"/>
        <v>44.96153846153846</v>
      </c>
      <c r="AD15" s="9">
        <f t="shared" ref="AD15:AE15" si="25">IFERROR(AC15/8,"")</f>
        <v>5.6201923076923075</v>
      </c>
      <c r="AE15" s="9">
        <f t="shared" si="25"/>
        <v>0.70252403846153844</v>
      </c>
      <c r="AF15" s="9">
        <f t="shared" si="10"/>
        <v>0.23417467948717949</v>
      </c>
      <c r="AG15" s="94">
        <f t="shared" si="11"/>
        <v>51.518429487179489</v>
      </c>
      <c r="AI15" s="34">
        <f>IFERROR(VLOOKUP($C15,'HC &amp; Open Position'!$D:$J,MATCH(AI$3,'HC &amp; Open Position'!$D$3:$J$3,1),0),"")</f>
        <v>33</v>
      </c>
      <c r="AJ15" s="4">
        <f>IFERROR(VLOOKUP($C15,'HC &amp; Open Position'!$D:$J,MATCH(AJ$3,'HC &amp; Open Position'!$D$3:$J$3,1),0),"")</f>
        <v>13</v>
      </c>
      <c r="AK15" s="4">
        <f>IFERROR(VLOOKUP($C15,'HC &amp; Open Position'!$D:$J,MATCH(AK$3,'HC &amp; Open Position'!$D$3:$J$3,1),0),"")</f>
        <v>2</v>
      </c>
      <c r="AL15" s="4">
        <f>IFERROR(VLOOKUP($C15,'HC &amp; Open Position'!$D:$J,MATCH(AL$3,'HC &amp; Open Position'!$D$3:$J$3,1),0),"")</f>
        <v>0</v>
      </c>
      <c r="AM15" s="94">
        <f t="shared" si="12"/>
        <v>48</v>
      </c>
      <c r="AN15" s="35">
        <f t="shared" si="13"/>
        <v>3.518429487179489</v>
      </c>
      <c r="AP15" s="34">
        <f>IFERROR(VLOOKUP($C15,'HC &amp; Open Position'!$D$3:$P$53,9,0),"")</f>
        <v>0</v>
      </c>
      <c r="AQ15" s="4">
        <f>IFERROR(VLOOKUP($C15,'HC &amp; Open Position'!$D$3:$P$53,10,0),"")</f>
        <v>0</v>
      </c>
      <c r="AR15" s="4">
        <f>IFERROR(VLOOKUP($C15,'HC &amp; Open Position'!$D$3:$P$53,11,0),"")</f>
        <v>0</v>
      </c>
      <c r="AS15" s="4">
        <f>IFERROR(VLOOKUP($C15,'HC &amp; Open Position'!$D$3:$P$53,12,0),"")</f>
        <v>0</v>
      </c>
      <c r="AT15" s="94">
        <f t="shared" si="14"/>
        <v>0</v>
      </c>
      <c r="AU15" s="35">
        <f t="shared" si="15"/>
        <v>3.518429487179489</v>
      </c>
    </row>
    <row r="16" spans="1:47" outlineLevel="1" x14ac:dyDescent="0.25">
      <c r="A16" t="s">
        <v>81</v>
      </c>
      <c r="B16" s="53" t="s">
        <v>82</v>
      </c>
      <c r="C16" s="4" t="s">
        <v>82</v>
      </c>
      <c r="D16" s="4" t="s">
        <v>48</v>
      </c>
      <c r="E16" s="106">
        <v>44643</v>
      </c>
      <c r="F16" s="106">
        <v>45738</v>
      </c>
      <c r="G16" s="13" t="s">
        <v>251</v>
      </c>
      <c r="H16" s="13" t="s">
        <v>213</v>
      </c>
      <c r="I16" s="13" t="s">
        <v>38</v>
      </c>
      <c r="J16" s="25">
        <f>IFERROR(VLOOKUP(C16,CPH!$A:$E,5,0),"")</f>
        <v>69000</v>
      </c>
      <c r="K16" s="26">
        <v>23.5</v>
      </c>
      <c r="L16" s="65">
        <v>25.380000000000003</v>
      </c>
      <c r="M16" s="72">
        <v>21.62</v>
      </c>
      <c r="N16" s="69">
        <v>23.5</v>
      </c>
      <c r="O16" s="94">
        <v>94</v>
      </c>
      <c r="P16" s="8"/>
      <c r="Q16" s="26">
        <v>3.5</v>
      </c>
      <c r="R16" s="65">
        <v>4</v>
      </c>
      <c r="S16" s="72">
        <v>4</v>
      </c>
      <c r="T16" s="69">
        <v>4</v>
      </c>
      <c r="U16" s="94">
        <v>3.875</v>
      </c>
      <c r="W16" s="33">
        <f t="shared" si="3"/>
        <v>3.4844596521243232</v>
      </c>
      <c r="X16" s="75">
        <f t="shared" si="4"/>
        <v>3.2928143712574851</v>
      </c>
      <c r="Y16" s="76">
        <f t="shared" si="5"/>
        <v>2.8049900199600799</v>
      </c>
      <c r="Z16" s="77">
        <f t="shared" si="6"/>
        <v>3.0489021956087825</v>
      </c>
      <c r="AA16" s="100">
        <f t="shared" si="7"/>
        <v>3.1472538793380984</v>
      </c>
      <c r="AC16" s="28">
        <f t="shared" si="8"/>
        <v>2.4889423076923074</v>
      </c>
      <c r="AD16" s="9">
        <f t="shared" ref="AD16:AE16" si="26">IFERROR(AC16/8,"")</f>
        <v>0.31111778846153842</v>
      </c>
      <c r="AE16" s="9">
        <f t="shared" si="26"/>
        <v>3.8889723557692303E-2</v>
      </c>
      <c r="AF16" s="9">
        <f t="shared" si="10"/>
        <v>1.2963241185897435E-2</v>
      </c>
      <c r="AG16" s="94">
        <f t="shared" si="11"/>
        <v>2.8519130608974357</v>
      </c>
      <c r="AI16" s="34">
        <f>IFERROR(VLOOKUP($C16,'HC &amp; Open Position'!$D:$J,MATCH(AI$3,'HC &amp; Open Position'!$D$3:$J$3,1),0),"")</f>
        <v>2</v>
      </c>
      <c r="AJ16" s="4">
        <f>IFERROR(VLOOKUP($C16,'HC &amp; Open Position'!$D:$J,MATCH(AJ$3,'HC &amp; Open Position'!$D$3:$J$3,1),0),"")</f>
        <v>1</v>
      </c>
      <c r="AK16" s="4">
        <f>IFERROR(VLOOKUP($C16,'HC &amp; Open Position'!$D:$J,MATCH(AK$3,'HC &amp; Open Position'!$D$3:$J$3,1),0),"")</f>
        <v>0</v>
      </c>
      <c r="AL16" s="4">
        <f>IFERROR(VLOOKUP($C16,'HC &amp; Open Position'!$D:$J,MATCH(AL$3,'HC &amp; Open Position'!$D$3:$J$3,1),0),"")</f>
        <v>0</v>
      </c>
      <c r="AM16" s="94">
        <f t="shared" si="12"/>
        <v>3</v>
      </c>
      <c r="AN16" s="35">
        <f t="shared" si="13"/>
        <v>-0.14808693910256432</v>
      </c>
      <c r="AP16" s="34">
        <f>IFERROR(VLOOKUP($C16,'HC &amp; Open Position'!$D$3:$P$53,9,0),"")</f>
        <v>0</v>
      </c>
      <c r="AQ16" s="4">
        <f>IFERROR(VLOOKUP($C16,'HC &amp; Open Position'!$D$3:$P$53,10,0),"")</f>
        <v>0</v>
      </c>
      <c r="AR16" s="4">
        <f>IFERROR(VLOOKUP($C16,'HC &amp; Open Position'!$D$3:$P$53,11,0),"")</f>
        <v>0</v>
      </c>
      <c r="AS16" s="4">
        <f>IFERROR(VLOOKUP($C16,'HC &amp; Open Position'!$D$3:$P$53,12,0),"")</f>
        <v>0</v>
      </c>
      <c r="AT16" s="94">
        <f t="shared" si="14"/>
        <v>0</v>
      </c>
      <c r="AU16" s="35">
        <f t="shared" si="15"/>
        <v>-0.14808693910256432</v>
      </c>
    </row>
    <row r="17" spans="1:47" outlineLevel="1" x14ac:dyDescent="0.25">
      <c r="A17" t="s">
        <v>83</v>
      </c>
      <c r="B17" s="53" t="s">
        <v>84</v>
      </c>
      <c r="C17" s="4" t="s">
        <v>85</v>
      </c>
      <c r="D17" s="4" t="s">
        <v>35</v>
      </c>
      <c r="E17" s="106">
        <v>44707</v>
      </c>
      <c r="F17" s="106">
        <v>45437</v>
      </c>
      <c r="G17" s="13" t="s">
        <v>201</v>
      </c>
      <c r="H17" s="13" t="s">
        <v>214</v>
      </c>
      <c r="I17" s="13" t="s">
        <v>44</v>
      </c>
      <c r="J17" s="25">
        <f>IFERROR(VLOOKUP(C17,CPH!$A:$E,5,0),"")</f>
        <v>54000</v>
      </c>
      <c r="K17" s="26">
        <v>0</v>
      </c>
      <c r="L17" s="65">
        <v>0</v>
      </c>
      <c r="M17" s="72">
        <v>0</v>
      </c>
      <c r="N17" s="69">
        <v>0</v>
      </c>
      <c r="O17" s="94">
        <v>0</v>
      </c>
      <c r="P17" s="8"/>
      <c r="Q17" s="26">
        <v>0</v>
      </c>
      <c r="R17" s="65">
        <v>0</v>
      </c>
      <c r="S17" s="72">
        <v>0</v>
      </c>
      <c r="T17" s="69">
        <v>0</v>
      </c>
      <c r="U17" s="94">
        <v>0</v>
      </c>
      <c r="W17" s="33" t="str">
        <f t="shared" si="3"/>
        <v/>
      </c>
      <c r="X17" s="75" t="str">
        <f t="shared" si="4"/>
        <v/>
      </c>
      <c r="Y17" s="76" t="str">
        <f t="shared" si="5"/>
        <v/>
      </c>
      <c r="Z17" s="77" t="str">
        <f t="shared" si="6"/>
        <v/>
      </c>
      <c r="AA17" s="100" t="str">
        <f t="shared" si="7"/>
        <v/>
      </c>
      <c r="AC17" s="28" t="str">
        <f t="shared" si="8"/>
        <v/>
      </c>
      <c r="AD17" s="9" t="str">
        <f t="shared" ref="AD17:AE17" si="27">IFERROR(AC17/8,"")</f>
        <v/>
      </c>
      <c r="AE17" s="9" t="str">
        <f t="shared" si="27"/>
        <v/>
      </c>
      <c r="AF17" s="9" t="str">
        <f t="shared" si="10"/>
        <v/>
      </c>
      <c r="AG17" s="94">
        <f t="shared" si="11"/>
        <v>0</v>
      </c>
      <c r="AI17" s="34" t="str">
        <f>IFERROR(VLOOKUP($C17,'HC &amp; Open Position'!$D:$J,MATCH(AI$3,'HC &amp; Open Position'!$D$3:$J$3,1),0),"")</f>
        <v/>
      </c>
      <c r="AJ17" s="4" t="str">
        <f>IFERROR(VLOOKUP($C17,'HC &amp; Open Position'!$D:$J,MATCH(AJ$3,'HC &amp; Open Position'!$D$3:$J$3,1),0),"")</f>
        <v/>
      </c>
      <c r="AK17" s="4" t="str">
        <f>IFERROR(VLOOKUP($C17,'HC &amp; Open Position'!$D:$J,MATCH(AK$3,'HC &amp; Open Position'!$D$3:$J$3,1),0),"")</f>
        <v/>
      </c>
      <c r="AL17" s="4" t="str">
        <f>IFERROR(VLOOKUP($C17,'HC &amp; Open Position'!$D:$J,MATCH(AL$3,'HC &amp; Open Position'!$D$3:$J$3,1),0),"")</f>
        <v/>
      </c>
      <c r="AM17" s="94">
        <f t="shared" si="12"/>
        <v>0</v>
      </c>
      <c r="AN17" s="35">
        <f t="shared" si="13"/>
        <v>0</v>
      </c>
      <c r="AP17" s="34" t="str">
        <f>IFERROR(VLOOKUP($C17,'HC &amp; Open Position'!$D$3:$P$53,9,0),"")</f>
        <v/>
      </c>
      <c r="AQ17" s="4" t="str">
        <f>IFERROR(VLOOKUP($C17,'HC &amp; Open Position'!$D$3:$P$53,10,0),"")</f>
        <v/>
      </c>
      <c r="AR17" s="4" t="str">
        <f>IFERROR(VLOOKUP($C17,'HC &amp; Open Position'!$D$3:$P$53,11,0),"")</f>
        <v/>
      </c>
      <c r="AS17" s="4" t="str">
        <f>IFERROR(VLOOKUP($C17,'HC &amp; Open Position'!$D$3:$P$53,12,0),"")</f>
        <v/>
      </c>
      <c r="AT17" s="94">
        <f t="shared" si="14"/>
        <v>0</v>
      </c>
      <c r="AU17" s="35">
        <f t="shared" si="15"/>
        <v>0</v>
      </c>
    </row>
    <row r="18" spans="1:47" outlineLevel="1" x14ac:dyDescent="0.25">
      <c r="A18" t="s">
        <v>86</v>
      </c>
      <c r="B18" s="53" t="s">
        <v>87</v>
      </c>
      <c r="C18" s="4" t="s">
        <v>88</v>
      </c>
      <c r="D18" s="4" t="s">
        <v>89</v>
      </c>
      <c r="E18" s="106">
        <v>44599</v>
      </c>
      <c r="F18" s="106">
        <v>48250</v>
      </c>
      <c r="G18" s="13" t="s">
        <v>201</v>
      </c>
      <c r="H18" s="13" t="s">
        <v>206</v>
      </c>
      <c r="I18" s="13" t="s">
        <v>44</v>
      </c>
      <c r="J18" s="25">
        <f>IFERROR(VLOOKUP(C18,CPH!$A:$E,5,0),"")</f>
        <v>22000</v>
      </c>
      <c r="K18" s="26">
        <v>25</v>
      </c>
      <c r="L18" s="65">
        <v>27</v>
      </c>
      <c r="M18" s="72">
        <v>23</v>
      </c>
      <c r="N18" s="69">
        <v>25</v>
      </c>
      <c r="O18" s="94">
        <v>100</v>
      </c>
      <c r="P18" s="8"/>
      <c r="Q18" s="26">
        <v>8</v>
      </c>
      <c r="R18" s="65">
        <v>8</v>
      </c>
      <c r="S18" s="72">
        <v>8</v>
      </c>
      <c r="T18" s="69">
        <v>8</v>
      </c>
      <c r="U18" s="94">
        <v>8</v>
      </c>
      <c r="W18" s="33">
        <f t="shared" si="3"/>
        <v>1.6217564870259482</v>
      </c>
      <c r="X18" s="75">
        <f t="shared" si="4"/>
        <v>1.7514970059880242</v>
      </c>
      <c r="Y18" s="76">
        <f t="shared" si="5"/>
        <v>1.4920159680638725</v>
      </c>
      <c r="Z18" s="77">
        <f t="shared" si="6"/>
        <v>1.6217564870259482</v>
      </c>
      <c r="AA18" s="100">
        <f t="shared" si="7"/>
        <v>1.6217564870259482</v>
      </c>
      <c r="AC18" s="28">
        <f t="shared" si="8"/>
        <v>5.138461538461538</v>
      </c>
      <c r="AD18" s="9">
        <f t="shared" ref="AD18:AE18" si="28">IFERROR(AC18/8,"")</f>
        <v>0.64230769230769225</v>
      </c>
      <c r="AE18" s="9">
        <f t="shared" si="28"/>
        <v>8.0288461538461531E-2</v>
      </c>
      <c r="AF18" s="9">
        <f t="shared" si="10"/>
        <v>2.6762820512820511E-2</v>
      </c>
      <c r="AG18" s="94">
        <f t="shared" si="11"/>
        <v>5.8878205128205119</v>
      </c>
      <c r="AI18" s="34">
        <f>IFERROR(VLOOKUP($C18,'HC &amp; Open Position'!$D:$J,MATCH(AI$3,'HC &amp; Open Position'!$D$3:$J$3,1),0),"")</f>
        <v>6</v>
      </c>
      <c r="AJ18" s="4">
        <f>IFERROR(VLOOKUP($C18,'HC &amp; Open Position'!$D:$J,MATCH(AJ$3,'HC &amp; Open Position'!$D$3:$J$3,1),0),"")</f>
        <v>1</v>
      </c>
      <c r="AK18" s="4">
        <f>IFERROR(VLOOKUP($C18,'HC &amp; Open Position'!$D:$J,MATCH(AK$3,'HC &amp; Open Position'!$D$3:$J$3,1),0),"")</f>
        <v>0</v>
      </c>
      <c r="AL18" s="4">
        <f>IFERROR(VLOOKUP($C18,'HC &amp; Open Position'!$D:$J,MATCH(AL$3,'HC &amp; Open Position'!$D$3:$J$3,1),0),"")</f>
        <v>0</v>
      </c>
      <c r="AM18" s="94">
        <f t="shared" si="12"/>
        <v>7</v>
      </c>
      <c r="AN18" s="35">
        <f t="shared" si="13"/>
        <v>-1.1121794871794881</v>
      </c>
      <c r="AP18" s="34">
        <f>IFERROR(VLOOKUP($C18,'HC &amp; Open Position'!$D$3:$P$53,9,0),"")</f>
        <v>0</v>
      </c>
      <c r="AQ18" s="4">
        <f>IFERROR(VLOOKUP($C18,'HC &amp; Open Position'!$D$3:$P$53,10,0),"")</f>
        <v>0</v>
      </c>
      <c r="AR18" s="4">
        <f>IFERROR(VLOOKUP($C18,'HC &amp; Open Position'!$D$3:$P$53,11,0),"")</f>
        <v>0</v>
      </c>
      <c r="AS18" s="4">
        <f>IFERROR(VLOOKUP($C18,'HC &amp; Open Position'!$D$3:$P$53,12,0),"")</f>
        <v>0</v>
      </c>
      <c r="AT18" s="94">
        <f t="shared" si="14"/>
        <v>0</v>
      </c>
      <c r="AU18" s="35">
        <f t="shared" si="15"/>
        <v>-1.1121794871794881</v>
      </c>
    </row>
    <row r="19" spans="1:47" outlineLevel="1" x14ac:dyDescent="0.25">
      <c r="A19" t="s">
        <v>90</v>
      </c>
      <c r="B19" s="53" t="s">
        <v>91</v>
      </c>
      <c r="C19" s="4" t="s">
        <v>91</v>
      </c>
      <c r="D19" s="4" t="s">
        <v>92</v>
      </c>
      <c r="E19" s="106">
        <v>42584</v>
      </c>
      <c r="F19" s="106">
        <v>46235</v>
      </c>
      <c r="G19" s="13" t="s">
        <v>251</v>
      </c>
      <c r="H19" s="13" t="s">
        <v>207</v>
      </c>
      <c r="I19" s="13" t="s">
        <v>38</v>
      </c>
      <c r="J19" s="25">
        <f>IFERROR(VLOOKUP(C19,CPH!$A:$E,5,0),"")</f>
        <v>27000</v>
      </c>
      <c r="K19" s="26">
        <v>12</v>
      </c>
      <c r="L19" s="65">
        <v>12.96</v>
      </c>
      <c r="M19" s="72">
        <v>11.040000000000001</v>
      </c>
      <c r="N19" s="69">
        <v>12</v>
      </c>
      <c r="O19" s="94">
        <v>48</v>
      </c>
      <c r="P19" s="8"/>
      <c r="Q19" s="26">
        <v>3.0333333333333332</v>
      </c>
      <c r="R19" s="65">
        <v>3</v>
      </c>
      <c r="S19" s="72">
        <v>3</v>
      </c>
      <c r="T19" s="69">
        <v>3</v>
      </c>
      <c r="U19" s="94">
        <v>3.0083333333333333</v>
      </c>
      <c r="W19" s="33">
        <f t="shared" si="3"/>
        <v>2.0530367835757062</v>
      </c>
      <c r="X19" s="75">
        <f t="shared" si="4"/>
        <v>2.2419161676646713</v>
      </c>
      <c r="Y19" s="76">
        <f t="shared" si="5"/>
        <v>1.9097804391217565</v>
      </c>
      <c r="Z19" s="77">
        <f t="shared" si="6"/>
        <v>2.0758483033932138</v>
      </c>
      <c r="AA19" s="100">
        <f t="shared" si="7"/>
        <v>2.0700980310846453</v>
      </c>
      <c r="AC19" s="28">
        <f t="shared" si="8"/>
        <v>1.932275641025641</v>
      </c>
      <c r="AD19" s="9">
        <f t="shared" ref="AD19:AE19" si="29">IFERROR(AC19/8,"")</f>
        <v>0.24153445512820512</v>
      </c>
      <c r="AE19" s="9">
        <f t="shared" si="29"/>
        <v>3.019180689102564E-2</v>
      </c>
      <c r="AF19" s="9">
        <f t="shared" si="10"/>
        <v>1.0063935630341881E-2</v>
      </c>
      <c r="AG19" s="94">
        <f t="shared" si="11"/>
        <v>2.2140658386752139</v>
      </c>
      <c r="AI19" s="34">
        <f>IFERROR(VLOOKUP($C19,'HC &amp; Open Position'!$D:$J,MATCH(AI$3,'HC &amp; Open Position'!$D$3:$J$3,1),0),"")</f>
        <v>2</v>
      </c>
      <c r="AJ19" s="4">
        <f>IFERROR(VLOOKUP($C19,'HC &amp; Open Position'!$D:$J,MATCH(AJ$3,'HC &amp; Open Position'!$D$3:$J$3,1),0),"")</f>
        <v>1</v>
      </c>
      <c r="AK19" s="4">
        <f>IFERROR(VLOOKUP($C19,'HC &amp; Open Position'!$D:$J,MATCH(AK$3,'HC &amp; Open Position'!$D$3:$J$3,1),0),"")</f>
        <v>0</v>
      </c>
      <c r="AL19" s="4">
        <f>IFERROR(VLOOKUP($C19,'HC &amp; Open Position'!$D:$J,MATCH(AL$3,'HC &amp; Open Position'!$D$3:$J$3,1),0),"")</f>
        <v>0</v>
      </c>
      <c r="AM19" s="94">
        <f t="shared" si="12"/>
        <v>3</v>
      </c>
      <c r="AN19" s="35">
        <f t="shared" si="13"/>
        <v>-0.78593416132478611</v>
      </c>
      <c r="AP19" s="34">
        <f>IFERROR(VLOOKUP($C19,'HC &amp; Open Position'!$D$3:$P$53,9,0),"")</f>
        <v>0</v>
      </c>
      <c r="AQ19" s="4">
        <f>IFERROR(VLOOKUP($C19,'HC &amp; Open Position'!$D$3:$P$53,10,0),"")</f>
        <v>0</v>
      </c>
      <c r="AR19" s="4">
        <f>IFERROR(VLOOKUP($C19,'HC &amp; Open Position'!$D$3:$P$53,11,0),"")</f>
        <v>0</v>
      </c>
      <c r="AS19" s="4">
        <f>IFERROR(VLOOKUP($C19,'HC &amp; Open Position'!$D$3:$P$53,12,0),"")</f>
        <v>0</v>
      </c>
      <c r="AT19" s="94">
        <f t="shared" si="14"/>
        <v>0</v>
      </c>
      <c r="AU19" s="35">
        <f t="shared" si="15"/>
        <v>-0.78593416132478611</v>
      </c>
    </row>
    <row r="20" spans="1:47" outlineLevel="1" x14ac:dyDescent="0.25">
      <c r="A20" t="s">
        <v>94</v>
      </c>
      <c r="B20" s="53" t="s">
        <v>95</v>
      </c>
      <c r="C20" s="4" t="s">
        <v>95</v>
      </c>
      <c r="D20" s="4" t="s">
        <v>48</v>
      </c>
      <c r="E20" s="106">
        <v>42310</v>
      </c>
      <c r="F20" s="106">
        <v>46325</v>
      </c>
      <c r="G20" s="13" t="s">
        <v>201</v>
      </c>
      <c r="H20" s="13" t="s">
        <v>210</v>
      </c>
      <c r="I20" s="13" t="s">
        <v>44</v>
      </c>
      <c r="J20" s="25">
        <f>IFERROR(VLOOKUP(C20,CPH!$A:$E,5,0),"")</f>
        <v>65000</v>
      </c>
      <c r="K20" s="26">
        <v>275</v>
      </c>
      <c r="L20" s="65">
        <v>297</v>
      </c>
      <c r="M20" s="72">
        <v>253</v>
      </c>
      <c r="N20" s="69">
        <v>275</v>
      </c>
      <c r="O20" s="94">
        <v>1100</v>
      </c>
      <c r="P20" s="8"/>
      <c r="Q20" s="26">
        <v>63</v>
      </c>
      <c r="R20" s="65">
        <v>63</v>
      </c>
      <c r="S20" s="72">
        <v>63</v>
      </c>
      <c r="T20" s="69">
        <v>63</v>
      </c>
      <c r="U20" s="94">
        <v>63</v>
      </c>
      <c r="W20" s="33">
        <f t="shared" si="3"/>
        <v>2.2653106485441814</v>
      </c>
      <c r="X20" s="75">
        <f t="shared" si="4"/>
        <v>2.4465355004277161</v>
      </c>
      <c r="Y20" s="76">
        <f t="shared" si="5"/>
        <v>2.0840857966606472</v>
      </c>
      <c r="Z20" s="77">
        <f t="shared" si="6"/>
        <v>2.2653106485441814</v>
      </c>
      <c r="AA20" s="100">
        <f t="shared" si="7"/>
        <v>2.2653106485441814</v>
      </c>
      <c r="AC20" s="28">
        <f t="shared" si="8"/>
        <v>40.465384615384615</v>
      </c>
      <c r="AD20" s="9">
        <f t="shared" ref="AD20:AE20" si="30">IFERROR(AC20/8,"")</f>
        <v>5.0581730769230768</v>
      </c>
      <c r="AE20" s="9">
        <f t="shared" si="30"/>
        <v>0.6322716346153846</v>
      </c>
      <c r="AF20" s="9">
        <f t="shared" si="10"/>
        <v>0.21075721153846153</v>
      </c>
      <c r="AG20" s="94">
        <f t="shared" si="11"/>
        <v>46.36658653846154</v>
      </c>
      <c r="AI20" s="34">
        <f>IFERROR(VLOOKUP($C20,'HC &amp; Open Position'!$D:$J,MATCH(AI$3,'HC &amp; Open Position'!$D$3:$J$3,1),0),"")</f>
        <v>65</v>
      </c>
      <c r="AJ20" s="4">
        <f>IFERROR(VLOOKUP($C20,'HC &amp; Open Position'!$D:$J,MATCH(AJ$3,'HC &amp; Open Position'!$D$3:$J$3,1),0),"")</f>
        <v>16</v>
      </c>
      <c r="AK20" s="4">
        <f>IFERROR(VLOOKUP($C20,'HC &amp; Open Position'!$D:$J,MATCH(AK$3,'HC &amp; Open Position'!$D$3:$J$3,1),0),"")</f>
        <v>1</v>
      </c>
      <c r="AL20" s="4">
        <f>IFERROR(VLOOKUP($C20,'HC &amp; Open Position'!$D:$J,MATCH(AL$3,'HC &amp; Open Position'!$D$3:$J$3,1),0),"")</f>
        <v>0</v>
      </c>
      <c r="AM20" s="94">
        <f t="shared" si="12"/>
        <v>82</v>
      </c>
      <c r="AN20" s="35">
        <f t="shared" si="13"/>
        <v>-35.63341346153846</v>
      </c>
      <c r="AP20" s="34">
        <f>IFERROR(VLOOKUP($C20,'HC &amp; Open Position'!$D$3:$P$53,9,0),"")</f>
        <v>4</v>
      </c>
      <c r="AQ20" s="4">
        <f>IFERROR(VLOOKUP($C20,'HC &amp; Open Position'!$D$3:$P$53,10,0),"")</f>
        <v>1</v>
      </c>
      <c r="AR20" s="4">
        <f>IFERROR(VLOOKUP($C20,'HC &amp; Open Position'!$D$3:$P$53,11,0),"")</f>
        <v>1</v>
      </c>
      <c r="AS20" s="4">
        <f>IFERROR(VLOOKUP($C20,'HC &amp; Open Position'!$D$3:$P$53,12,0),"")</f>
        <v>0</v>
      </c>
      <c r="AT20" s="94">
        <f t="shared" si="14"/>
        <v>6</v>
      </c>
      <c r="AU20" s="35">
        <f t="shared" si="15"/>
        <v>-41.63341346153846</v>
      </c>
    </row>
    <row r="21" spans="1:47" outlineLevel="1" x14ac:dyDescent="0.25">
      <c r="A21" t="s">
        <v>97</v>
      </c>
      <c r="B21" s="53" t="s">
        <v>98</v>
      </c>
      <c r="C21" s="4" t="s">
        <v>98</v>
      </c>
      <c r="D21" s="4" t="s">
        <v>99</v>
      </c>
      <c r="E21" s="106">
        <v>44530</v>
      </c>
      <c r="F21" s="106">
        <v>45777</v>
      </c>
      <c r="G21" s="13" t="s">
        <v>251</v>
      </c>
      <c r="H21" s="13" t="s">
        <v>207</v>
      </c>
      <c r="I21" s="13" t="s">
        <v>38</v>
      </c>
      <c r="J21" s="25">
        <f>IFERROR(VLOOKUP(C21,CPH!$A:$E,5,0),"")</f>
        <v>176000</v>
      </c>
      <c r="K21" s="26">
        <v>5.25</v>
      </c>
      <c r="L21" s="65">
        <v>5.67</v>
      </c>
      <c r="M21" s="72">
        <v>4.83</v>
      </c>
      <c r="N21" s="69">
        <v>5.25</v>
      </c>
      <c r="O21" s="94">
        <v>21</v>
      </c>
      <c r="P21" s="8"/>
      <c r="Q21" s="26">
        <v>2</v>
      </c>
      <c r="R21" s="65">
        <v>2</v>
      </c>
      <c r="S21" s="72">
        <v>2</v>
      </c>
      <c r="T21" s="69">
        <v>2</v>
      </c>
      <c r="U21" s="94">
        <v>2</v>
      </c>
      <c r="W21" s="33">
        <f t="shared" si="3"/>
        <v>1.3622754491017968</v>
      </c>
      <c r="X21" s="75">
        <f t="shared" si="4"/>
        <v>1.4712574850299405</v>
      </c>
      <c r="Y21" s="76">
        <f t="shared" si="5"/>
        <v>1.2532934131736528</v>
      </c>
      <c r="Z21" s="77">
        <f t="shared" si="6"/>
        <v>1.3622754491017968</v>
      </c>
      <c r="AA21" s="100">
        <f t="shared" si="7"/>
        <v>1.3622754491017968</v>
      </c>
      <c r="AC21" s="28">
        <f t="shared" si="8"/>
        <v>1.2846153846153843</v>
      </c>
      <c r="AD21" s="9">
        <f t="shared" ref="AD21:AE21" si="31">IFERROR(AC21/8,"")</f>
        <v>0.16057692307692303</v>
      </c>
      <c r="AE21" s="9">
        <f t="shared" si="31"/>
        <v>2.0072115384615379E-2</v>
      </c>
      <c r="AF21" s="9">
        <f t="shared" si="10"/>
        <v>6.6907051282051261E-3</v>
      </c>
      <c r="AG21" s="94">
        <f t="shared" si="11"/>
        <v>1.4719551282051275</v>
      </c>
      <c r="AI21" s="34" t="str">
        <f>IFERROR(VLOOKUP($C21,'HC &amp; Open Position'!$D:$J,MATCH(AI$3,'HC &amp; Open Position'!$D$3:$J$3,1),0),"")</f>
        <v/>
      </c>
      <c r="AJ21" s="4" t="str">
        <f>IFERROR(VLOOKUP($C21,'HC &amp; Open Position'!$D:$J,MATCH(AJ$3,'HC &amp; Open Position'!$D$3:$J$3,1),0),"")</f>
        <v/>
      </c>
      <c r="AK21" s="4" t="str">
        <f>IFERROR(VLOOKUP($C21,'HC &amp; Open Position'!$D:$J,MATCH(AK$3,'HC &amp; Open Position'!$D$3:$J$3,1),0),"")</f>
        <v/>
      </c>
      <c r="AL21" s="4" t="str">
        <f>IFERROR(VLOOKUP($C21,'HC &amp; Open Position'!$D:$J,MATCH(AL$3,'HC &amp; Open Position'!$D$3:$J$3,1),0),"")</f>
        <v/>
      </c>
      <c r="AM21" s="94">
        <f t="shared" si="12"/>
        <v>0</v>
      </c>
      <c r="AN21" s="35">
        <f t="shared" si="13"/>
        <v>1.4719551282051275</v>
      </c>
      <c r="AP21" s="34" t="str">
        <f>IFERROR(VLOOKUP($C21,'HC &amp; Open Position'!$D$3:$P$53,9,0),"")</f>
        <v/>
      </c>
      <c r="AQ21" s="4" t="str">
        <f>IFERROR(VLOOKUP($C21,'HC &amp; Open Position'!$D$3:$P$53,10,0),"")</f>
        <v/>
      </c>
      <c r="AR21" s="4" t="str">
        <f>IFERROR(VLOOKUP($C21,'HC &amp; Open Position'!$D$3:$P$53,11,0),"")</f>
        <v/>
      </c>
      <c r="AS21" s="4" t="str">
        <f>IFERROR(VLOOKUP($C21,'HC &amp; Open Position'!$D$3:$P$53,12,0),"")</f>
        <v/>
      </c>
      <c r="AT21" s="94">
        <f t="shared" si="14"/>
        <v>0</v>
      </c>
      <c r="AU21" s="35">
        <f t="shared" si="15"/>
        <v>1.4719551282051275</v>
      </c>
    </row>
    <row r="22" spans="1:47" outlineLevel="1" x14ac:dyDescent="0.25">
      <c r="A22" t="s">
        <v>100</v>
      </c>
      <c r="B22" s="53" t="s">
        <v>101</v>
      </c>
      <c r="C22" s="4" t="s">
        <v>101</v>
      </c>
      <c r="D22" s="4" t="s">
        <v>75</v>
      </c>
      <c r="E22" s="106">
        <v>41816</v>
      </c>
      <c r="F22" s="106">
        <v>45838</v>
      </c>
      <c r="G22" s="13" t="s">
        <v>251</v>
      </c>
      <c r="H22" s="13" t="s">
        <v>215</v>
      </c>
      <c r="I22" s="13" t="s">
        <v>38</v>
      </c>
      <c r="J22" s="25">
        <f>IFERROR(VLOOKUP(C22,CPH!$A:$E,5,0),"")</f>
        <v>45000</v>
      </c>
      <c r="K22" s="26">
        <v>67.5</v>
      </c>
      <c r="L22" s="65">
        <v>72.900000000000006</v>
      </c>
      <c r="M22" s="72">
        <v>62.1</v>
      </c>
      <c r="N22" s="69">
        <v>67.5</v>
      </c>
      <c r="O22" s="94">
        <v>270</v>
      </c>
      <c r="P22" s="8"/>
      <c r="Q22" s="26">
        <v>11</v>
      </c>
      <c r="R22" s="65">
        <v>11</v>
      </c>
      <c r="S22" s="72">
        <v>11</v>
      </c>
      <c r="T22" s="69">
        <v>11</v>
      </c>
      <c r="U22" s="94">
        <v>11</v>
      </c>
      <c r="W22" s="33">
        <f t="shared" si="3"/>
        <v>3.1845400108873165</v>
      </c>
      <c r="X22" s="75">
        <f t="shared" si="4"/>
        <v>3.4393032117583018</v>
      </c>
      <c r="Y22" s="76">
        <f t="shared" si="5"/>
        <v>2.9297768100163317</v>
      </c>
      <c r="Z22" s="77">
        <f t="shared" si="6"/>
        <v>3.1845400108873165</v>
      </c>
      <c r="AA22" s="100">
        <f t="shared" si="7"/>
        <v>3.1845400108873165</v>
      </c>
      <c r="AC22" s="28">
        <f t="shared" si="8"/>
        <v>7.0653846153846143</v>
      </c>
      <c r="AD22" s="9">
        <f t="shared" ref="AD22:AE22" si="32">IFERROR(AC22/8,"")</f>
        <v>0.88317307692307678</v>
      </c>
      <c r="AE22" s="9">
        <f t="shared" si="32"/>
        <v>0.1103966346153846</v>
      </c>
      <c r="AF22" s="9">
        <f t="shared" si="10"/>
        <v>3.6798878205128199E-2</v>
      </c>
      <c r="AG22" s="94">
        <f t="shared" si="11"/>
        <v>8.0957532051282026</v>
      </c>
      <c r="AI22" s="34">
        <f>IFERROR(VLOOKUP($C22,'HC &amp; Open Position'!$D:$J,MATCH(AI$3,'HC &amp; Open Position'!$D$3:$J$3,1),0),"")</f>
        <v>14</v>
      </c>
      <c r="AJ22" s="4">
        <f>IFERROR(VLOOKUP($C22,'HC &amp; Open Position'!$D:$J,MATCH(AJ$3,'HC &amp; Open Position'!$D$3:$J$3,1),0),"")</f>
        <v>1</v>
      </c>
      <c r="AK22" s="4">
        <f>IFERROR(VLOOKUP($C22,'HC &amp; Open Position'!$D:$J,MATCH(AK$3,'HC &amp; Open Position'!$D$3:$J$3,1),0),"")</f>
        <v>1</v>
      </c>
      <c r="AL22" s="4">
        <f>IFERROR(VLOOKUP($C22,'HC &amp; Open Position'!$D:$J,MATCH(AL$3,'HC &amp; Open Position'!$D$3:$J$3,1),0),"")</f>
        <v>0</v>
      </c>
      <c r="AM22" s="94">
        <f t="shared" si="12"/>
        <v>16</v>
      </c>
      <c r="AN22" s="35">
        <f t="shared" si="13"/>
        <v>-7.9042467948717974</v>
      </c>
      <c r="AP22" s="34">
        <f>IFERROR(VLOOKUP($C22,'HC &amp; Open Position'!$D$3:$P$53,9,0),"")</f>
        <v>0</v>
      </c>
      <c r="AQ22" s="4">
        <f>IFERROR(VLOOKUP($C22,'HC &amp; Open Position'!$D$3:$P$53,10,0),"")</f>
        <v>0</v>
      </c>
      <c r="AR22" s="4">
        <f>IFERROR(VLOOKUP($C22,'HC &amp; Open Position'!$D$3:$P$53,11,0),"")</f>
        <v>0</v>
      </c>
      <c r="AS22" s="4">
        <f>IFERROR(VLOOKUP($C22,'HC &amp; Open Position'!$D$3:$P$53,12,0),"")</f>
        <v>0</v>
      </c>
      <c r="AT22" s="94">
        <f t="shared" si="14"/>
        <v>0</v>
      </c>
      <c r="AU22" s="35">
        <f t="shared" si="15"/>
        <v>-7.9042467948717974</v>
      </c>
    </row>
    <row r="23" spans="1:47" outlineLevel="1" x14ac:dyDescent="0.25">
      <c r="A23" t="s">
        <v>103</v>
      </c>
      <c r="B23" s="53" t="s">
        <v>104</v>
      </c>
      <c r="C23" s="4" t="s">
        <v>105</v>
      </c>
      <c r="D23" s="4" t="s">
        <v>48</v>
      </c>
      <c r="E23" s="106">
        <v>44799</v>
      </c>
      <c r="F23" s="106">
        <v>45894</v>
      </c>
      <c r="G23" s="13" t="s">
        <v>201</v>
      </c>
      <c r="H23" s="13" t="s">
        <v>214</v>
      </c>
      <c r="I23" s="13" t="s">
        <v>44</v>
      </c>
      <c r="J23" s="25">
        <f>IFERROR(VLOOKUP(C23,CPH!$A:$E,5,0),"")</f>
        <v>50000</v>
      </c>
      <c r="K23" s="26">
        <v>9</v>
      </c>
      <c r="L23" s="65">
        <v>9.7200000000000006</v>
      </c>
      <c r="M23" s="72">
        <v>8.2800000000000011</v>
      </c>
      <c r="N23" s="69">
        <v>9</v>
      </c>
      <c r="O23" s="94">
        <v>36</v>
      </c>
      <c r="P23" s="8"/>
      <c r="Q23" s="26">
        <v>1</v>
      </c>
      <c r="R23" s="65">
        <v>1</v>
      </c>
      <c r="S23" s="72">
        <v>1</v>
      </c>
      <c r="T23" s="69">
        <v>1</v>
      </c>
      <c r="U23" s="94">
        <v>1</v>
      </c>
      <c r="W23" s="33">
        <f t="shared" si="3"/>
        <v>4.6706586826347314</v>
      </c>
      <c r="X23" s="75">
        <f t="shared" si="4"/>
        <v>5.0443113772455099</v>
      </c>
      <c r="Y23" s="76">
        <f t="shared" si="5"/>
        <v>4.2970059880239528</v>
      </c>
      <c r="Z23" s="77">
        <f t="shared" si="6"/>
        <v>4.6706586826347314</v>
      </c>
      <c r="AA23" s="100">
        <f t="shared" si="7"/>
        <v>4.6706586826347314</v>
      </c>
      <c r="AC23" s="28">
        <f t="shared" si="8"/>
        <v>0.64230769230769214</v>
      </c>
      <c r="AD23" s="9">
        <f t="shared" ref="AD23:AE23" si="33">IFERROR(AC23/8,"")</f>
        <v>8.0288461538461517E-2</v>
      </c>
      <c r="AE23" s="9">
        <f t="shared" si="33"/>
        <v>1.003605769230769E-2</v>
      </c>
      <c r="AF23" s="9">
        <f t="shared" si="10"/>
        <v>3.3453525641025631E-3</v>
      </c>
      <c r="AG23" s="94">
        <f t="shared" si="11"/>
        <v>0.73597756410256376</v>
      </c>
      <c r="AI23" s="34" t="str">
        <f>IFERROR(VLOOKUP($C23,'HC &amp; Open Position'!$D:$J,MATCH(AI$3,'HC &amp; Open Position'!$D$3:$J$3,1),0),"")</f>
        <v/>
      </c>
      <c r="AJ23" s="4" t="str">
        <f>IFERROR(VLOOKUP($C23,'HC &amp; Open Position'!$D:$J,MATCH(AJ$3,'HC &amp; Open Position'!$D$3:$J$3,1),0),"")</f>
        <v/>
      </c>
      <c r="AK23" s="4" t="str">
        <f>IFERROR(VLOOKUP($C23,'HC &amp; Open Position'!$D:$J,MATCH(AK$3,'HC &amp; Open Position'!$D$3:$J$3,1),0),"")</f>
        <v/>
      </c>
      <c r="AL23" s="4" t="str">
        <f>IFERROR(VLOOKUP($C23,'HC &amp; Open Position'!$D:$J,MATCH(AL$3,'HC &amp; Open Position'!$D$3:$J$3,1),0),"")</f>
        <v/>
      </c>
      <c r="AM23" s="94">
        <f t="shared" si="12"/>
        <v>0</v>
      </c>
      <c r="AN23" s="35">
        <f t="shared" si="13"/>
        <v>0.73597756410256376</v>
      </c>
      <c r="AP23" s="34" t="str">
        <f>IFERROR(VLOOKUP($C23,'HC &amp; Open Position'!$D$3:$P$53,9,0),"")</f>
        <v/>
      </c>
      <c r="AQ23" s="4" t="str">
        <f>IFERROR(VLOOKUP($C23,'HC &amp; Open Position'!$D$3:$P$53,10,0),"")</f>
        <v/>
      </c>
      <c r="AR23" s="4" t="str">
        <f>IFERROR(VLOOKUP($C23,'HC &amp; Open Position'!$D$3:$P$53,11,0),"")</f>
        <v/>
      </c>
      <c r="AS23" s="4" t="str">
        <f>IFERROR(VLOOKUP($C23,'HC &amp; Open Position'!$D$3:$P$53,12,0),"")</f>
        <v/>
      </c>
      <c r="AT23" s="94">
        <f t="shared" si="14"/>
        <v>0</v>
      </c>
      <c r="AU23" s="35">
        <f t="shared" si="15"/>
        <v>0.73597756410256376</v>
      </c>
    </row>
    <row r="24" spans="1:47" outlineLevel="1" x14ac:dyDescent="0.25">
      <c r="A24" t="s">
        <v>106</v>
      </c>
      <c r="B24" s="53" t="s">
        <v>107</v>
      </c>
      <c r="C24" s="4" t="s">
        <v>107</v>
      </c>
      <c r="D24" s="4" t="s">
        <v>108</v>
      </c>
      <c r="E24" s="106">
        <v>44771</v>
      </c>
      <c r="F24" s="106">
        <v>45501</v>
      </c>
      <c r="G24" s="13" t="s">
        <v>201</v>
      </c>
      <c r="H24" s="13" t="s">
        <v>206</v>
      </c>
      <c r="I24" s="13" t="s">
        <v>44</v>
      </c>
      <c r="J24" s="25">
        <f>IFERROR(VLOOKUP(C24,CPH!$A:$E,5,0),"")</f>
        <v>60000</v>
      </c>
      <c r="K24" s="26">
        <v>0</v>
      </c>
      <c r="L24" s="65">
        <v>0</v>
      </c>
      <c r="M24" s="72">
        <v>0</v>
      </c>
      <c r="N24" s="69">
        <v>0</v>
      </c>
      <c r="O24" s="94">
        <v>0</v>
      </c>
      <c r="P24" s="8"/>
      <c r="Q24" s="26">
        <v>0</v>
      </c>
      <c r="R24" s="65">
        <v>0</v>
      </c>
      <c r="S24" s="72">
        <v>0</v>
      </c>
      <c r="T24" s="69">
        <v>0</v>
      </c>
      <c r="U24" s="94">
        <v>0</v>
      </c>
      <c r="W24" s="33" t="str">
        <f t="shared" si="3"/>
        <v/>
      </c>
      <c r="X24" s="75" t="str">
        <f t="shared" si="4"/>
        <v/>
      </c>
      <c r="Y24" s="76" t="str">
        <f t="shared" si="5"/>
        <v/>
      </c>
      <c r="Z24" s="77" t="str">
        <f t="shared" si="6"/>
        <v/>
      </c>
      <c r="AA24" s="100" t="str">
        <f t="shared" si="7"/>
        <v/>
      </c>
      <c r="AC24" s="28" t="str">
        <f t="shared" si="8"/>
        <v/>
      </c>
      <c r="AD24" s="9" t="str">
        <f t="shared" ref="AD24:AE24" si="34">IFERROR(AC24/8,"")</f>
        <v/>
      </c>
      <c r="AE24" s="9" t="str">
        <f t="shared" si="34"/>
        <v/>
      </c>
      <c r="AF24" s="9" t="str">
        <f t="shared" si="10"/>
        <v/>
      </c>
      <c r="AG24" s="94">
        <f t="shared" si="11"/>
        <v>0</v>
      </c>
      <c r="AI24" s="34" t="str">
        <f>IFERROR(VLOOKUP($C24,'HC &amp; Open Position'!$D:$J,MATCH(AI$3,'HC &amp; Open Position'!$D$3:$J$3,1),0),"")</f>
        <v/>
      </c>
      <c r="AJ24" s="4" t="str">
        <f>IFERROR(VLOOKUP($C24,'HC &amp; Open Position'!$D:$J,MATCH(AJ$3,'HC &amp; Open Position'!$D$3:$J$3,1),0),"")</f>
        <v/>
      </c>
      <c r="AK24" s="4" t="str">
        <f>IFERROR(VLOOKUP($C24,'HC &amp; Open Position'!$D:$J,MATCH(AK$3,'HC &amp; Open Position'!$D$3:$J$3,1),0),"")</f>
        <v/>
      </c>
      <c r="AL24" s="4" t="str">
        <f>IFERROR(VLOOKUP($C24,'HC &amp; Open Position'!$D:$J,MATCH(AL$3,'HC &amp; Open Position'!$D$3:$J$3,1),0),"")</f>
        <v/>
      </c>
      <c r="AM24" s="94">
        <f t="shared" si="12"/>
        <v>0</v>
      </c>
      <c r="AN24" s="35">
        <f t="shared" si="13"/>
        <v>0</v>
      </c>
      <c r="AP24" s="34" t="str">
        <f>IFERROR(VLOOKUP($C24,'HC &amp; Open Position'!$D$3:$P$53,9,0),"")</f>
        <v/>
      </c>
      <c r="AQ24" s="4" t="str">
        <f>IFERROR(VLOOKUP($C24,'HC &amp; Open Position'!$D$3:$P$53,10,0),"")</f>
        <v/>
      </c>
      <c r="AR24" s="4" t="str">
        <f>IFERROR(VLOOKUP($C24,'HC &amp; Open Position'!$D$3:$P$53,11,0),"")</f>
        <v/>
      </c>
      <c r="AS24" s="4" t="str">
        <f>IFERROR(VLOOKUP($C24,'HC &amp; Open Position'!$D$3:$P$53,12,0),"")</f>
        <v/>
      </c>
      <c r="AT24" s="94">
        <f t="shared" si="14"/>
        <v>0</v>
      </c>
      <c r="AU24" s="35">
        <f t="shared" si="15"/>
        <v>0</v>
      </c>
    </row>
    <row r="25" spans="1:47" outlineLevel="1" x14ac:dyDescent="0.25">
      <c r="A25" t="s">
        <v>109</v>
      </c>
      <c r="B25" s="53" t="s">
        <v>110</v>
      </c>
      <c r="C25" s="4" t="s">
        <v>110</v>
      </c>
      <c r="D25" s="4" t="s">
        <v>111</v>
      </c>
      <c r="E25" s="106">
        <v>44896</v>
      </c>
      <c r="F25" s="106">
        <v>45991</v>
      </c>
      <c r="G25" s="13" t="s">
        <v>201</v>
      </c>
      <c r="H25" s="13" t="s">
        <v>216</v>
      </c>
      <c r="I25" s="13" t="s">
        <v>44</v>
      </c>
      <c r="J25" s="25">
        <f>IFERROR(VLOOKUP(C25,CPH!$A:$E,5,0),"")</f>
        <v>50000</v>
      </c>
      <c r="K25" s="26">
        <v>0</v>
      </c>
      <c r="L25" s="65">
        <v>0</v>
      </c>
      <c r="M25" s="72">
        <v>0</v>
      </c>
      <c r="N25" s="69">
        <v>0</v>
      </c>
      <c r="O25" s="94">
        <v>0</v>
      </c>
      <c r="P25" s="8"/>
      <c r="Q25" s="26">
        <v>0</v>
      </c>
      <c r="R25" s="65">
        <v>0</v>
      </c>
      <c r="S25" s="72">
        <v>0</v>
      </c>
      <c r="T25" s="69">
        <v>0</v>
      </c>
      <c r="U25" s="94">
        <v>0</v>
      </c>
      <c r="W25" s="33" t="str">
        <f t="shared" si="3"/>
        <v/>
      </c>
      <c r="X25" s="75" t="str">
        <f t="shared" si="4"/>
        <v/>
      </c>
      <c r="Y25" s="76" t="str">
        <f t="shared" si="5"/>
        <v/>
      </c>
      <c r="Z25" s="77" t="str">
        <f t="shared" si="6"/>
        <v/>
      </c>
      <c r="AA25" s="100" t="str">
        <f t="shared" si="7"/>
        <v/>
      </c>
      <c r="AC25" s="28" t="str">
        <f t="shared" si="8"/>
        <v/>
      </c>
      <c r="AD25" s="9" t="str">
        <f t="shared" ref="AD25:AE25" si="35">IFERROR(AC25/8,"")</f>
        <v/>
      </c>
      <c r="AE25" s="9" t="str">
        <f t="shared" si="35"/>
        <v/>
      </c>
      <c r="AF25" s="9" t="str">
        <f t="shared" si="10"/>
        <v/>
      </c>
      <c r="AG25" s="94">
        <f t="shared" si="11"/>
        <v>0</v>
      </c>
      <c r="AI25" s="34" t="str">
        <f>IFERROR(VLOOKUP($C25,'HC &amp; Open Position'!$D:$J,MATCH(AI$3,'HC &amp; Open Position'!$D$3:$J$3,1),0),"")</f>
        <v/>
      </c>
      <c r="AJ25" s="4" t="str">
        <f>IFERROR(VLOOKUP($C25,'HC &amp; Open Position'!$D:$J,MATCH(AJ$3,'HC &amp; Open Position'!$D$3:$J$3,1),0),"")</f>
        <v/>
      </c>
      <c r="AK25" s="4" t="str">
        <f>IFERROR(VLOOKUP($C25,'HC &amp; Open Position'!$D:$J,MATCH(AK$3,'HC &amp; Open Position'!$D$3:$J$3,1),0),"")</f>
        <v/>
      </c>
      <c r="AL25" s="4" t="str">
        <f>IFERROR(VLOOKUP($C25,'HC &amp; Open Position'!$D:$J,MATCH(AL$3,'HC &amp; Open Position'!$D$3:$J$3,1),0),"")</f>
        <v/>
      </c>
      <c r="AM25" s="94">
        <f t="shared" si="12"/>
        <v>0</v>
      </c>
      <c r="AN25" s="35">
        <f t="shared" si="13"/>
        <v>0</v>
      </c>
      <c r="AP25" s="34" t="str">
        <f>IFERROR(VLOOKUP($C25,'HC &amp; Open Position'!$D$3:$P$53,9,0),"")</f>
        <v/>
      </c>
      <c r="AQ25" s="4" t="str">
        <f>IFERROR(VLOOKUP($C25,'HC &amp; Open Position'!$D$3:$P$53,10,0),"")</f>
        <v/>
      </c>
      <c r="AR25" s="4" t="str">
        <f>IFERROR(VLOOKUP($C25,'HC &amp; Open Position'!$D$3:$P$53,11,0),"")</f>
        <v/>
      </c>
      <c r="AS25" s="4" t="str">
        <f>IFERROR(VLOOKUP($C25,'HC &amp; Open Position'!$D$3:$P$53,12,0),"")</f>
        <v/>
      </c>
      <c r="AT25" s="94">
        <f t="shared" si="14"/>
        <v>0</v>
      </c>
      <c r="AU25" s="35">
        <f t="shared" si="15"/>
        <v>0</v>
      </c>
    </row>
    <row r="26" spans="1:47" outlineLevel="1" x14ac:dyDescent="0.25">
      <c r="A26" t="s">
        <v>112</v>
      </c>
      <c r="B26" s="53" t="s">
        <v>113</v>
      </c>
      <c r="C26" s="4" t="s">
        <v>113</v>
      </c>
      <c r="D26" s="4" t="s">
        <v>111</v>
      </c>
      <c r="E26" s="106">
        <v>44844</v>
      </c>
      <c r="F26" s="106">
        <v>45574</v>
      </c>
      <c r="G26" s="13" t="s">
        <v>201</v>
      </c>
      <c r="H26" s="13" t="s">
        <v>206</v>
      </c>
      <c r="I26" s="13" t="s">
        <v>44</v>
      </c>
      <c r="J26" s="25">
        <f>IFERROR(VLOOKUP(C26,CPH!$A:$E,5,0),"")</f>
        <v>70000</v>
      </c>
      <c r="K26" s="26">
        <v>44.75</v>
      </c>
      <c r="L26" s="65">
        <v>48.33</v>
      </c>
      <c r="M26" s="72">
        <v>41.17</v>
      </c>
      <c r="N26" s="69">
        <v>44.75</v>
      </c>
      <c r="O26" s="94">
        <v>179</v>
      </c>
      <c r="P26" s="8"/>
      <c r="Q26" s="26">
        <v>12</v>
      </c>
      <c r="R26" s="65">
        <v>12</v>
      </c>
      <c r="S26" s="72">
        <v>12</v>
      </c>
      <c r="T26" s="69">
        <v>12</v>
      </c>
      <c r="U26" s="94">
        <v>12</v>
      </c>
      <c r="W26" s="33">
        <f t="shared" si="3"/>
        <v>1.9352960745176313</v>
      </c>
      <c r="X26" s="75">
        <f t="shared" si="4"/>
        <v>2.090119760479042</v>
      </c>
      <c r="Y26" s="76">
        <f t="shared" si="5"/>
        <v>1.780472388556221</v>
      </c>
      <c r="Z26" s="77">
        <f t="shared" si="6"/>
        <v>1.9352960745176313</v>
      </c>
      <c r="AA26" s="100">
        <f t="shared" si="7"/>
        <v>1.9352960745176313</v>
      </c>
      <c r="AC26" s="28">
        <f t="shared" si="8"/>
        <v>7.7076923076923078</v>
      </c>
      <c r="AD26" s="9">
        <f t="shared" ref="AD26:AE26" si="36">IFERROR(AC26/8,"")</f>
        <v>0.96346153846153848</v>
      </c>
      <c r="AE26" s="9">
        <f t="shared" si="36"/>
        <v>0.12043269230769231</v>
      </c>
      <c r="AF26" s="9">
        <f t="shared" si="10"/>
        <v>4.0144230769230772E-2</v>
      </c>
      <c r="AG26" s="94">
        <f t="shared" si="11"/>
        <v>8.8317307692307701</v>
      </c>
      <c r="AI26" s="34">
        <f>IFERROR(VLOOKUP($C26,'HC &amp; Open Position'!$D:$J,MATCH(AI$3,'HC &amp; Open Position'!$D$3:$J$3,1),0),"")</f>
        <v>4</v>
      </c>
      <c r="AJ26" s="4">
        <f>IFERROR(VLOOKUP($C26,'HC &amp; Open Position'!$D:$J,MATCH(AJ$3,'HC &amp; Open Position'!$D$3:$J$3,1),0),"")</f>
        <v>1</v>
      </c>
      <c r="AK26" s="4">
        <f>IFERROR(VLOOKUP($C26,'HC &amp; Open Position'!$D:$J,MATCH(AK$3,'HC &amp; Open Position'!$D$3:$J$3,1),0),"")</f>
        <v>0</v>
      </c>
      <c r="AL26" s="4">
        <f>IFERROR(VLOOKUP($C26,'HC &amp; Open Position'!$D:$J,MATCH(AL$3,'HC &amp; Open Position'!$D$3:$J$3,1),0),"")</f>
        <v>0</v>
      </c>
      <c r="AM26" s="94">
        <f t="shared" si="12"/>
        <v>5</v>
      </c>
      <c r="AN26" s="35">
        <f t="shared" si="13"/>
        <v>3.8317307692307701</v>
      </c>
      <c r="AP26" s="34">
        <f>IFERROR(VLOOKUP($C26,'HC &amp; Open Position'!$D$3:$P$53,9,0),"")</f>
        <v>0</v>
      </c>
      <c r="AQ26" s="4">
        <f>IFERROR(VLOOKUP($C26,'HC &amp; Open Position'!$D$3:$P$53,10,0),"")</f>
        <v>0</v>
      </c>
      <c r="AR26" s="4">
        <f>IFERROR(VLOOKUP($C26,'HC &amp; Open Position'!$D$3:$P$53,11,0),"")</f>
        <v>0</v>
      </c>
      <c r="AS26" s="4">
        <f>IFERROR(VLOOKUP($C26,'HC &amp; Open Position'!$D$3:$P$53,12,0),"")</f>
        <v>0</v>
      </c>
      <c r="AT26" s="94">
        <f t="shared" si="14"/>
        <v>0</v>
      </c>
      <c r="AU26" s="35">
        <f t="shared" si="15"/>
        <v>3.8317307692307701</v>
      </c>
    </row>
    <row r="27" spans="1:47" outlineLevel="1" x14ac:dyDescent="0.25">
      <c r="A27" t="s">
        <v>114</v>
      </c>
      <c r="B27" s="53" t="s">
        <v>115</v>
      </c>
      <c r="C27" s="4" t="s">
        <v>115</v>
      </c>
      <c r="D27" s="4" t="s">
        <v>35</v>
      </c>
      <c r="E27" s="106">
        <v>44965</v>
      </c>
      <c r="F27" s="106">
        <v>46060</v>
      </c>
      <c r="G27" s="13" t="s">
        <v>251</v>
      </c>
      <c r="H27" s="13" t="s">
        <v>213</v>
      </c>
      <c r="I27" s="13" t="s">
        <v>38</v>
      </c>
      <c r="J27" s="25">
        <f>IFERROR(VLOOKUP(C27,CPH!$A:$E,5,0),"")</f>
        <v>70000</v>
      </c>
      <c r="K27" s="26">
        <v>6.75</v>
      </c>
      <c r="L27" s="65">
        <v>7.2900000000000009</v>
      </c>
      <c r="M27" s="72">
        <v>6.21</v>
      </c>
      <c r="N27" s="69">
        <v>6.75</v>
      </c>
      <c r="O27" s="94">
        <v>27</v>
      </c>
      <c r="P27" s="8"/>
      <c r="Q27" s="26">
        <v>2</v>
      </c>
      <c r="R27" s="65">
        <v>2</v>
      </c>
      <c r="S27" s="72">
        <v>2</v>
      </c>
      <c r="T27" s="69">
        <v>2</v>
      </c>
      <c r="U27" s="94">
        <v>2</v>
      </c>
      <c r="W27" s="33">
        <f t="shared" si="3"/>
        <v>1.7514970059880242</v>
      </c>
      <c r="X27" s="75">
        <f t="shared" si="4"/>
        <v>1.8916167664670662</v>
      </c>
      <c r="Y27" s="76">
        <f t="shared" si="5"/>
        <v>1.6113772455089823</v>
      </c>
      <c r="Z27" s="77">
        <f t="shared" si="6"/>
        <v>1.7514970059880242</v>
      </c>
      <c r="AA27" s="100">
        <f t="shared" si="7"/>
        <v>1.7514970059880242</v>
      </c>
      <c r="AC27" s="28">
        <f t="shared" si="8"/>
        <v>1.2846153846153845</v>
      </c>
      <c r="AD27" s="9">
        <f t="shared" ref="AD27:AE27" si="37">IFERROR(AC27/8,"")</f>
        <v>0.16057692307692306</v>
      </c>
      <c r="AE27" s="9">
        <f t="shared" si="37"/>
        <v>2.0072115384615383E-2</v>
      </c>
      <c r="AF27" s="9">
        <f t="shared" si="10"/>
        <v>6.6907051282051279E-3</v>
      </c>
      <c r="AG27" s="94">
        <f t="shared" si="11"/>
        <v>1.471955128205128</v>
      </c>
      <c r="AI27" s="34">
        <f>IFERROR(VLOOKUP($C27,'HC &amp; Open Position'!$D:$J,MATCH(AI$3,'HC &amp; Open Position'!$D$3:$J$3,1),0),"")</f>
        <v>0</v>
      </c>
      <c r="AJ27" s="4">
        <f>IFERROR(VLOOKUP($C27,'HC &amp; Open Position'!$D:$J,MATCH(AJ$3,'HC &amp; Open Position'!$D$3:$J$3,1),0),"")</f>
        <v>1</v>
      </c>
      <c r="AK27" s="4">
        <f>IFERROR(VLOOKUP($C27,'HC &amp; Open Position'!$D:$J,MATCH(AK$3,'HC &amp; Open Position'!$D$3:$J$3,1),0),"")</f>
        <v>0</v>
      </c>
      <c r="AL27" s="4">
        <f>IFERROR(VLOOKUP($C27,'HC &amp; Open Position'!$D:$J,MATCH(AL$3,'HC &amp; Open Position'!$D$3:$J$3,1),0),"")</f>
        <v>0</v>
      </c>
      <c r="AM27" s="94">
        <f t="shared" si="12"/>
        <v>1</v>
      </c>
      <c r="AN27" s="35">
        <f t="shared" si="13"/>
        <v>0.47195512820512797</v>
      </c>
      <c r="AP27" s="34">
        <f>IFERROR(VLOOKUP($C27,'HC &amp; Open Position'!$D$3:$P$53,9,0),"")</f>
        <v>0</v>
      </c>
      <c r="AQ27" s="4">
        <f>IFERROR(VLOOKUP($C27,'HC &amp; Open Position'!$D$3:$P$53,10,0),"")</f>
        <v>0</v>
      </c>
      <c r="AR27" s="4">
        <f>IFERROR(VLOOKUP($C27,'HC &amp; Open Position'!$D$3:$P$53,11,0),"")</f>
        <v>0</v>
      </c>
      <c r="AS27" s="4">
        <f>IFERROR(VLOOKUP($C27,'HC &amp; Open Position'!$D$3:$P$53,12,0),"")</f>
        <v>0</v>
      </c>
      <c r="AT27" s="94">
        <f t="shared" si="14"/>
        <v>0</v>
      </c>
      <c r="AU27" s="35">
        <f t="shared" si="15"/>
        <v>0.47195512820512797</v>
      </c>
    </row>
    <row r="28" spans="1:47" outlineLevel="1" x14ac:dyDescent="0.25">
      <c r="A28" t="s">
        <v>116</v>
      </c>
      <c r="B28" s="53" t="s">
        <v>117</v>
      </c>
      <c r="C28" s="4" t="s">
        <v>117</v>
      </c>
      <c r="D28" s="4" t="s">
        <v>52</v>
      </c>
      <c r="E28" s="106">
        <v>45020</v>
      </c>
      <c r="F28" s="106">
        <v>45750</v>
      </c>
      <c r="G28" s="13" t="s">
        <v>201</v>
      </c>
      <c r="H28" s="13" t="s">
        <v>201</v>
      </c>
      <c r="I28" s="13" t="s">
        <v>44</v>
      </c>
      <c r="J28" s="25">
        <f>IFERROR(VLOOKUP(C28,CPH!$A:$E,5,0),"")</f>
        <v>33000</v>
      </c>
      <c r="K28" s="26">
        <v>115.5</v>
      </c>
      <c r="L28" s="65">
        <v>124.74000000000001</v>
      </c>
      <c r="M28" s="72">
        <v>106.26</v>
      </c>
      <c r="N28" s="69">
        <v>115.5</v>
      </c>
      <c r="O28" s="94">
        <v>462</v>
      </c>
      <c r="P28" s="8"/>
      <c r="Q28" s="26">
        <v>32</v>
      </c>
      <c r="R28" s="65">
        <v>32</v>
      </c>
      <c r="S28" s="72">
        <v>32</v>
      </c>
      <c r="T28" s="69">
        <v>32</v>
      </c>
      <c r="U28" s="94">
        <v>32</v>
      </c>
      <c r="W28" s="33">
        <f t="shared" si="3"/>
        <v>1.8731287425149703</v>
      </c>
      <c r="X28" s="75">
        <f t="shared" si="4"/>
        <v>2.0229790419161677</v>
      </c>
      <c r="Y28" s="76">
        <f t="shared" si="5"/>
        <v>1.7232784431137727</v>
      </c>
      <c r="Z28" s="77">
        <f t="shared" si="6"/>
        <v>1.8731287425149703</v>
      </c>
      <c r="AA28" s="100">
        <f t="shared" si="7"/>
        <v>1.8731287425149703</v>
      </c>
      <c r="AC28" s="28">
        <f t="shared" si="8"/>
        <v>20.553846153846148</v>
      </c>
      <c r="AD28" s="9">
        <f t="shared" ref="AD28:AE28" si="38">IFERROR(AC28/8,"")</f>
        <v>2.5692307692307685</v>
      </c>
      <c r="AE28" s="9">
        <f t="shared" si="38"/>
        <v>0.32115384615384607</v>
      </c>
      <c r="AF28" s="9">
        <f t="shared" si="10"/>
        <v>0.10705128205128202</v>
      </c>
      <c r="AG28" s="94">
        <f t="shared" si="11"/>
        <v>23.55128205128204</v>
      </c>
      <c r="AI28" s="34">
        <f>IFERROR(VLOOKUP($C28,'HC &amp; Open Position'!$D:$J,MATCH(AI$3,'HC &amp; Open Position'!$D$3:$J$3,1),0),"")</f>
        <v>33</v>
      </c>
      <c r="AJ28" s="4">
        <f>IFERROR(VLOOKUP($C28,'HC &amp; Open Position'!$D:$J,MATCH(AJ$3,'HC &amp; Open Position'!$D$3:$J$3,1),0),"")</f>
        <v>5</v>
      </c>
      <c r="AK28" s="4">
        <f>IFERROR(VLOOKUP($C28,'HC &amp; Open Position'!$D:$J,MATCH(AK$3,'HC &amp; Open Position'!$D$3:$J$3,1),0),"")</f>
        <v>1</v>
      </c>
      <c r="AL28" s="4">
        <f>IFERROR(VLOOKUP($C28,'HC &amp; Open Position'!$D:$J,MATCH(AL$3,'HC &amp; Open Position'!$D$3:$J$3,1),0),"")</f>
        <v>0</v>
      </c>
      <c r="AM28" s="94">
        <f t="shared" si="12"/>
        <v>39</v>
      </c>
      <c r="AN28" s="35">
        <f t="shared" si="13"/>
        <v>-15.44871794871796</v>
      </c>
      <c r="AP28" s="34">
        <f>IFERROR(VLOOKUP($C28,'HC &amp; Open Position'!$D$3:$P$53,9,0),"")</f>
        <v>3</v>
      </c>
      <c r="AQ28" s="4">
        <f>IFERROR(VLOOKUP($C28,'HC &amp; Open Position'!$D$3:$P$53,10,0),"")</f>
        <v>0</v>
      </c>
      <c r="AR28" s="4">
        <f>IFERROR(VLOOKUP($C28,'HC &amp; Open Position'!$D$3:$P$53,11,0),"")</f>
        <v>0</v>
      </c>
      <c r="AS28" s="4">
        <f>IFERROR(VLOOKUP($C28,'HC &amp; Open Position'!$D$3:$P$53,12,0),"")</f>
        <v>0</v>
      </c>
      <c r="AT28" s="94">
        <f t="shared" si="14"/>
        <v>3</v>
      </c>
      <c r="AU28" s="35">
        <f t="shared" si="15"/>
        <v>-18.44871794871796</v>
      </c>
    </row>
    <row r="29" spans="1:47" outlineLevel="1" x14ac:dyDescent="0.25">
      <c r="A29" t="s">
        <v>119</v>
      </c>
      <c r="B29" s="53" t="s">
        <v>120</v>
      </c>
      <c r="C29" s="4" t="s">
        <v>120</v>
      </c>
      <c r="D29" s="4" t="s">
        <v>121</v>
      </c>
      <c r="E29" s="106">
        <v>44986</v>
      </c>
      <c r="F29" s="106">
        <v>45351</v>
      </c>
      <c r="G29" s="13" t="s">
        <v>252</v>
      </c>
      <c r="H29" s="13" t="s">
        <v>252</v>
      </c>
      <c r="I29" s="13" t="s">
        <v>38</v>
      </c>
      <c r="J29" s="25">
        <f>IFERROR(VLOOKUP(C29,CPH!$A:$E,5,0),"")</f>
        <v>41000</v>
      </c>
      <c r="K29" s="26">
        <v>0</v>
      </c>
      <c r="L29" s="65">
        <v>0</v>
      </c>
      <c r="M29" s="72">
        <v>0</v>
      </c>
      <c r="N29" s="69">
        <v>0</v>
      </c>
      <c r="O29" s="94">
        <v>0</v>
      </c>
      <c r="P29" s="8"/>
      <c r="Q29" s="26">
        <v>0</v>
      </c>
      <c r="R29" s="65">
        <v>0</v>
      </c>
      <c r="S29" s="72">
        <v>0</v>
      </c>
      <c r="T29" s="69">
        <v>0</v>
      </c>
      <c r="U29" s="94">
        <v>0</v>
      </c>
      <c r="W29" s="33" t="str">
        <f t="shared" si="3"/>
        <v/>
      </c>
      <c r="X29" s="75" t="str">
        <f t="shared" si="4"/>
        <v/>
      </c>
      <c r="Y29" s="76" t="str">
        <f t="shared" si="5"/>
        <v/>
      </c>
      <c r="Z29" s="77" t="str">
        <f t="shared" si="6"/>
        <v/>
      </c>
      <c r="AA29" s="100" t="str">
        <f t="shared" si="7"/>
        <v/>
      </c>
      <c r="AC29" s="28" t="str">
        <f t="shared" si="8"/>
        <v/>
      </c>
      <c r="AD29" s="9" t="str">
        <f t="shared" ref="AD29:AE29" si="39">IFERROR(AC29/8,"")</f>
        <v/>
      </c>
      <c r="AE29" s="9" t="str">
        <f t="shared" si="39"/>
        <v/>
      </c>
      <c r="AF29" s="9" t="str">
        <f t="shared" si="10"/>
        <v/>
      </c>
      <c r="AG29" s="94">
        <f t="shared" si="11"/>
        <v>0</v>
      </c>
      <c r="AI29" s="34" t="str">
        <f>IFERROR(VLOOKUP($C29,'HC &amp; Open Position'!$D:$J,MATCH(AI$3,'HC &amp; Open Position'!$D$3:$J$3,1),0),"")</f>
        <v/>
      </c>
      <c r="AJ29" s="4" t="str">
        <f>IFERROR(VLOOKUP($C29,'HC &amp; Open Position'!$D:$J,MATCH(AJ$3,'HC &amp; Open Position'!$D$3:$J$3,1),0),"")</f>
        <v/>
      </c>
      <c r="AK29" s="4" t="str">
        <f>IFERROR(VLOOKUP($C29,'HC &amp; Open Position'!$D:$J,MATCH(AK$3,'HC &amp; Open Position'!$D$3:$J$3,1),0),"")</f>
        <v/>
      </c>
      <c r="AL29" s="4" t="str">
        <f>IFERROR(VLOOKUP($C29,'HC &amp; Open Position'!$D:$J,MATCH(AL$3,'HC &amp; Open Position'!$D$3:$J$3,1),0),"")</f>
        <v/>
      </c>
      <c r="AM29" s="94">
        <f t="shared" si="12"/>
        <v>0</v>
      </c>
      <c r="AN29" s="35">
        <f t="shared" si="13"/>
        <v>0</v>
      </c>
      <c r="AP29" s="34" t="str">
        <f>IFERROR(VLOOKUP($C29,'HC &amp; Open Position'!$D$3:$P$53,9,0),"")</f>
        <v/>
      </c>
      <c r="AQ29" s="4" t="str">
        <f>IFERROR(VLOOKUP($C29,'HC &amp; Open Position'!$D$3:$P$53,10,0),"")</f>
        <v/>
      </c>
      <c r="AR29" s="4" t="str">
        <f>IFERROR(VLOOKUP($C29,'HC &amp; Open Position'!$D$3:$P$53,11,0),"")</f>
        <v/>
      </c>
      <c r="AS29" s="4" t="str">
        <f>IFERROR(VLOOKUP($C29,'HC &amp; Open Position'!$D$3:$P$53,12,0),"")</f>
        <v/>
      </c>
      <c r="AT29" s="94">
        <f t="shared" si="14"/>
        <v>0</v>
      </c>
      <c r="AU29" s="35">
        <f t="shared" si="15"/>
        <v>0</v>
      </c>
    </row>
    <row r="30" spans="1:47" outlineLevel="1" x14ac:dyDescent="0.25">
      <c r="A30" t="s">
        <v>122</v>
      </c>
      <c r="B30" s="53" t="s">
        <v>123</v>
      </c>
      <c r="C30" s="4" t="s">
        <v>123</v>
      </c>
      <c r="D30" s="4" t="s">
        <v>52</v>
      </c>
      <c r="E30" s="106">
        <v>45016</v>
      </c>
      <c r="F30" s="106">
        <v>45381</v>
      </c>
      <c r="G30" s="13" t="s">
        <v>201</v>
      </c>
      <c r="H30" s="13" t="s">
        <v>214</v>
      </c>
      <c r="I30" s="13" t="s">
        <v>44</v>
      </c>
      <c r="J30" s="25">
        <f>IFERROR(VLOOKUP(C30,CPH!$A:$E,5,0),"")</f>
        <v>25000</v>
      </c>
      <c r="K30" s="26">
        <v>0</v>
      </c>
      <c r="L30" s="65">
        <v>0</v>
      </c>
      <c r="M30" s="72">
        <v>0</v>
      </c>
      <c r="N30" s="69">
        <v>0</v>
      </c>
      <c r="O30" s="94">
        <v>0</v>
      </c>
      <c r="P30" s="8"/>
      <c r="Q30" s="26">
        <v>0</v>
      </c>
      <c r="R30" s="65">
        <v>0</v>
      </c>
      <c r="S30" s="72">
        <v>0</v>
      </c>
      <c r="T30" s="69">
        <v>0</v>
      </c>
      <c r="U30" s="94">
        <v>0</v>
      </c>
      <c r="W30" s="33" t="str">
        <f t="shared" si="3"/>
        <v/>
      </c>
      <c r="X30" s="75" t="str">
        <f t="shared" si="4"/>
        <v/>
      </c>
      <c r="Y30" s="76" t="str">
        <f t="shared" si="5"/>
        <v/>
      </c>
      <c r="Z30" s="77" t="str">
        <f t="shared" si="6"/>
        <v/>
      </c>
      <c r="AA30" s="100" t="str">
        <f t="shared" si="7"/>
        <v/>
      </c>
      <c r="AC30" s="28" t="str">
        <f t="shared" si="8"/>
        <v/>
      </c>
      <c r="AD30" s="9" t="str">
        <f t="shared" ref="AD30:AE30" si="40">IFERROR(AC30/8,"")</f>
        <v/>
      </c>
      <c r="AE30" s="9" t="str">
        <f t="shared" si="40"/>
        <v/>
      </c>
      <c r="AF30" s="9" t="str">
        <f t="shared" si="10"/>
        <v/>
      </c>
      <c r="AG30" s="94">
        <f t="shared" si="11"/>
        <v>0</v>
      </c>
      <c r="AI30" s="34" t="str">
        <f>IFERROR(VLOOKUP($C30,'HC &amp; Open Position'!$D:$J,MATCH(AI$3,'HC &amp; Open Position'!$D$3:$J$3,1),0),"")</f>
        <v/>
      </c>
      <c r="AJ30" s="4" t="str">
        <f>IFERROR(VLOOKUP($C30,'HC &amp; Open Position'!$D:$J,MATCH(AJ$3,'HC &amp; Open Position'!$D$3:$J$3,1),0),"")</f>
        <v/>
      </c>
      <c r="AK30" s="4" t="str">
        <f>IFERROR(VLOOKUP($C30,'HC &amp; Open Position'!$D:$J,MATCH(AK$3,'HC &amp; Open Position'!$D$3:$J$3,1),0),"")</f>
        <v/>
      </c>
      <c r="AL30" s="4" t="str">
        <f>IFERROR(VLOOKUP($C30,'HC &amp; Open Position'!$D:$J,MATCH(AL$3,'HC &amp; Open Position'!$D$3:$J$3,1),0),"")</f>
        <v/>
      </c>
      <c r="AM30" s="94">
        <f t="shared" si="12"/>
        <v>0</v>
      </c>
      <c r="AN30" s="35">
        <f t="shared" si="13"/>
        <v>0</v>
      </c>
      <c r="AP30" s="34" t="str">
        <f>IFERROR(VLOOKUP($C30,'HC &amp; Open Position'!$D$3:$P$53,9,0),"")</f>
        <v/>
      </c>
      <c r="AQ30" s="4" t="str">
        <f>IFERROR(VLOOKUP($C30,'HC &amp; Open Position'!$D$3:$P$53,10,0),"")</f>
        <v/>
      </c>
      <c r="AR30" s="4" t="str">
        <f>IFERROR(VLOOKUP($C30,'HC &amp; Open Position'!$D$3:$P$53,11,0),"")</f>
        <v/>
      </c>
      <c r="AS30" s="4" t="str">
        <f>IFERROR(VLOOKUP($C30,'HC &amp; Open Position'!$D$3:$P$53,12,0),"")</f>
        <v/>
      </c>
      <c r="AT30" s="94">
        <f t="shared" si="14"/>
        <v>0</v>
      </c>
      <c r="AU30" s="35">
        <f t="shared" si="15"/>
        <v>0</v>
      </c>
    </row>
    <row r="31" spans="1:47" outlineLevel="1" x14ac:dyDescent="0.25">
      <c r="A31" t="s">
        <v>124</v>
      </c>
      <c r="B31" s="53" t="s">
        <v>125</v>
      </c>
      <c r="C31" s="4" t="s">
        <v>125</v>
      </c>
      <c r="D31" s="4" t="s">
        <v>52</v>
      </c>
      <c r="E31" s="106">
        <v>45063</v>
      </c>
      <c r="F31" s="106">
        <v>45428</v>
      </c>
      <c r="G31" s="13" t="s">
        <v>251</v>
      </c>
      <c r="H31" s="13" t="s">
        <v>207</v>
      </c>
      <c r="I31" s="13" t="s">
        <v>38</v>
      </c>
      <c r="J31" s="25">
        <f>IFERROR(VLOOKUP(C31,CPH!$A:$E,5,0),"")</f>
        <v>33320</v>
      </c>
      <c r="K31" s="26">
        <v>87.5</v>
      </c>
      <c r="L31" s="65">
        <v>94.5</v>
      </c>
      <c r="M31" s="72">
        <v>80.5</v>
      </c>
      <c r="N31" s="69">
        <v>87.5</v>
      </c>
      <c r="O31" s="94">
        <v>350</v>
      </c>
      <c r="P31" s="8"/>
      <c r="Q31" s="26">
        <v>13</v>
      </c>
      <c r="R31" s="65">
        <v>13</v>
      </c>
      <c r="S31" s="72">
        <v>13</v>
      </c>
      <c r="T31" s="69">
        <v>13</v>
      </c>
      <c r="U31" s="94">
        <v>13</v>
      </c>
      <c r="W31" s="33">
        <f t="shared" si="3"/>
        <v>3.4930139720558886</v>
      </c>
      <c r="X31" s="75">
        <f t="shared" si="4"/>
        <v>3.7724550898203595</v>
      </c>
      <c r="Y31" s="76">
        <f t="shared" si="5"/>
        <v>3.2135728542914173</v>
      </c>
      <c r="Z31" s="77">
        <f t="shared" si="6"/>
        <v>3.4930139720558886</v>
      </c>
      <c r="AA31" s="100">
        <f t="shared" si="7"/>
        <v>3.4930139720558886</v>
      </c>
      <c r="AC31" s="28">
        <f t="shared" si="8"/>
        <v>8.3499999999999979</v>
      </c>
      <c r="AD31" s="9">
        <f t="shared" ref="AD31:AE31" si="41">IFERROR(AC31/8,"")</f>
        <v>1.0437499999999997</v>
      </c>
      <c r="AE31" s="9">
        <f t="shared" si="41"/>
        <v>0.13046874999999997</v>
      </c>
      <c r="AF31" s="9">
        <f t="shared" si="10"/>
        <v>4.3489583333333325E-2</v>
      </c>
      <c r="AG31" s="94">
        <f t="shared" si="11"/>
        <v>9.5677083333333304</v>
      </c>
      <c r="AI31" s="34">
        <f>IFERROR(VLOOKUP($C31,'HC &amp; Open Position'!$D:$J,MATCH(AI$3,'HC &amp; Open Position'!$D$3:$J$3,1),0),"")</f>
        <v>2</v>
      </c>
      <c r="AJ31" s="4">
        <f>IFERROR(VLOOKUP($C31,'HC &amp; Open Position'!$D:$J,MATCH(AJ$3,'HC &amp; Open Position'!$D$3:$J$3,1),0),"")</f>
        <v>1</v>
      </c>
      <c r="AK31" s="4">
        <f>IFERROR(VLOOKUP($C31,'HC &amp; Open Position'!$D:$J,MATCH(AK$3,'HC &amp; Open Position'!$D$3:$J$3,1),0),"")</f>
        <v>1</v>
      </c>
      <c r="AL31" s="4">
        <f>IFERROR(VLOOKUP($C31,'HC &amp; Open Position'!$D:$J,MATCH(AL$3,'HC &amp; Open Position'!$D$3:$J$3,1),0),"")</f>
        <v>0</v>
      </c>
      <c r="AM31" s="94">
        <f t="shared" si="12"/>
        <v>4</v>
      </c>
      <c r="AN31" s="35">
        <f t="shared" si="13"/>
        <v>5.5677083333333304</v>
      </c>
      <c r="AP31" s="34">
        <f>IFERROR(VLOOKUP($C31,'HC &amp; Open Position'!$D$3:$P$53,9,0),"")</f>
        <v>0</v>
      </c>
      <c r="AQ31" s="4">
        <f>IFERROR(VLOOKUP($C31,'HC &amp; Open Position'!$D$3:$P$53,10,0),"")</f>
        <v>0</v>
      </c>
      <c r="AR31" s="4">
        <f>IFERROR(VLOOKUP($C31,'HC &amp; Open Position'!$D$3:$P$53,11,0),"")</f>
        <v>0</v>
      </c>
      <c r="AS31" s="4">
        <f>IFERROR(VLOOKUP($C31,'HC &amp; Open Position'!$D$3:$P$53,12,0),"")</f>
        <v>0</v>
      </c>
      <c r="AT31" s="94">
        <f t="shared" si="14"/>
        <v>0</v>
      </c>
      <c r="AU31" s="35">
        <f t="shared" si="15"/>
        <v>5.5677083333333304</v>
      </c>
    </row>
    <row r="32" spans="1:47" outlineLevel="1" x14ac:dyDescent="0.25">
      <c r="A32" t="s">
        <v>126</v>
      </c>
      <c r="B32" s="53" t="s">
        <v>127</v>
      </c>
      <c r="C32" s="4" t="s">
        <v>127</v>
      </c>
      <c r="D32" s="4" t="s">
        <v>75</v>
      </c>
      <c r="E32" s="106">
        <v>45125</v>
      </c>
      <c r="F32" s="106">
        <v>48777</v>
      </c>
      <c r="G32" s="13" t="s">
        <v>251</v>
      </c>
      <c r="H32" s="13" t="s">
        <v>207</v>
      </c>
      <c r="I32" s="13" t="s">
        <v>38</v>
      </c>
      <c r="J32" s="25">
        <f>IFERROR(VLOOKUP(C32,CPH!$A:$E,5,0),"")</f>
        <v>54000</v>
      </c>
      <c r="K32" s="26">
        <v>0</v>
      </c>
      <c r="L32" s="65">
        <v>0</v>
      </c>
      <c r="M32" s="72">
        <v>0</v>
      </c>
      <c r="N32" s="69">
        <v>0</v>
      </c>
      <c r="O32" s="94">
        <v>0</v>
      </c>
      <c r="P32" s="8"/>
      <c r="Q32" s="26">
        <v>0</v>
      </c>
      <c r="R32" s="65">
        <v>0</v>
      </c>
      <c r="S32" s="72">
        <v>0</v>
      </c>
      <c r="T32" s="69">
        <v>0</v>
      </c>
      <c r="U32" s="94">
        <v>0</v>
      </c>
      <c r="W32" s="33" t="str">
        <f t="shared" si="3"/>
        <v/>
      </c>
      <c r="X32" s="75" t="str">
        <f t="shared" si="4"/>
        <v/>
      </c>
      <c r="Y32" s="76" t="str">
        <f t="shared" si="5"/>
        <v/>
      </c>
      <c r="Z32" s="77" t="str">
        <f t="shared" si="6"/>
        <v/>
      </c>
      <c r="AA32" s="100" t="str">
        <f t="shared" si="7"/>
        <v/>
      </c>
      <c r="AC32" s="28" t="str">
        <f t="shared" si="8"/>
        <v/>
      </c>
      <c r="AD32" s="9" t="str">
        <f t="shared" ref="AD32:AE32" si="42">IFERROR(AC32/8,"")</f>
        <v/>
      </c>
      <c r="AE32" s="9" t="str">
        <f t="shared" si="42"/>
        <v/>
      </c>
      <c r="AF32" s="9" t="str">
        <f t="shared" si="10"/>
        <v/>
      </c>
      <c r="AG32" s="94">
        <f t="shared" si="11"/>
        <v>0</v>
      </c>
      <c r="AI32" s="34" t="str">
        <f>IFERROR(VLOOKUP($C32,'HC &amp; Open Position'!$D:$J,MATCH(AI$3,'HC &amp; Open Position'!$D$3:$J$3,1),0),"")</f>
        <v/>
      </c>
      <c r="AJ32" s="4" t="str">
        <f>IFERROR(VLOOKUP($C32,'HC &amp; Open Position'!$D:$J,MATCH(AJ$3,'HC &amp; Open Position'!$D$3:$J$3,1),0),"")</f>
        <v/>
      </c>
      <c r="AK32" s="4" t="str">
        <f>IFERROR(VLOOKUP($C32,'HC &amp; Open Position'!$D:$J,MATCH(AK$3,'HC &amp; Open Position'!$D$3:$J$3,1),0),"")</f>
        <v/>
      </c>
      <c r="AL32" s="4" t="str">
        <f>IFERROR(VLOOKUP($C32,'HC &amp; Open Position'!$D:$J,MATCH(AL$3,'HC &amp; Open Position'!$D$3:$J$3,1),0),"")</f>
        <v/>
      </c>
      <c r="AM32" s="94">
        <f t="shared" si="12"/>
        <v>0</v>
      </c>
      <c r="AN32" s="35">
        <f t="shared" si="13"/>
        <v>0</v>
      </c>
      <c r="AP32" s="34" t="str">
        <f>IFERROR(VLOOKUP($C32,'HC &amp; Open Position'!$D$3:$P$53,9,0),"")</f>
        <v/>
      </c>
      <c r="AQ32" s="4" t="str">
        <f>IFERROR(VLOOKUP($C32,'HC &amp; Open Position'!$D$3:$P$53,10,0),"")</f>
        <v/>
      </c>
      <c r="AR32" s="4" t="str">
        <f>IFERROR(VLOOKUP($C32,'HC &amp; Open Position'!$D$3:$P$53,11,0),"")</f>
        <v/>
      </c>
      <c r="AS32" s="4" t="str">
        <f>IFERROR(VLOOKUP($C32,'HC &amp; Open Position'!$D$3:$P$53,12,0),"")</f>
        <v/>
      </c>
      <c r="AT32" s="94">
        <f t="shared" si="14"/>
        <v>0</v>
      </c>
      <c r="AU32" s="35">
        <f t="shared" si="15"/>
        <v>0</v>
      </c>
    </row>
    <row r="33" spans="1:47" outlineLevel="1" x14ac:dyDescent="0.25">
      <c r="A33" t="s">
        <v>128</v>
      </c>
      <c r="B33" s="53" t="s">
        <v>129</v>
      </c>
      <c r="C33" s="4" t="s">
        <v>129</v>
      </c>
      <c r="D33" s="4" t="s">
        <v>52</v>
      </c>
      <c r="E33" s="106">
        <v>45147</v>
      </c>
      <c r="F33" s="106">
        <v>45877</v>
      </c>
      <c r="G33" s="13" t="s">
        <v>201</v>
      </c>
      <c r="H33" s="13" t="s">
        <v>212</v>
      </c>
      <c r="I33" s="13" t="s">
        <v>58</v>
      </c>
      <c r="J33" s="25">
        <f>IFERROR(VLOOKUP(C33,CPH!$A:$E,5,0),"")</f>
        <v>60000</v>
      </c>
      <c r="K33" s="26">
        <v>48.75</v>
      </c>
      <c r="L33" s="65">
        <v>52.650000000000006</v>
      </c>
      <c r="M33" s="72">
        <v>44.85</v>
      </c>
      <c r="N33" s="69">
        <v>48.75</v>
      </c>
      <c r="O33" s="94">
        <v>195</v>
      </c>
      <c r="P33" s="8"/>
      <c r="Q33" s="26">
        <v>13</v>
      </c>
      <c r="R33" s="65">
        <v>13</v>
      </c>
      <c r="S33" s="72">
        <v>13</v>
      </c>
      <c r="T33" s="69">
        <v>13</v>
      </c>
      <c r="U33" s="94">
        <v>13</v>
      </c>
      <c r="W33" s="33">
        <f t="shared" si="3"/>
        <v>1.9461077844311379</v>
      </c>
      <c r="X33" s="75">
        <f t="shared" si="4"/>
        <v>2.1017964071856294</v>
      </c>
      <c r="Y33" s="76">
        <f t="shared" si="5"/>
        <v>1.7904191616766469</v>
      </c>
      <c r="Z33" s="77">
        <f t="shared" si="6"/>
        <v>1.9461077844311379</v>
      </c>
      <c r="AA33" s="100">
        <f t="shared" si="7"/>
        <v>1.9461077844311379</v>
      </c>
      <c r="AC33" s="28">
        <f t="shared" si="8"/>
        <v>8.35</v>
      </c>
      <c r="AD33" s="9">
        <f t="shared" ref="AD33:AE33" si="43">IFERROR(AC33/8,"")</f>
        <v>1.04375</v>
      </c>
      <c r="AE33" s="9">
        <f t="shared" si="43"/>
        <v>0.13046874999999999</v>
      </c>
      <c r="AF33" s="9">
        <f t="shared" si="10"/>
        <v>4.3489583333333331E-2</v>
      </c>
      <c r="AG33" s="94">
        <f t="shared" si="11"/>
        <v>9.5677083333333321</v>
      </c>
      <c r="AI33" s="34">
        <f>IFERROR(VLOOKUP($C33,'HC &amp; Open Position'!$D:$J,MATCH(AI$3,'HC &amp; Open Position'!$D$3:$J$3,1),0),"")</f>
        <v>4</v>
      </c>
      <c r="AJ33" s="4">
        <f>IFERROR(VLOOKUP($C33,'HC &amp; Open Position'!$D:$J,MATCH(AJ$3,'HC &amp; Open Position'!$D$3:$J$3,1),0),"")</f>
        <v>2</v>
      </c>
      <c r="AK33" s="4">
        <f>IFERROR(VLOOKUP($C33,'HC &amp; Open Position'!$D:$J,MATCH(AK$3,'HC &amp; Open Position'!$D$3:$J$3,1),0),"")</f>
        <v>0</v>
      </c>
      <c r="AL33" s="4">
        <f>IFERROR(VLOOKUP($C33,'HC &amp; Open Position'!$D:$J,MATCH(AL$3,'HC &amp; Open Position'!$D$3:$J$3,1),0),"")</f>
        <v>0</v>
      </c>
      <c r="AM33" s="94">
        <f t="shared" si="12"/>
        <v>6</v>
      </c>
      <c r="AN33" s="35">
        <f t="shared" si="13"/>
        <v>3.5677083333333321</v>
      </c>
      <c r="AP33" s="34">
        <f>IFERROR(VLOOKUP($C33,'HC &amp; Open Position'!$D$3:$P$53,9,0),"")</f>
        <v>0</v>
      </c>
      <c r="AQ33" s="4">
        <f>IFERROR(VLOOKUP($C33,'HC &amp; Open Position'!$D$3:$P$53,10,0),"")</f>
        <v>0</v>
      </c>
      <c r="AR33" s="4">
        <f>IFERROR(VLOOKUP($C33,'HC &amp; Open Position'!$D$3:$P$53,11,0),"")</f>
        <v>0</v>
      </c>
      <c r="AS33" s="4">
        <f>IFERROR(VLOOKUP($C33,'HC &amp; Open Position'!$D$3:$P$53,12,0),"")</f>
        <v>0</v>
      </c>
      <c r="AT33" s="94">
        <f t="shared" si="14"/>
        <v>0</v>
      </c>
      <c r="AU33" s="35">
        <f t="shared" si="15"/>
        <v>3.5677083333333321</v>
      </c>
    </row>
    <row r="34" spans="1:47" outlineLevel="1" x14ac:dyDescent="0.25">
      <c r="A34" t="s">
        <v>131</v>
      </c>
      <c r="B34" s="53" t="s">
        <v>132</v>
      </c>
      <c r="C34" s="4" t="s">
        <v>132</v>
      </c>
      <c r="D34" s="4" t="s">
        <v>133</v>
      </c>
      <c r="E34" s="106">
        <v>45205</v>
      </c>
      <c r="F34" s="106">
        <v>46300</v>
      </c>
      <c r="G34" s="13" t="s">
        <v>252</v>
      </c>
      <c r="H34" s="13" t="s">
        <v>252</v>
      </c>
      <c r="I34" s="13" t="s">
        <v>58</v>
      </c>
      <c r="J34" s="25">
        <f>IFERROR(VLOOKUP(C34,CPH!$A:$E,5,0),"")</f>
        <v>60000</v>
      </c>
      <c r="K34" s="26">
        <v>0</v>
      </c>
      <c r="L34" s="65">
        <v>0</v>
      </c>
      <c r="M34" s="72">
        <v>0</v>
      </c>
      <c r="N34" s="69">
        <v>0</v>
      </c>
      <c r="O34" s="94">
        <v>0</v>
      </c>
      <c r="P34" s="8"/>
      <c r="Q34" s="26">
        <v>0</v>
      </c>
      <c r="R34" s="65">
        <v>0</v>
      </c>
      <c r="S34" s="72">
        <v>0</v>
      </c>
      <c r="T34" s="69">
        <v>0</v>
      </c>
      <c r="U34" s="94">
        <v>0</v>
      </c>
      <c r="W34" s="33" t="str">
        <f t="shared" si="3"/>
        <v/>
      </c>
      <c r="X34" s="75" t="str">
        <f t="shared" si="4"/>
        <v/>
      </c>
      <c r="Y34" s="76" t="str">
        <f t="shared" si="5"/>
        <v/>
      </c>
      <c r="Z34" s="77" t="str">
        <f t="shared" si="6"/>
        <v/>
      </c>
      <c r="AA34" s="100" t="str">
        <f t="shared" si="7"/>
        <v/>
      </c>
      <c r="AC34" s="28" t="str">
        <f t="shared" si="8"/>
        <v/>
      </c>
      <c r="AD34" s="9" t="str">
        <f t="shared" ref="AD34:AE34" si="44">IFERROR(AC34/8,"")</f>
        <v/>
      </c>
      <c r="AE34" s="9" t="str">
        <f t="shared" si="44"/>
        <v/>
      </c>
      <c r="AF34" s="9" t="str">
        <f t="shared" si="10"/>
        <v/>
      </c>
      <c r="AG34" s="94">
        <f t="shared" si="11"/>
        <v>0</v>
      </c>
      <c r="AI34" s="34" t="str">
        <f>IFERROR(VLOOKUP($C34,'HC &amp; Open Position'!$D:$J,MATCH(AI$3,'HC &amp; Open Position'!$D$3:$J$3,1),0),"")</f>
        <v/>
      </c>
      <c r="AJ34" s="4" t="str">
        <f>IFERROR(VLOOKUP($C34,'HC &amp; Open Position'!$D:$J,MATCH(AJ$3,'HC &amp; Open Position'!$D$3:$J$3,1),0),"")</f>
        <v/>
      </c>
      <c r="AK34" s="4" t="str">
        <f>IFERROR(VLOOKUP($C34,'HC &amp; Open Position'!$D:$J,MATCH(AK$3,'HC &amp; Open Position'!$D$3:$J$3,1),0),"")</f>
        <v/>
      </c>
      <c r="AL34" s="4" t="str">
        <f>IFERROR(VLOOKUP($C34,'HC &amp; Open Position'!$D:$J,MATCH(AL$3,'HC &amp; Open Position'!$D$3:$J$3,1),0),"")</f>
        <v/>
      </c>
      <c r="AM34" s="94">
        <f t="shared" si="12"/>
        <v>0</v>
      </c>
      <c r="AN34" s="35">
        <f t="shared" si="13"/>
        <v>0</v>
      </c>
      <c r="AP34" s="34" t="str">
        <f>IFERROR(VLOOKUP($C34,'HC &amp; Open Position'!$D$3:$P$53,9,0),"")</f>
        <v/>
      </c>
      <c r="AQ34" s="4" t="str">
        <f>IFERROR(VLOOKUP($C34,'HC &amp; Open Position'!$D$3:$P$53,10,0),"")</f>
        <v/>
      </c>
      <c r="AR34" s="4" t="str">
        <f>IFERROR(VLOOKUP($C34,'HC &amp; Open Position'!$D$3:$P$53,11,0),"")</f>
        <v/>
      </c>
      <c r="AS34" s="4" t="str">
        <f>IFERROR(VLOOKUP($C34,'HC &amp; Open Position'!$D$3:$P$53,12,0),"")</f>
        <v/>
      </c>
      <c r="AT34" s="94">
        <f t="shared" si="14"/>
        <v>0</v>
      </c>
      <c r="AU34" s="35">
        <f t="shared" si="15"/>
        <v>0</v>
      </c>
    </row>
    <row r="35" spans="1:47" outlineLevel="1" x14ac:dyDescent="0.25">
      <c r="A35" t="s">
        <v>134</v>
      </c>
      <c r="B35" s="53" t="s">
        <v>135</v>
      </c>
      <c r="C35" s="4" t="s">
        <v>135</v>
      </c>
      <c r="D35" s="4" t="s">
        <v>52</v>
      </c>
      <c r="E35" s="106">
        <v>45232</v>
      </c>
      <c r="F35" s="106">
        <v>45962</v>
      </c>
      <c r="G35" s="13" t="s">
        <v>201</v>
      </c>
      <c r="H35" s="13" t="s">
        <v>214</v>
      </c>
      <c r="I35" s="13" t="s">
        <v>44</v>
      </c>
      <c r="J35" s="25">
        <f>IFERROR(VLOOKUP(C35,CPH!$A:$E,5,0),"")</f>
        <v>60000</v>
      </c>
      <c r="K35" s="26">
        <v>28.75</v>
      </c>
      <c r="L35" s="65">
        <v>31.05</v>
      </c>
      <c r="M35" s="72">
        <v>26.450000000000003</v>
      </c>
      <c r="N35" s="69">
        <v>28.75</v>
      </c>
      <c r="O35" s="94">
        <v>115</v>
      </c>
      <c r="P35" s="8"/>
      <c r="Q35" s="26">
        <v>6</v>
      </c>
      <c r="R35" s="65">
        <v>6</v>
      </c>
      <c r="S35" s="72">
        <v>6</v>
      </c>
      <c r="T35" s="69">
        <v>6</v>
      </c>
      <c r="U35" s="94">
        <v>6</v>
      </c>
      <c r="W35" s="33">
        <f t="shared" si="3"/>
        <v>2.4866932801064539</v>
      </c>
      <c r="X35" s="75">
        <f t="shared" si="4"/>
        <v>2.6856287425149699</v>
      </c>
      <c r="Y35" s="76">
        <f t="shared" si="5"/>
        <v>2.2877578176979378</v>
      </c>
      <c r="Z35" s="77">
        <f t="shared" si="6"/>
        <v>2.4866932801064539</v>
      </c>
      <c r="AA35" s="100">
        <f t="shared" si="7"/>
        <v>2.4866932801064539</v>
      </c>
      <c r="AC35" s="28">
        <f t="shared" si="8"/>
        <v>3.8538461538461539</v>
      </c>
      <c r="AD35" s="9">
        <f t="shared" ref="AD35:AE35" si="45">IFERROR(AC35/8,"")</f>
        <v>0.48173076923076924</v>
      </c>
      <c r="AE35" s="9">
        <f t="shared" si="45"/>
        <v>6.0216346153846155E-2</v>
      </c>
      <c r="AF35" s="9">
        <f t="shared" si="10"/>
        <v>2.0072115384615386E-2</v>
      </c>
      <c r="AG35" s="94">
        <f t="shared" si="11"/>
        <v>4.415865384615385</v>
      </c>
      <c r="AI35" s="34">
        <f>IFERROR(VLOOKUP($C35,'HC &amp; Open Position'!$D:$J,MATCH(AI$3,'HC &amp; Open Position'!$D$3:$J$3,1),0),"")</f>
        <v>4</v>
      </c>
      <c r="AJ35" s="4">
        <f>IFERROR(VLOOKUP($C35,'HC &amp; Open Position'!$D:$J,MATCH(AJ$3,'HC &amp; Open Position'!$D$3:$J$3,1),0),"")</f>
        <v>1</v>
      </c>
      <c r="AK35" s="4">
        <f>IFERROR(VLOOKUP($C35,'HC &amp; Open Position'!$D:$J,MATCH(AK$3,'HC &amp; Open Position'!$D$3:$J$3,1),0),"")</f>
        <v>0</v>
      </c>
      <c r="AL35" s="4">
        <f>IFERROR(VLOOKUP($C35,'HC &amp; Open Position'!$D:$J,MATCH(AL$3,'HC &amp; Open Position'!$D$3:$J$3,1),0),"")</f>
        <v>0</v>
      </c>
      <c r="AM35" s="94">
        <f t="shared" si="12"/>
        <v>5</v>
      </c>
      <c r="AN35" s="35">
        <f t="shared" si="13"/>
        <v>-0.58413461538461497</v>
      </c>
      <c r="AP35" s="34">
        <f>IFERROR(VLOOKUP($C35,'HC &amp; Open Position'!$D$3:$P$53,9,0),"")</f>
        <v>0</v>
      </c>
      <c r="AQ35" s="4">
        <f>IFERROR(VLOOKUP($C35,'HC &amp; Open Position'!$D$3:$P$53,10,0),"")</f>
        <v>1</v>
      </c>
      <c r="AR35" s="4">
        <f>IFERROR(VLOOKUP($C35,'HC &amp; Open Position'!$D$3:$P$53,11,0),"")</f>
        <v>0</v>
      </c>
      <c r="AS35" s="4">
        <f>IFERROR(VLOOKUP($C35,'HC &amp; Open Position'!$D$3:$P$53,12,0),"")</f>
        <v>0</v>
      </c>
      <c r="AT35" s="94">
        <f t="shared" si="14"/>
        <v>1</v>
      </c>
      <c r="AU35" s="35">
        <f t="shared" si="15"/>
        <v>-1.584134615384615</v>
      </c>
    </row>
    <row r="36" spans="1:47" outlineLevel="1" x14ac:dyDescent="0.25">
      <c r="A36" t="s">
        <v>136</v>
      </c>
      <c r="B36" s="53" t="s">
        <v>137</v>
      </c>
      <c r="C36" s="4" t="s">
        <v>137</v>
      </c>
      <c r="D36" s="4" t="s">
        <v>48</v>
      </c>
      <c r="E36" s="106">
        <v>45260</v>
      </c>
      <c r="F36" s="106">
        <v>46355</v>
      </c>
      <c r="G36" s="13" t="s">
        <v>251</v>
      </c>
      <c r="H36" s="13" t="s">
        <v>207</v>
      </c>
      <c r="I36" s="13" t="s">
        <v>38</v>
      </c>
      <c r="J36" s="25">
        <f>IFERROR(VLOOKUP(C36,CPH!$A:$E,5,0),"")</f>
        <v>69700</v>
      </c>
      <c r="K36" s="26">
        <v>16.25</v>
      </c>
      <c r="L36" s="65">
        <v>17.55</v>
      </c>
      <c r="M36" s="72">
        <v>14.950000000000001</v>
      </c>
      <c r="N36" s="69">
        <v>16.25</v>
      </c>
      <c r="O36" s="94">
        <v>65</v>
      </c>
      <c r="P36" s="8"/>
      <c r="Q36" s="26">
        <v>5</v>
      </c>
      <c r="R36" s="65">
        <v>5</v>
      </c>
      <c r="S36" s="72">
        <v>5</v>
      </c>
      <c r="T36" s="69">
        <v>5</v>
      </c>
      <c r="U36" s="94">
        <v>5</v>
      </c>
      <c r="W36" s="33">
        <f t="shared" si="3"/>
        <v>1.6866267465069862</v>
      </c>
      <c r="X36" s="75">
        <f t="shared" si="4"/>
        <v>1.8215568862275451</v>
      </c>
      <c r="Y36" s="76">
        <f t="shared" si="5"/>
        <v>1.5516966067864275</v>
      </c>
      <c r="Z36" s="77">
        <f t="shared" si="6"/>
        <v>1.6866267465069862</v>
      </c>
      <c r="AA36" s="100">
        <f t="shared" si="7"/>
        <v>1.6866267465069862</v>
      </c>
      <c r="AC36" s="28">
        <f t="shared" si="8"/>
        <v>3.2115384615384612</v>
      </c>
      <c r="AD36" s="9">
        <f t="shared" ref="AD36:AE36" si="46">IFERROR(AC36/8,"")</f>
        <v>0.40144230769230765</v>
      </c>
      <c r="AE36" s="9">
        <f t="shared" si="46"/>
        <v>5.0180288461538457E-2</v>
      </c>
      <c r="AF36" s="9">
        <f t="shared" si="10"/>
        <v>1.672676282051282E-2</v>
      </c>
      <c r="AG36" s="94">
        <f t="shared" si="11"/>
        <v>3.6798878205128198</v>
      </c>
      <c r="AI36" s="34">
        <f>IFERROR(VLOOKUP($C36,'HC &amp; Open Position'!$D:$J,MATCH(AI$3,'HC &amp; Open Position'!$D$3:$J$3,1),0),"")</f>
        <v>15</v>
      </c>
      <c r="AJ36" s="4">
        <f>IFERROR(VLOOKUP($C36,'HC &amp; Open Position'!$D:$J,MATCH(AJ$3,'HC &amp; Open Position'!$D$3:$J$3,1),0),"")</f>
        <v>1</v>
      </c>
      <c r="AK36" s="4">
        <f>IFERROR(VLOOKUP($C36,'HC &amp; Open Position'!$D:$J,MATCH(AK$3,'HC &amp; Open Position'!$D$3:$J$3,1),0),"")</f>
        <v>0</v>
      </c>
      <c r="AL36" s="4">
        <f>IFERROR(VLOOKUP($C36,'HC &amp; Open Position'!$D:$J,MATCH(AL$3,'HC &amp; Open Position'!$D$3:$J$3,1),0),"")</f>
        <v>0</v>
      </c>
      <c r="AM36" s="94">
        <f t="shared" si="12"/>
        <v>16</v>
      </c>
      <c r="AN36" s="35">
        <f t="shared" si="13"/>
        <v>-12.320112179487181</v>
      </c>
      <c r="AP36" s="34">
        <f>IFERROR(VLOOKUP($C36,'HC &amp; Open Position'!$D$3:$P$53,9,0),"")</f>
        <v>1</v>
      </c>
      <c r="AQ36" s="4">
        <f>IFERROR(VLOOKUP($C36,'HC &amp; Open Position'!$D$3:$P$53,10,0),"")</f>
        <v>1</v>
      </c>
      <c r="AR36" s="4">
        <f>IFERROR(VLOOKUP($C36,'HC &amp; Open Position'!$D$3:$P$53,11,0),"")</f>
        <v>0</v>
      </c>
      <c r="AS36" s="4">
        <f>IFERROR(VLOOKUP($C36,'HC &amp; Open Position'!$D$3:$P$53,12,0),"")</f>
        <v>0</v>
      </c>
      <c r="AT36" s="94">
        <f t="shared" si="14"/>
        <v>2</v>
      </c>
      <c r="AU36" s="35">
        <f t="shared" si="15"/>
        <v>-14.320112179487181</v>
      </c>
    </row>
    <row r="37" spans="1:47" outlineLevel="1" x14ac:dyDescent="0.25">
      <c r="A37" t="s">
        <v>138</v>
      </c>
      <c r="B37" s="53" t="s">
        <v>139</v>
      </c>
      <c r="C37" s="4" t="s">
        <v>140</v>
      </c>
      <c r="D37" s="4" t="s">
        <v>141</v>
      </c>
      <c r="E37" s="106">
        <v>45338</v>
      </c>
      <c r="F37" s="106">
        <v>46433</v>
      </c>
      <c r="G37" s="13" t="s">
        <v>201</v>
      </c>
      <c r="H37" s="13" t="s">
        <v>212</v>
      </c>
      <c r="I37" s="13" t="s">
        <v>58</v>
      </c>
      <c r="J37" s="25">
        <f>IFERROR(VLOOKUP(C37,CPH!$A:$E,5,0),"")</f>
        <v>23000</v>
      </c>
      <c r="K37" s="26">
        <v>37.5</v>
      </c>
      <c r="L37" s="65">
        <v>40.5</v>
      </c>
      <c r="M37" s="72">
        <v>34.5</v>
      </c>
      <c r="N37" s="69">
        <v>37.5</v>
      </c>
      <c r="O37" s="94">
        <v>150</v>
      </c>
      <c r="P37" s="8"/>
      <c r="Q37" s="26">
        <v>11</v>
      </c>
      <c r="R37" s="65">
        <v>11</v>
      </c>
      <c r="S37" s="72">
        <v>11</v>
      </c>
      <c r="T37" s="69">
        <v>11</v>
      </c>
      <c r="U37" s="94">
        <v>11</v>
      </c>
      <c r="W37" s="33">
        <f t="shared" si="3"/>
        <v>1.7691888949373979</v>
      </c>
      <c r="X37" s="75">
        <f t="shared" si="4"/>
        <v>1.9107240065323901</v>
      </c>
      <c r="Y37" s="76">
        <f t="shared" si="5"/>
        <v>1.6276537833424061</v>
      </c>
      <c r="Z37" s="77">
        <f t="shared" si="6"/>
        <v>1.7691888949373979</v>
      </c>
      <c r="AA37" s="100">
        <f t="shared" si="7"/>
        <v>1.7691888949373979</v>
      </c>
      <c r="AC37" s="28">
        <f t="shared" si="8"/>
        <v>7.0653846153846152</v>
      </c>
      <c r="AD37" s="9">
        <f t="shared" ref="AD37:AE37" si="47">IFERROR(AC37/8,"")</f>
        <v>0.88317307692307689</v>
      </c>
      <c r="AE37" s="9">
        <f t="shared" si="47"/>
        <v>0.11039663461538461</v>
      </c>
      <c r="AF37" s="9">
        <f t="shared" si="10"/>
        <v>3.6798878205128206E-2</v>
      </c>
      <c r="AG37" s="94">
        <f t="shared" si="11"/>
        <v>8.0957532051282044</v>
      </c>
      <c r="AI37" s="34">
        <f>IFERROR(VLOOKUP($C37,'HC &amp; Open Position'!$D:$J,MATCH(AI$3,'HC &amp; Open Position'!$D$3:$J$3,1),0),"")</f>
        <v>12</v>
      </c>
      <c r="AJ37" s="4">
        <f>IFERROR(VLOOKUP($C37,'HC &amp; Open Position'!$D:$J,MATCH(AJ$3,'HC &amp; Open Position'!$D$3:$J$3,1),0),"")</f>
        <v>2</v>
      </c>
      <c r="AK37" s="4">
        <f>IFERROR(VLOOKUP($C37,'HC &amp; Open Position'!$D:$J,MATCH(AK$3,'HC &amp; Open Position'!$D$3:$J$3,1),0),"")</f>
        <v>0</v>
      </c>
      <c r="AL37" s="4">
        <f>IFERROR(VLOOKUP($C37,'HC &amp; Open Position'!$D:$J,MATCH(AL$3,'HC &amp; Open Position'!$D$3:$J$3,1),0),"")</f>
        <v>0</v>
      </c>
      <c r="AM37" s="94">
        <f t="shared" si="12"/>
        <v>14</v>
      </c>
      <c r="AN37" s="35">
        <f t="shared" si="13"/>
        <v>-5.9042467948717956</v>
      </c>
      <c r="AP37" s="34">
        <f>IFERROR(VLOOKUP($C37,'HC &amp; Open Position'!$D$3:$P$53,9,0),"")</f>
        <v>0</v>
      </c>
      <c r="AQ37" s="4">
        <f>IFERROR(VLOOKUP($C37,'HC &amp; Open Position'!$D$3:$P$53,10,0),"")</f>
        <v>0</v>
      </c>
      <c r="AR37" s="4">
        <f>IFERROR(VLOOKUP($C37,'HC &amp; Open Position'!$D$3:$P$53,11,0),"")</f>
        <v>0</v>
      </c>
      <c r="AS37" s="4">
        <f>IFERROR(VLOOKUP($C37,'HC &amp; Open Position'!$D$3:$P$53,12,0),"")</f>
        <v>0</v>
      </c>
      <c r="AT37" s="94">
        <f t="shared" si="14"/>
        <v>0</v>
      </c>
      <c r="AU37" s="35">
        <f t="shared" si="15"/>
        <v>-5.9042467948717956</v>
      </c>
    </row>
    <row r="38" spans="1:47" outlineLevel="1" x14ac:dyDescent="0.25">
      <c r="A38" t="s">
        <v>142</v>
      </c>
      <c r="B38" s="53" t="s">
        <v>143</v>
      </c>
      <c r="C38" s="4" t="s">
        <v>144</v>
      </c>
      <c r="D38" s="4" t="s">
        <v>48</v>
      </c>
      <c r="E38" s="106">
        <v>45343</v>
      </c>
      <c r="F38" s="106">
        <v>46073</v>
      </c>
      <c r="G38" s="13" t="s">
        <v>201</v>
      </c>
      <c r="H38" s="13" t="s">
        <v>214</v>
      </c>
      <c r="I38" s="13" t="s">
        <v>44</v>
      </c>
      <c r="J38" s="25">
        <f>IFERROR(VLOOKUP(C38,CPH!$A:$E,5,0),"")</f>
        <v>51800</v>
      </c>
      <c r="K38" s="26">
        <v>27.5</v>
      </c>
      <c r="L38" s="65">
        <v>29.700000000000003</v>
      </c>
      <c r="M38" s="72">
        <v>25.3</v>
      </c>
      <c r="N38" s="69">
        <v>27.5</v>
      </c>
      <c r="O38" s="94">
        <v>110</v>
      </c>
      <c r="P38" s="8"/>
      <c r="Q38" s="26">
        <v>10</v>
      </c>
      <c r="R38" s="65">
        <v>10</v>
      </c>
      <c r="S38" s="72">
        <v>10</v>
      </c>
      <c r="T38" s="69">
        <v>10</v>
      </c>
      <c r="U38" s="94">
        <v>10</v>
      </c>
      <c r="W38" s="33">
        <f t="shared" si="3"/>
        <v>1.4271457085828343</v>
      </c>
      <c r="X38" s="75">
        <f t="shared" si="4"/>
        <v>1.5413173652694612</v>
      </c>
      <c r="Y38" s="76">
        <f t="shared" si="5"/>
        <v>1.3129740518962081</v>
      </c>
      <c r="Z38" s="77">
        <f t="shared" si="6"/>
        <v>1.4271457085828343</v>
      </c>
      <c r="AA38" s="100">
        <f t="shared" si="7"/>
        <v>1.4271457085828343</v>
      </c>
      <c r="AC38" s="28">
        <f t="shared" si="8"/>
        <v>6.4230769230769234</v>
      </c>
      <c r="AD38" s="9">
        <f t="shared" ref="AD38:AE38" si="48">IFERROR(AC38/8,"")</f>
        <v>0.80288461538461542</v>
      </c>
      <c r="AE38" s="9">
        <f t="shared" si="48"/>
        <v>0.10036057692307693</v>
      </c>
      <c r="AF38" s="9">
        <f t="shared" si="10"/>
        <v>3.345352564102564E-2</v>
      </c>
      <c r="AG38" s="94">
        <f t="shared" si="11"/>
        <v>7.3597756410256405</v>
      </c>
      <c r="AI38" s="34">
        <f>IFERROR(VLOOKUP($C38,'HC &amp; Open Position'!$D:$J,MATCH(AI$3,'HC &amp; Open Position'!$D$3:$J$3,1),0),"")</f>
        <v>7</v>
      </c>
      <c r="AJ38" s="4">
        <f>IFERROR(VLOOKUP($C38,'HC &amp; Open Position'!$D:$J,MATCH(AJ$3,'HC &amp; Open Position'!$D$3:$J$3,1),0),"")</f>
        <v>0</v>
      </c>
      <c r="AK38" s="4">
        <f>IFERROR(VLOOKUP($C38,'HC &amp; Open Position'!$D:$J,MATCH(AK$3,'HC &amp; Open Position'!$D$3:$J$3,1),0),"")</f>
        <v>1</v>
      </c>
      <c r="AL38" s="4">
        <f>IFERROR(VLOOKUP($C38,'HC &amp; Open Position'!$D:$J,MATCH(AL$3,'HC &amp; Open Position'!$D$3:$J$3,1),0),"")</f>
        <v>0</v>
      </c>
      <c r="AM38" s="94">
        <f t="shared" si="12"/>
        <v>8</v>
      </c>
      <c r="AN38" s="35">
        <f t="shared" si="13"/>
        <v>-0.64022435897435948</v>
      </c>
      <c r="AP38" s="34">
        <f>IFERROR(VLOOKUP($C38,'HC &amp; Open Position'!$D$3:$P$53,9,0),"")</f>
        <v>1</v>
      </c>
      <c r="AQ38" s="4">
        <f>IFERROR(VLOOKUP($C38,'HC &amp; Open Position'!$D$3:$P$53,10,0),"")</f>
        <v>1</v>
      </c>
      <c r="AR38" s="4">
        <f>IFERROR(VLOOKUP($C38,'HC &amp; Open Position'!$D$3:$P$53,11,0),"")</f>
        <v>0</v>
      </c>
      <c r="AS38" s="4">
        <f>IFERROR(VLOOKUP($C38,'HC &amp; Open Position'!$D$3:$P$53,12,0),"")</f>
        <v>0</v>
      </c>
      <c r="AT38" s="94">
        <f t="shared" si="14"/>
        <v>2</v>
      </c>
      <c r="AU38" s="35">
        <f t="shared" si="15"/>
        <v>-2.6402243589743595</v>
      </c>
    </row>
    <row r="39" spans="1:47" outlineLevel="1" x14ac:dyDescent="0.25">
      <c r="A39" t="s">
        <v>145</v>
      </c>
      <c r="B39" s="53" t="s">
        <v>146</v>
      </c>
      <c r="C39" s="4" t="s">
        <v>147</v>
      </c>
      <c r="D39" s="4" t="s">
        <v>41</v>
      </c>
      <c r="E39" s="106">
        <v>44013</v>
      </c>
      <c r="F39" s="106">
        <v>46203</v>
      </c>
      <c r="G39" s="13" t="s">
        <v>252</v>
      </c>
      <c r="H39" s="13" t="s">
        <v>252</v>
      </c>
      <c r="I39" s="13" t="s">
        <v>58</v>
      </c>
      <c r="J39" s="25">
        <f>IFERROR(VLOOKUP(C39,CPH!$A:$E,5,0),"")</f>
        <v>19000</v>
      </c>
      <c r="K39" s="26">
        <v>0</v>
      </c>
      <c r="L39" s="65">
        <v>0</v>
      </c>
      <c r="M39" s="72">
        <v>0</v>
      </c>
      <c r="N39" s="69">
        <v>0</v>
      </c>
      <c r="O39" s="94">
        <v>0</v>
      </c>
      <c r="P39" s="8"/>
      <c r="Q39" s="26">
        <v>0</v>
      </c>
      <c r="R39" s="65">
        <v>0</v>
      </c>
      <c r="S39" s="72">
        <v>0</v>
      </c>
      <c r="T39" s="69">
        <v>0</v>
      </c>
      <c r="U39" s="94">
        <v>0</v>
      </c>
      <c r="W39" s="33" t="str">
        <f t="shared" si="3"/>
        <v/>
      </c>
      <c r="X39" s="75" t="str">
        <f t="shared" si="4"/>
        <v/>
      </c>
      <c r="Y39" s="76" t="str">
        <f t="shared" si="5"/>
        <v/>
      </c>
      <c r="Z39" s="77" t="str">
        <f t="shared" si="6"/>
        <v/>
      </c>
      <c r="AA39" s="100" t="str">
        <f t="shared" si="7"/>
        <v/>
      </c>
      <c r="AC39" s="28" t="str">
        <f t="shared" si="8"/>
        <v/>
      </c>
      <c r="AD39" s="9" t="str">
        <f t="shared" ref="AD39:AE39" si="49">IFERROR(AC39/8,"")</f>
        <v/>
      </c>
      <c r="AE39" s="9" t="str">
        <f t="shared" si="49"/>
        <v/>
      </c>
      <c r="AF39" s="9" t="str">
        <f t="shared" si="10"/>
        <v/>
      </c>
      <c r="AG39" s="94">
        <f t="shared" si="11"/>
        <v>0</v>
      </c>
      <c r="AI39" s="34">
        <f>IFERROR(VLOOKUP($C39,'HC &amp; Open Position'!$D:$J,MATCH(AI$3,'HC &amp; Open Position'!$D$3:$J$3,1),0),"")</f>
        <v>0</v>
      </c>
      <c r="AJ39" s="4">
        <f>IFERROR(VLOOKUP($C39,'HC &amp; Open Position'!$D:$J,MATCH(AJ$3,'HC &amp; Open Position'!$D$3:$J$3,1),0),"")</f>
        <v>0</v>
      </c>
      <c r="AK39" s="4">
        <f>IFERROR(VLOOKUP($C39,'HC &amp; Open Position'!$D:$J,MATCH(AK$3,'HC &amp; Open Position'!$D$3:$J$3,1),0),"")</f>
        <v>0</v>
      </c>
      <c r="AL39" s="4">
        <f>IFERROR(VLOOKUP($C39,'HC &amp; Open Position'!$D:$J,MATCH(AL$3,'HC &amp; Open Position'!$D$3:$J$3,1),0),"")</f>
        <v>0</v>
      </c>
      <c r="AM39" s="94">
        <f t="shared" si="12"/>
        <v>0</v>
      </c>
      <c r="AN39" s="35">
        <f t="shared" si="13"/>
        <v>0</v>
      </c>
      <c r="AP39" s="34">
        <f>IFERROR(VLOOKUP($C39,'HC &amp; Open Position'!$D$3:$P$53,9,0),"")</f>
        <v>0</v>
      </c>
      <c r="AQ39" s="4">
        <f>IFERROR(VLOOKUP($C39,'HC &amp; Open Position'!$D$3:$P$53,10,0),"")</f>
        <v>0</v>
      </c>
      <c r="AR39" s="4">
        <f>IFERROR(VLOOKUP($C39,'HC &amp; Open Position'!$D$3:$P$53,11,0),"")</f>
        <v>0</v>
      </c>
      <c r="AS39" s="4">
        <f>IFERROR(VLOOKUP($C39,'HC &amp; Open Position'!$D$3:$P$53,12,0),"")</f>
        <v>0</v>
      </c>
      <c r="AT39" s="94">
        <f t="shared" si="14"/>
        <v>0</v>
      </c>
      <c r="AU39" s="35">
        <f t="shared" si="15"/>
        <v>0</v>
      </c>
    </row>
    <row r="40" spans="1:47" outlineLevel="1" x14ac:dyDescent="0.25">
      <c r="A40" t="s">
        <v>148</v>
      </c>
      <c r="B40" s="53" t="s">
        <v>149</v>
      </c>
      <c r="C40" s="4" t="s">
        <v>150</v>
      </c>
      <c r="D40" s="4" t="s">
        <v>48</v>
      </c>
      <c r="E40" s="106">
        <v>45292</v>
      </c>
      <c r="F40" s="106">
        <v>46394</v>
      </c>
      <c r="G40" s="13" t="s">
        <v>201</v>
      </c>
      <c r="H40" s="13" t="s">
        <v>212</v>
      </c>
      <c r="I40" s="13" t="s">
        <v>58</v>
      </c>
      <c r="J40" s="25">
        <f>IFERROR(VLOOKUP(C40,CPH!$A:$E,5,0),"")</f>
        <v>59000</v>
      </c>
      <c r="K40" s="26">
        <v>80</v>
      </c>
      <c r="L40" s="65">
        <v>86.4</v>
      </c>
      <c r="M40" s="72">
        <v>73.599999999999994</v>
      </c>
      <c r="N40" s="69">
        <v>80</v>
      </c>
      <c r="O40" s="94">
        <v>320</v>
      </c>
      <c r="P40" s="8"/>
      <c r="Q40" s="26">
        <v>40</v>
      </c>
      <c r="R40" s="65">
        <v>40</v>
      </c>
      <c r="S40" s="72">
        <v>40</v>
      </c>
      <c r="T40" s="69">
        <v>40</v>
      </c>
      <c r="U40" s="94">
        <v>40</v>
      </c>
      <c r="W40" s="33">
        <f t="shared" si="3"/>
        <v>1.0379241516966069</v>
      </c>
      <c r="X40" s="75">
        <f t="shared" si="4"/>
        <v>1.1209580838323356</v>
      </c>
      <c r="Y40" s="76">
        <f t="shared" si="5"/>
        <v>0.95489021956087827</v>
      </c>
      <c r="Z40" s="77">
        <f t="shared" si="6"/>
        <v>1.0379241516966069</v>
      </c>
      <c r="AA40" s="100">
        <f t="shared" si="7"/>
        <v>1.0379241516966069</v>
      </c>
      <c r="AC40" s="28">
        <f t="shared" si="8"/>
        <v>25.692307692307686</v>
      </c>
      <c r="AD40" s="9">
        <f t="shared" ref="AD40:AE40" si="50">IFERROR(AC40/8,"")</f>
        <v>3.2115384615384608</v>
      </c>
      <c r="AE40" s="9">
        <f t="shared" si="50"/>
        <v>0.4014423076923076</v>
      </c>
      <c r="AF40" s="9">
        <f t="shared" si="10"/>
        <v>0.13381410256410253</v>
      </c>
      <c r="AG40" s="94">
        <f t="shared" si="11"/>
        <v>29.439102564102555</v>
      </c>
      <c r="AI40" s="34">
        <f>IFERROR(VLOOKUP($C40,'HC &amp; Open Position'!$D:$J,MATCH(AI$3,'HC &amp; Open Position'!$D$3:$J$3,1),0),"")</f>
        <v>33</v>
      </c>
      <c r="AJ40" s="4">
        <f>IFERROR(VLOOKUP($C40,'HC &amp; Open Position'!$D:$J,MATCH(AJ$3,'HC &amp; Open Position'!$D$3:$J$3,1),0),"")</f>
        <v>5</v>
      </c>
      <c r="AK40" s="4">
        <f>IFERROR(VLOOKUP($C40,'HC &amp; Open Position'!$D:$J,MATCH(AK$3,'HC &amp; Open Position'!$D$3:$J$3,1),0),"")</f>
        <v>2</v>
      </c>
      <c r="AL40" s="4">
        <f>IFERROR(VLOOKUP($C40,'HC &amp; Open Position'!$D:$J,MATCH(AL$3,'HC &amp; Open Position'!$D$3:$J$3,1),0),"")</f>
        <v>0</v>
      </c>
      <c r="AM40" s="94">
        <f t="shared" si="12"/>
        <v>40</v>
      </c>
      <c r="AN40" s="35">
        <f t="shared" si="13"/>
        <v>-10.560897435897445</v>
      </c>
      <c r="AP40" s="34">
        <f>IFERROR(VLOOKUP($C40,'HC &amp; Open Position'!$D$3:$P$53,9,0),"")</f>
        <v>0</v>
      </c>
      <c r="AQ40" s="4">
        <f>IFERROR(VLOOKUP($C40,'HC &amp; Open Position'!$D$3:$P$53,10,0),"")</f>
        <v>0</v>
      </c>
      <c r="AR40" s="4">
        <f>IFERROR(VLOOKUP($C40,'HC &amp; Open Position'!$D$3:$P$53,11,0),"")</f>
        <v>0</v>
      </c>
      <c r="AS40" s="4">
        <f>IFERROR(VLOOKUP($C40,'HC &amp; Open Position'!$D$3:$P$53,12,0),"")</f>
        <v>0</v>
      </c>
      <c r="AT40" s="94">
        <f t="shared" si="14"/>
        <v>0</v>
      </c>
      <c r="AU40" s="35">
        <f t="shared" si="15"/>
        <v>-10.560897435897445</v>
      </c>
    </row>
    <row r="41" spans="1:47" outlineLevel="1" x14ac:dyDescent="0.25">
      <c r="A41" t="s">
        <v>151</v>
      </c>
      <c r="B41" s="53" t="s">
        <v>152</v>
      </c>
      <c r="C41" s="3" t="s">
        <v>153</v>
      </c>
      <c r="D41" s="4" t="s">
        <v>141</v>
      </c>
      <c r="E41" s="106" t="s">
        <v>79</v>
      </c>
      <c r="F41" s="106" t="s">
        <v>79</v>
      </c>
      <c r="G41" s="13" t="s">
        <v>252</v>
      </c>
      <c r="H41" s="13" t="s">
        <v>252</v>
      </c>
      <c r="I41" s="13"/>
      <c r="J41" s="25" t="str">
        <f>IFERROR(VLOOKUP(C41,CPH!$A:$E,5,0),"")</f>
        <v/>
      </c>
      <c r="K41" s="26">
        <v>0</v>
      </c>
      <c r="L41" s="65">
        <v>0</v>
      </c>
      <c r="M41" s="72">
        <v>0</v>
      </c>
      <c r="N41" s="69">
        <v>0</v>
      </c>
      <c r="O41" s="94">
        <v>0</v>
      </c>
      <c r="P41" s="8"/>
      <c r="Q41" s="26">
        <v>0</v>
      </c>
      <c r="R41" s="65">
        <v>0</v>
      </c>
      <c r="S41" s="72">
        <v>0</v>
      </c>
      <c r="T41" s="69">
        <v>0</v>
      </c>
      <c r="U41" s="94">
        <v>0</v>
      </c>
      <c r="W41" s="33" t="str">
        <f t="shared" si="3"/>
        <v/>
      </c>
      <c r="X41" s="75" t="str">
        <f t="shared" si="4"/>
        <v/>
      </c>
      <c r="Y41" s="76" t="str">
        <f t="shared" si="5"/>
        <v/>
      </c>
      <c r="Z41" s="77" t="str">
        <f t="shared" si="6"/>
        <v/>
      </c>
      <c r="AA41" s="100" t="str">
        <f t="shared" si="7"/>
        <v/>
      </c>
      <c r="AC41" s="28" t="str">
        <f t="shared" si="8"/>
        <v/>
      </c>
      <c r="AD41" s="9" t="str">
        <f t="shared" ref="AD41:AE41" si="51">IFERROR(AC41/8,"")</f>
        <v/>
      </c>
      <c r="AE41" s="9" t="str">
        <f t="shared" si="51"/>
        <v/>
      </c>
      <c r="AF41" s="9" t="str">
        <f t="shared" si="10"/>
        <v/>
      </c>
      <c r="AG41" s="94">
        <f t="shared" si="11"/>
        <v>0</v>
      </c>
      <c r="AI41" s="34" t="str">
        <f>IFERROR(VLOOKUP($C41,'HC &amp; Open Position'!$D:$J,MATCH(AI$3,'HC &amp; Open Position'!$D$3:$J$3,1),0),"")</f>
        <v/>
      </c>
      <c r="AJ41" s="4" t="str">
        <f>IFERROR(VLOOKUP($C41,'HC &amp; Open Position'!$D:$J,MATCH(AJ$3,'HC &amp; Open Position'!$D$3:$J$3,1),0),"")</f>
        <v/>
      </c>
      <c r="AK41" s="4" t="str">
        <f>IFERROR(VLOOKUP($C41,'HC &amp; Open Position'!$D:$J,MATCH(AK$3,'HC &amp; Open Position'!$D$3:$J$3,1),0),"")</f>
        <v/>
      </c>
      <c r="AL41" s="4" t="str">
        <f>IFERROR(VLOOKUP($C41,'HC &amp; Open Position'!$D:$J,MATCH(AL$3,'HC &amp; Open Position'!$D$3:$J$3,1),0),"")</f>
        <v/>
      </c>
      <c r="AM41" s="94">
        <f t="shared" si="12"/>
        <v>0</v>
      </c>
      <c r="AN41" s="35">
        <f t="shared" si="13"/>
        <v>0</v>
      </c>
      <c r="AP41" s="34" t="str">
        <f>IFERROR(VLOOKUP($C41,'HC &amp; Open Position'!$D$3:$P$53,9,0),"")</f>
        <v/>
      </c>
      <c r="AQ41" s="4" t="str">
        <f>IFERROR(VLOOKUP($C41,'HC &amp; Open Position'!$D$3:$P$53,10,0),"")</f>
        <v/>
      </c>
      <c r="AR41" s="4" t="str">
        <f>IFERROR(VLOOKUP($C41,'HC &amp; Open Position'!$D$3:$P$53,11,0),"")</f>
        <v/>
      </c>
      <c r="AS41" s="4" t="str">
        <f>IFERROR(VLOOKUP($C41,'HC &amp; Open Position'!$D$3:$P$53,12,0),"")</f>
        <v/>
      </c>
      <c r="AT41" s="94">
        <f t="shared" si="14"/>
        <v>0</v>
      </c>
      <c r="AU41" s="35">
        <f t="shared" si="15"/>
        <v>0</v>
      </c>
    </row>
    <row r="42" spans="1:47" outlineLevel="1" x14ac:dyDescent="0.25">
      <c r="A42" t="s">
        <v>154</v>
      </c>
      <c r="B42" s="53" t="s">
        <v>155</v>
      </c>
      <c r="C42" s="4" t="s">
        <v>155</v>
      </c>
      <c r="D42" s="4" t="s">
        <v>75</v>
      </c>
      <c r="E42" s="106">
        <v>45352</v>
      </c>
      <c r="F42" s="106">
        <v>45688</v>
      </c>
      <c r="G42" s="13" t="s">
        <v>251</v>
      </c>
      <c r="H42" s="13" t="s">
        <v>207</v>
      </c>
      <c r="I42" s="13" t="s">
        <v>38</v>
      </c>
      <c r="J42" s="25">
        <f>IFERROR(VLOOKUP(C42,CPH!$A:$E,5,0),"")</f>
        <v>57300</v>
      </c>
      <c r="K42" s="26">
        <v>15</v>
      </c>
      <c r="L42" s="65">
        <v>16.200000000000003</v>
      </c>
      <c r="M42" s="72">
        <v>13.8</v>
      </c>
      <c r="N42" s="69">
        <v>15</v>
      </c>
      <c r="O42" s="94">
        <v>60</v>
      </c>
      <c r="P42" s="8"/>
      <c r="Q42" s="26">
        <v>3</v>
      </c>
      <c r="R42" s="65">
        <v>3</v>
      </c>
      <c r="S42" s="72">
        <v>3</v>
      </c>
      <c r="T42" s="69">
        <v>3</v>
      </c>
      <c r="U42" s="94">
        <v>3</v>
      </c>
      <c r="W42" s="33">
        <f t="shared" si="3"/>
        <v>2.5948103792415171</v>
      </c>
      <c r="X42" s="75">
        <f t="shared" si="4"/>
        <v>2.8023952095808391</v>
      </c>
      <c r="Y42" s="76">
        <f t="shared" si="5"/>
        <v>2.3872255489021961</v>
      </c>
      <c r="Z42" s="77">
        <f t="shared" si="6"/>
        <v>2.5948103792415171</v>
      </c>
      <c r="AA42" s="100">
        <f t="shared" si="7"/>
        <v>2.5948103792415171</v>
      </c>
      <c r="AC42" s="28">
        <f t="shared" si="8"/>
        <v>1.9269230769230767</v>
      </c>
      <c r="AD42" s="9">
        <f t="shared" ref="AD42:AE42" si="52">IFERROR(AC42/8,"")</f>
        <v>0.24086538461538459</v>
      </c>
      <c r="AE42" s="9">
        <f t="shared" si="52"/>
        <v>3.0108173076923074E-2</v>
      </c>
      <c r="AF42" s="9">
        <f t="shared" si="10"/>
        <v>1.0036057692307691E-2</v>
      </c>
      <c r="AG42" s="94">
        <f t="shared" si="11"/>
        <v>2.2079326923076925</v>
      </c>
      <c r="AI42" s="34">
        <f>IFERROR(VLOOKUP($C42,'HC &amp; Open Position'!$D:$J,MATCH(AI$3,'HC &amp; Open Position'!$D$3:$J$3,1),0),"")</f>
        <v>0</v>
      </c>
      <c r="AJ42" s="4">
        <f>IFERROR(VLOOKUP($C42,'HC &amp; Open Position'!$D:$J,MATCH(AJ$3,'HC &amp; Open Position'!$D$3:$J$3,1),0),"")</f>
        <v>0</v>
      </c>
      <c r="AK42" s="4">
        <f>IFERROR(VLOOKUP($C42,'HC &amp; Open Position'!$D:$J,MATCH(AK$3,'HC &amp; Open Position'!$D$3:$J$3,1),0),"")</f>
        <v>0</v>
      </c>
      <c r="AL42" s="4">
        <f>IFERROR(VLOOKUP($C42,'HC &amp; Open Position'!$D:$J,MATCH(AL$3,'HC &amp; Open Position'!$D$3:$J$3,1),0),"")</f>
        <v>0</v>
      </c>
      <c r="AM42" s="94">
        <f t="shared" si="12"/>
        <v>0</v>
      </c>
      <c r="AN42" s="35">
        <f t="shared" si="13"/>
        <v>2.2079326923076925</v>
      </c>
      <c r="AP42" s="34">
        <f>IFERROR(VLOOKUP($C42,'HC &amp; Open Position'!$D$3:$P$53,9,0),"")</f>
        <v>0</v>
      </c>
      <c r="AQ42" s="4">
        <f>IFERROR(VLOOKUP($C42,'HC &amp; Open Position'!$D$3:$P$53,10,0),"")</f>
        <v>0</v>
      </c>
      <c r="AR42" s="4">
        <f>IFERROR(VLOOKUP($C42,'HC &amp; Open Position'!$D$3:$P$53,11,0),"")</f>
        <v>0</v>
      </c>
      <c r="AS42" s="4">
        <f>IFERROR(VLOOKUP($C42,'HC &amp; Open Position'!$D$3:$P$53,12,0),"")</f>
        <v>0</v>
      </c>
      <c r="AT42" s="94">
        <f t="shared" si="14"/>
        <v>0</v>
      </c>
      <c r="AU42" s="35">
        <f t="shared" si="15"/>
        <v>2.2079326923076925</v>
      </c>
    </row>
    <row r="43" spans="1:47" outlineLevel="1" x14ac:dyDescent="0.25">
      <c r="A43" t="s">
        <v>156</v>
      </c>
      <c r="B43" s="53" t="s">
        <v>157</v>
      </c>
      <c r="C43" s="4" t="s">
        <v>157</v>
      </c>
      <c r="D43" s="4" t="s">
        <v>121</v>
      </c>
      <c r="E43" s="106">
        <v>45352</v>
      </c>
      <c r="F43" s="106">
        <v>45900</v>
      </c>
      <c r="G43" s="13" t="s">
        <v>201</v>
      </c>
      <c r="H43" s="13" t="s">
        <v>216</v>
      </c>
      <c r="I43" s="13" t="s">
        <v>44</v>
      </c>
      <c r="J43" s="25">
        <f>IFERROR(VLOOKUP(C43,CPH!$A:$E,5,0),"")</f>
        <v>58700</v>
      </c>
      <c r="K43" s="26">
        <v>40</v>
      </c>
      <c r="L43" s="65">
        <v>43.2</v>
      </c>
      <c r="M43" s="72">
        <v>36.800000000000004</v>
      </c>
      <c r="N43" s="69">
        <v>40</v>
      </c>
      <c r="O43" s="94">
        <v>160</v>
      </c>
      <c r="P43" s="8"/>
      <c r="Q43" s="26">
        <v>11</v>
      </c>
      <c r="R43" s="65">
        <v>11</v>
      </c>
      <c r="S43" s="72">
        <v>11</v>
      </c>
      <c r="T43" s="69">
        <v>11</v>
      </c>
      <c r="U43" s="94">
        <v>11</v>
      </c>
      <c r="W43" s="33">
        <f t="shared" si="3"/>
        <v>1.8871348212665577</v>
      </c>
      <c r="X43" s="75">
        <f t="shared" si="4"/>
        <v>2.0381056069678829</v>
      </c>
      <c r="Y43" s="76">
        <f t="shared" si="5"/>
        <v>1.7361640355652337</v>
      </c>
      <c r="Z43" s="77">
        <f t="shared" si="6"/>
        <v>1.8871348212665577</v>
      </c>
      <c r="AA43" s="100">
        <f t="shared" si="7"/>
        <v>1.8871348212665577</v>
      </c>
      <c r="AC43" s="28">
        <f t="shared" si="8"/>
        <v>7.0653846153846152</v>
      </c>
      <c r="AD43" s="9">
        <f t="shared" ref="AD43:AE43" si="53">IFERROR(AC43/8,"")</f>
        <v>0.88317307692307689</v>
      </c>
      <c r="AE43" s="9">
        <f t="shared" si="53"/>
        <v>0.11039663461538461</v>
      </c>
      <c r="AF43" s="9">
        <f t="shared" si="10"/>
        <v>3.6798878205128206E-2</v>
      </c>
      <c r="AG43" s="94">
        <f t="shared" si="11"/>
        <v>8.0957532051282044</v>
      </c>
      <c r="AI43" s="34">
        <f>IFERROR(VLOOKUP($C43,'HC &amp; Open Position'!$D:$J,MATCH(AI$3,'HC &amp; Open Position'!$D$3:$J$3,1),0),"")</f>
        <v>13</v>
      </c>
      <c r="AJ43" s="4">
        <f>IFERROR(VLOOKUP($C43,'HC &amp; Open Position'!$D:$J,MATCH(AJ$3,'HC &amp; Open Position'!$D$3:$J$3,1),0),"")</f>
        <v>1</v>
      </c>
      <c r="AK43" s="4">
        <f>IFERROR(VLOOKUP($C43,'HC &amp; Open Position'!$D:$J,MATCH(AK$3,'HC &amp; Open Position'!$D$3:$J$3,1),0),"")</f>
        <v>0</v>
      </c>
      <c r="AL43" s="4">
        <f>IFERROR(VLOOKUP($C43,'HC &amp; Open Position'!$D:$J,MATCH(AL$3,'HC &amp; Open Position'!$D$3:$J$3,1),0),"")</f>
        <v>0</v>
      </c>
      <c r="AM43" s="94">
        <f t="shared" si="12"/>
        <v>14</v>
      </c>
      <c r="AN43" s="35">
        <f t="shared" si="13"/>
        <v>-5.9042467948717956</v>
      </c>
      <c r="AP43" s="34">
        <f>IFERROR(VLOOKUP($C43,'HC &amp; Open Position'!$D$3:$P$53,9,0),"")</f>
        <v>1</v>
      </c>
      <c r="AQ43" s="4">
        <f>IFERROR(VLOOKUP($C43,'HC &amp; Open Position'!$D$3:$P$53,10,0),"")</f>
        <v>0</v>
      </c>
      <c r="AR43" s="4">
        <f>IFERROR(VLOOKUP($C43,'HC &amp; Open Position'!$D$3:$P$53,11,0),"")</f>
        <v>0</v>
      </c>
      <c r="AS43" s="4">
        <f>IFERROR(VLOOKUP($C43,'HC &amp; Open Position'!$D$3:$P$53,12,0),"")</f>
        <v>0</v>
      </c>
      <c r="AT43" s="94">
        <f t="shared" si="14"/>
        <v>1</v>
      </c>
      <c r="AU43" s="35">
        <f t="shared" si="15"/>
        <v>-6.9042467948717956</v>
      </c>
    </row>
    <row r="44" spans="1:47" outlineLevel="1" x14ac:dyDescent="0.25">
      <c r="A44" t="s">
        <v>158</v>
      </c>
      <c r="B44" s="53" t="s">
        <v>159</v>
      </c>
      <c r="C44" s="4" t="s">
        <v>159</v>
      </c>
      <c r="D44" s="4" t="s">
        <v>160</v>
      </c>
      <c r="E44" s="106">
        <v>45383</v>
      </c>
      <c r="F44" s="106">
        <v>46498</v>
      </c>
      <c r="G44" s="13" t="s">
        <v>201</v>
      </c>
      <c r="H44" s="13" t="s">
        <v>206</v>
      </c>
      <c r="I44" s="13" t="s">
        <v>44</v>
      </c>
      <c r="J44" s="25">
        <f>IFERROR(VLOOKUP(C44,CPH!$A:$E,5,0),"")</f>
        <v>56000</v>
      </c>
      <c r="K44" s="26">
        <v>4</v>
      </c>
      <c r="L44" s="65">
        <v>4.32</v>
      </c>
      <c r="M44" s="72">
        <v>3.68</v>
      </c>
      <c r="N44" s="69">
        <v>4</v>
      </c>
      <c r="O44" s="94">
        <v>16</v>
      </c>
      <c r="P44" s="8"/>
      <c r="Q44" s="26">
        <v>0.66666666666666663</v>
      </c>
      <c r="R44" s="65">
        <v>1</v>
      </c>
      <c r="S44" s="72">
        <v>1</v>
      </c>
      <c r="T44" s="69">
        <v>1</v>
      </c>
      <c r="U44" s="94">
        <v>0.91666666666666663</v>
      </c>
      <c r="W44" s="33">
        <f t="shared" si="3"/>
        <v>3.1137724550898209</v>
      </c>
      <c r="X44" s="75">
        <f t="shared" si="4"/>
        <v>2.2419161676646713</v>
      </c>
      <c r="Y44" s="76">
        <f t="shared" si="5"/>
        <v>1.9097804391217565</v>
      </c>
      <c r="Z44" s="77">
        <f t="shared" si="6"/>
        <v>2.0758483033932138</v>
      </c>
      <c r="AA44" s="100">
        <f t="shared" si="7"/>
        <v>2.2645617855198696</v>
      </c>
      <c r="AC44" s="28">
        <f t="shared" si="8"/>
        <v>0.5887820512820513</v>
      </c>
      <c r="AD44" s="9">
        <f t="shared" ref="AD44:AE44" si="54">IFERROR(AC44/8,"")</f>
        <v>7.3597756410256412E-2</v>
      </c>
      <c r="AE44" s="9">
        <f t="shared" si="54"/>
        <v>9.1997195512820516E-3</v>
      </c>
      <c r="AF44" s="9">
        <f t="shared" si="10"/>
        <v>3.0665731837606837E-3</v>
      </c>
      <c r="AG44" s="94">
        <f t="shared" si="11"/>
        <v>0.67464610042735051</v>
      </c>
      <c r="AI44" s="34">
        <f>IFERROR(VLOOKUP($C44,'HC &amp; Open Position'!$D:$J,MATCH(AI$3,'HC &amp; Open Position'!$D$3:$J$3,1),0),"")</f>
        <v>1</v>
      </c>
      <c r="AJ44" s="4">
        <f>IFERROR(VLOOKUP($C44,'HC &amp; Open Position'!$D:$J,MATCH(AJ$3,'HC &amp; Open Position'!$D$3:$J$3,1),0),"")</f>
        <v>0</v>
      </c>
      <c r="AK44" s="4">
        <f>IFERROR(VLOOKUP($C44,'HC &amp; Open Position'!$D:$J,MATCH(AK$3,'HC &amp; Open Position'!$D$3:$J$3,1),0),"")</f>
        <v>0</v>
      </c>
      <c r="AL44" s="4">
        <f>IFERROR(VLOOKUP($C44,'HC &amp; Open Position'!$D:$J,MATCH(AL$3,'HC &amp; Open Position'!$D$3:$J$3,1),0),"")</f>
        <v>0</v>
      </c>
      <c r="AM44" s="94">
        <f t="shared" si="12"/>
        <v>1</v>
      </c>
      <c r="AN44" s="35">
        <f t="shared" si="13"/>
        <v>-0.32535389957264949</v>
      </c>
      <c r="AP44" s="34">
        <f>IFERROR(VLOOKUP($C44,'HC &amp; Open Position'!$D$3:$P$53,9,0),"")</f>
        <v>0</v>
      </c>
      <c r="AQ44" s="4">
        <f>IFERROR(VLOOKUP($C44,'HC &amp; Open Position'!$D$3:$P$53,10,0),"")</f>
        <v>0</v>
      </c>
      <c r="AR44" s="4">
        <f>IFERROR(VLOOKUP($C44,'HC &amp; Open Position'!$D$3:$P$53,11,0),"")</f>
        <v>0</v>
      </c>
      <c r="AS44" s="4">
        <f>IFERROR(VLOOKUP($C44,'HC &amp; Open Position'!$D$3:$P$53,12,0),"")</f>
        <v>0</v>
      </c>
      <c r="AT44" s="94">
        <f t="shared" si="14"/>
        <v>0</v>
      </c>
      <c r="AU44" s="35">
        <f t="shared" si="15"/>
        <v>-0.32535389957264949</v>
      </c>
    </row>
    <row r="45" spans="1:47" outlineLevel="1" x14ac:dyDescent="0.25">
      <c r="A45" t="s">
        <v>161</v>
      </c>
      <c r="B45" s="53" t="s">
        <v>162</v>
      </c>
      <c r="C45" s="4" t="s">
        <v>162</v>
      </c>
      <c r="D45" s="4" t="s">
        <v>163</v>
      </c>
      <c r="E45" s="106">
        <v>45383</v>
      </c>
      <c r="F45" s="106">
        <v>46140</v>
      </c>
      <c r="G45" s="13" t="s">
        <v>201</v>
      </c>
      <c r="H45" s="13" t="s">
        <v>206</v>
      </c>
      <c r="I45" s="13" t="s">
        <v>44</v>
      </c>
      <c r="J45" s="25">
        <f>IFERROR(VLOOKUP(C45,CPH!$A:$E,5,0),"")</f>
        <v>62000</v>
      </c>
      <c r="K45" s="26">
        <v>25</v>
      </c>
      <c r="L45" s="65">
        <v>27</v>
      </c>
      <c r="M45" s="72">
        <v>23</v>
      </c>
      <c r="N45" s="69">
        <v>25</v>
      </c>
      <c r="O45" s="94">
        <v>100</v>
      </c>
      <c r="P45" s="8"/>
      <c r="Q45" s="26">
        <v>5</v>
      </c>
      <c r="R45" s="65">
        <v>5</v>
      </c>
      <c r="S45" s="72">
        <v>5</v>
      </c>
      <c r="T45" s="69">
        <v>5</v>
      </c>
      <c r="U45" s="94">
        <v>5</v>
      </c>
      <c r="W45" s="33">
        <f t="shared" si="3"/>
        <v>2.5948103792415171</v>
      </c>
      <c r="X45" s="75">
        <f t="shared" si="4"/>
        <v>2.8023952095808387</v>
      </c>
      <c r="Y45" s="76">
        <f t="shared" si="5"/>
        <v>2.3872255489021956</v>
      </c>
      <c r="Z45" s="77">
        <f t="shared" si="6"/>
        <v>2.5948103792415171</v>
      </c>
      <c r="AA45" s="100">
        <f t="shared" si="7"/>
        <v>2.5948103792415171</v>
      </c>
      <c r="AC45" s="28">
        <f t="shared" si="8"/>
        <v>3.2115384615384612</v>
      </c>
      <c r="AD45" s="9">
        <f t="shared" ref="AD45:AE45" si="55">IFERROR(AC45/8,"")</f>
        <v>0.40144230769230765</v>
      </c>
      <c r="AE45" s="9">
        <f t="shared" si="55"/>
        <v>5.0180288461538457E-2</v>
      </c>
      <c r="AF45" s="9">
        <f t="shared" si="10"/>
        <v>1.672676282051282E-2</v>
      </c>
      <c r="AG45" s="94">
        <f t="shared" si="11"/>
        <v>3.6798878205128198</v>
      </c>
      <c r="AI45" s="34">
        <f>IFERROR(VLOOKUP($C45,'HC &amp; Open Position'!$D:$J,MATCH(AI$3,'HC &amp; Open Position'!$D$3:$J$3,1),0),"")</f>
        <v>0</v>
      </c>
      <c r="AJ45" s="4">
        <f>IFERROR(VLOOKUP($C45,'HC &amp; Open Position'!$D:$J,MATCH(AJ$3,'HC &amp; Open Position'!$D$3:$J$3,1),0),"")</f>
        <v>0</v>
      </c>
      <c r="AK45" s="4">
        <f>IFERROR(VLOOKUP($C45,'HC &amp; Open Position'!$D:$J,MATCH(AK$3,'HC &amp; Open Position'!$D$3:$J$3,1),0),"")</f>
        <v>1</v>
      </c>
      <c r="AL45" s="4">
        <f>IFERROR(VLOOKUP($C45,'HC &amp; Open Position'!$D:$J,MATCH(AL$3,'HC &amp; Open Position'!$D$3:$J$3,1),0),"")</f>
        <v>0</v>
      </c>
      <c r="AM45" s="94">
        <f t="shared" si="12"/>
        <v>1</v>
      </c>
      <c r="AN45" s="35">
        <f t="shared" si="13"/>
        <v>2.6798878205128198</v>
      </c>
      <c r="AP45" s="34">
        <f>IFERROR(VLOOKUP($C45,'HC &amp; Open Position'!$D$3:$P$53,9,0),"")</f>
        <v>0</v>
      </c>
      <c r="AQ45" s="4">
        <f>IFERROR(VLOOKUP($C45,'HC &amp; Open Position'!$D$3:$P$53,10,0),"")</f>
        <v>0</v>
      </c>
      <c r="AR45" s="4">
        <f>IFERROR(VLOOKUP($C45,'HC &amp; Open Position'!$D$3:$P$53,11,0),"")</f>
        <v>0</v>
      </c>
      <c r="AS45" s="4">
        <f>IFERROR(VLOOKUP($C45,'HC &amp; Open Position'!$D$3:$P$53,12,0),"")</f>
        <v>0</v>
      </c>
      <c r="AT45" s="94">
        <f t="shared" si="14"/>
        <v>0</v>
      </c>
      <c r="AU45" s="35">
        <f t="shared" si="15"/>
        <v>2.6798878205128198</v>
      </c>
    </row>
    <row r="46" spans="1:47" outlineLevel="1" x14ac:dyDescent="0.25">
      <c r="A46" t="s">
        <v>164</v>
      </c>
      <c r="B46" s="53" t="s">
        <v>165</v>
      </c>
      <c r="C46" s="4" t="s">
        <v>165</v>
      </c>
      <c r="D46" s="4" t="s">
        <v>75</v>
      </c>
      <c r="E46" s="106">
        <v>45413</v>
      </c>
      <c r="F46" s="106">
        <v>46112</v>
      </c>
      <c r="G46" s="13" t="s">
        <v>252</v>
      </c>
      <c r="H46" s="13" t="s">
        <v>252</v>
      </c>
      <c r="I46" s="13" t="s">
        <v>58</v>
      </c>
      <c r="J46" s="25">
        <f>IFERROR(VLOOKUP(C46,CPH!$A:$E,5,0),"")</f>
        <v>68000</v>
      </c>
      <c r="K46" s="26">
        <v>0</v>
      </c>
      <c r="L46" s="65">
        <v>0</v>
      </c>
      <c r="M46" s="72">
        <v>0</v>
      </c>
      <c r="N46" s="69">
        <v>0</v>
      </c>
      <c r="O46" s="94">
        <v>0</v>
      </c>
      <c r="P46" s="8"/>
      <c r="Q46" s="26">
        <v>0</v>
      </c>
      <c r="R46" s="65">
        <v>0</v>
      </c>
      <c r="S46" s="72">
        <v>0</v>
      </c>
      <c r="T46" s="69">
        <v>0</v>
      </c>
      <c r="U46" s="94">
        <v>0</v>
      </c>
      <c r="W46" s="33" t="str">
        <f t="shared" si="3"/>
        <v/>
      </c>
      <c r="X46" s="75" t="str">
        <f t="shared" si="4"/>
        <v/>
      </c>
      <c r="Y46" s="76" t="str">
        <f t="shared" si="5"/>
        <v/>
      </c>
      <c r="Z46" s="77" t="str">
        <f t="shared" si="6"/>
        <v/>
      </c>
      <c r="AA46" s="100" t="str">
        <f t="shared" si="7"/>
        <v/>
      </c>
      <c r="AC46" s="28" t="str">
        <f t="shared" si="8"/>
        <v/>
      </c>
      <c r="AD46" s="9" t="str">
        <f t="shared" ref="AD46:AE46" si="56">IFERROR(AC46/8,"")</f>
        <v/>
      </c>
      <c r="AE46" s="9" t="str">
        <f t="shared" si="56"/>
        <v/>
      </c>
      <c r="AF46" s="9" t="str">
        <f t="shared" si="10"/>
        <v/>
      </c>
      <c r="AG46" s="94">
        <f t="shared" si="11"/>
        <v>0</v>
      </c>
      <c r="AI46" s="34">
        <f>IFERROR(VLOOKUP($C46,'HC &amp; Open Position'!$D:$J,MATCH(AI$3,'HC &amp; Open Position'!$D$3:$J$3,1),0),"")</f>
        <v>0</v>
      </c>
      <c r="AJ46" s="4">
        <f>IFERROR(VLOOKUP($C46,'HC &amp; Open Position'!$D:$J,MATCH(AJ$3,'HC &amp; Open Position'!$D$3:$J$3,1),0),"")</f>
        <v>0</v>
      </c>
      <c r="AK46" s="4">
        <f>IFERROR(VLOOKUP($C46,'HC &amp; Open Position'!$D:$J,MATCH(AK$3,'HC &amp; Open Position'!$D$3:$J$3,1),0),"")</f>
        <v>0</v>
      </c>
      <c r="AL46" s="4">
        <f>IFERROR(VLOOKUP($C46,'HC &amp; Open Position'!$D:$J,MATCH(AL$3,'HC &amp; Open Position'!$D$3:$J$3,1),0),"")</f>
        <v>0</v>
      </c>
      <c r="AM46" s="94">
        <f t="shared" si="12"/>
        <v>0</v>
      </c>
      <c r="AN46" s="35">
        <f t="shared" si="13"/>
        <v>0</v>
      </c>
      <c r="AP46" s="34">
        <f>IFERROR(VLOOKUP($C46,'HC &amp; Open Position'!$D$3:$P$53,9,0),"")</f>
        <v>0</v>
      </c>
      <c r="AQ46" s="4">
        <f>IFERROR(VLOOKUP($C46,'HC &amp; Open Position'!$D$3:$P$53,10,0),"")</f>
        <v>0</v>
      </c>
      <c r="AR46" s="4">
        <f>IFERROR(VLOOKUP($C46,'HC &amp; Open Position'!$D$3:$P$53,11,0),"")</f>
        <v>0</v>
      </c>
      <c r="AS46" s="4">
        <f>IFERROR(VLOOKUP($C46,'HC &amp; Open Position'!$D$3:$P$53,12,0),"")</f>
        <v>0</v>
      </c>
      <c r="AT46" s="94">
        <f t="shared" si="14"/>
        <v>0</v>
      </c>
      <c r="AU46" s="35">
        <f t="shared" si="15"/>
        <v>0</v>
      </c>
    </row>
    <row r="47" spans="1:47" outlineLevel="1" x14ac:dyDescent="0.25">
      <c r="A47" t="s">
        <v>166</v>
      </c>
      <c r="B47" s="53" t="s">
        <v>167</v>
      </c>
      <c r="C47" s="3" t="s">
        <v>168</v>
      </c>
      <c r="D47" s="4"/>
      <c r="E47" s="106"/>
      <c r="F47" s="106"/>
      <c r="G47" s="13" t="s">
        <v>252</v>
      </c>
      <c r="H47" s="13" t="s">
        <v>252</v>
      </c>
      <c r="I47" s="13"/>
      <c r="J47" s="25" t="str">
        <f>IFERROR(VLOOKUP(C47,CPH!$A:$E,5,0),"")</f>
        <v/>
      </c>
      <c r="K47" s="26">
        <v>0</v>
      </c>
      <c r="L47" s="65">
        <v>0</v>
      </c>
      <c r="M47" s="72">
        <v>0</v>
      </c>
      <c r="N47" s="69">
        <v>0</v>
      </c>
      <c r="O47" s="94">
        <v>0</v>
      </c>
      <c r="P47" s="8"/>
      <c r="Q47" s="26">
        <v>0</v>
      </c>
      <c r="R47" s="65">
        <v>0</v>
      </c>
      <c r="S47" s="72">
        <v>0</v>
      </c>
      <c r="T47" s="69">
        <v>0</v>
      </c>
      <c r="U47" s="94">
        <v>0</v>
      </c>
      <c r="W47" s="33" t="str">
        <f t="shared" si="3"/>
        <v/>
      </c>
      <c r="X47" s="75" t="str">
        <f t="shared" si="4"/>
        <v/>
      </c>
      <c r="Y47" s="76" t="str">
        <f t="shared" si="5"/>
        <v/>
      </c>
      <c r="Z47" s="77" t="str">
        <f t="shared" si="6"/>
        <v/>
      </c>
      <c r="AA47" s="100" t="str">
        <f t="shared" si="7"/>
        <v/>
      </c>
      <c r="AC47" s="28" t="str">
        <f t="shared" si="8"/>
        <v/>
      </c>
      <c r="AD47" s="9" t="str">
        <f t="shared" ref="AD47:AE47" si="57">IFERROR(AC47/8,"")</f>
        <v/>
      </c>
      <c r="AE47" s="9" t="str">
        <f t="shared" si="57"/>
        <v/>
      </c>
      <c r="AF47" s="9" t="str">
        <f t="shared" si="10"/>
        <v/>
      </c>
      <c r="AG47" s="94">
        <f t="shared" si="11"/>
        <v>0</v>
      </c>
      <c r="AI47" s="34" t="str">
        <f>IFERROR(VLOOKUP($C47,'HC &amp; Open Position'!$D:$J,MATCH(AI$3,'HC &amp; Open Position'!$D$3:$J$3,1),0),"")</f>
        <v/>
      </c>
      <c r="AJ47" s="4" t="str">
        <f>IFERROR(VLOOKUP($C47,'HC &amp; Open Position'!$D:$J,MATCH(AJ$3,'HC &amp; Open Position'!$D$3:$J$3,1),0),"")</f>
        <v/>
      </c>
      <c r="AK47" s="4" t="str">
        <f>IFERROR(VLOOKUP($C47,'HC &amp; Open Position'!$D:$J,MATCH(AK$3,'HC &amp; Open Position'!$D$3:$J$3,1),0),"")</f>
        <v/>
      </c>
      <c r="AL47" s="4" t="str">
        <f>IFERROR(VLOOKUP($C47,'HC &amp; Open Position'!$D:$J,MATCH(AL$3,'HC &amp; Open Position'!$D$3:$J$3,1),0),"")</f>
        <v/>
      </c>
      <c r="AM47" s="94">
        <f t="shared" si="12"/>
        <v>0</v>
      </c>
      <c r="AN47" s="35">
        <f t="shared" si="13"/>
        <v>0</v>
      </c>
      <c r="AP47" s="34" t="str">
        <f>IFERROR(VLOOKUP($C47,'HC &amp; Open Position'!$D$3:$P$53,9,0),"")</f>
        <v/>
      </c>
      <c r="AQ47" s="4" t="str">
        <f>IFERROR(VLOOKUP($C47,'HC &amp; Open Position'!$D$3:$P$53,10,0),"")</f>
        <v/>
      </c>
      <c r="AR47" s="4" t="str">
        <f>IFERROR(VLOOKUP($C47,'HC &amp; Open Position'!$D$3:$P$53,11,0),"")</f>
        <v/>
      </c>
      <c r="AS47" s="4" t="str">
        <f>IFERROR(VLOOKUP($C47,'HC &amp; Open Position'!$D$3:$P$53,12,0),"")</f>
        <v/>
      </c>
      <c r="AT47" s="94">
        <f t="shared" si="14"/>
        <v>0</v>
      </c>
      <c r="AU47" s="35">
        <f t="shared" si="15"/>
        <v>0</v>
      </c>
    </row>
    <row r="48" spans="1:47" outlineLevel="1" x14ac:dyDescent="0.25">
      <c r="A48" t="s">
        <v>166</v>
      </c>
      <c r="B48" s="53" t="s">
        <v>169</v>
      </c>
      <c r="C48" s="92" t="s">
        <v>170</v>
      </c>
      <c r="D48" s="4"/>
      <c r="E48" s="106"/>
      <c r="F48" s="106"/>
      <c r="G48" s="13" t="s">
        <v>201</v>
      </c>
      <c r="H48" s="13" t="s">
        <v>212</v>
      </c>
      <c r="I48" s="13" t="s">
        <v>58</v>
      </c>
      <c r="J48" s="25">
        <f>IFERROR(VLOOKUP(C48,CPH!$A:$E,5,0),"")</f>
        <v>60000</v>
      </c>
      <c r="K48" s="26">
        <v>0</v>
      </c>
      <c r="L48" s="65">
        <v>0</v>
      </c>
      <c r="M48" s="72">
        <v>0</v>
      </c>
      <c r="N48" s="69">
        <v>0</v>
      </c>
      <c r="O48" s="94">
        <v>0</v>
      </c>
      <c r="P48" s="8"/>
      <c r="Q48" s="26">
        <v>0</v>
      </c>
      <c r="R48" s="65">
        <v>0</v>
      </c>
      <c r="S48" s="72">
        <v>0</v>
      </c>
      <c r="T48" s="69">
        <v>0</v>
      </c>
      <c r="U48" s="94">
        <v>0</v>
      </c>
      <c r="W48" s="33" t="str">
        <f t="shared" si="3"/>
        <v/>
      </c>
      <c r="X48" s="75" t="str">
        <f t="shared" si="4"/>
        <v/>
      </c>
      <c r="Y48" s="76" t="str">
        <f t="shared" si="5"/>
        <v/>
      </c>
      <c r="Z48" s="77" t="str">
        <f t="shared" si="6"/>
        <v/>
      </c>
      <c r="AA48" s="100" t="str">
        <f t="shared" si="7"/>
        <v/>
      </c>
      <c r="AC48" s="28" t="str">
        <f t="shared" si="8"/>
        <v/>
      </c>
      <c r="AD48" s="9" t="str">
        <f t="shared" ref="AD48:AE48" si="58">IFERROR(AC48/8,"")</f>
        <v/>
      </c>
      <c r="AE48" s="9" t="str">
        <f t="shared" si="58"/>
        <v/>
      </c>
      <c r="AF48" s="9" t="str">
        <f t="shared" si="10"/>
        <v/>
      </c>
      <c r="AG48" s="94">
        <f t="shared" si="11"/>
        <v>0</v>
      </c>
      <c r="AI48" s="34">
        <f>IFERROR(VLOOKUP($C48,'HC &amp; Open Position'!$D:$J,MATCH(AI$3,'HC &amp; Open Position'!$D$3:$J$3,1),0),"")</f>
        <v>1</v>
      </c>
      <c r="AJ48" s="4">
        <f>IFERROR(VLOOKUP($C48,'HC &amp; Open Position'!$D:$J,MATCH(AJ$3,'HC &amp; Open Position'!$D$3:$J$3,1),0),"")</f>
        <v>0</v>
      </c>
      <c r="AK48" s="4">
        <f>IFERROR(VLOOKUP($C48,'HC &amp; Open Position'!$D:$J,MATCH(AK$3,'HC &amp; Open Position'!$D$3:$J$3,1),0),"")</f>
        <v>0</v>
      </c>
      <c r="AL48" s="4">
        <f>IFERROR(VLOOKUP($C48,'HC &amp; Open Position'!$D:$J,MATCH(AL$3,'HC &amp; Open Position'!$D$3:$J$3,1),0),"")</f>
        <v>0</v>
      </c>
      <c r="AM48" s="94">
        <f t="shared" si="12"/>
        <v>1</v>
      </c>
      <c r="AN48" s="35">
        <f t="shared" si="13"/>
        <v>-1</v>
      </c>
      <c r="AP48" s="34">
        <f>IFERROR(VLOOKUP($C48,'HC &amp; Open Position'!$D$3:$P$53,9,0),"")</f>
        <v>0</v>
      </c>
      <c r="AQ48" s="4">
        <f>IFERROR(VLOOKUP($C48,'HC &amp; Open Position'!$D$3:$P$53,10,0),"")</f>
        <v>0</v>
      </c>
      <c r="AR48" s="4">
        <f>IFERROR(VLOOKUP($C48,'HC &amp; Open Position'!$D$3:$P$53,11,0),"")</f>
        <v>0</v>
      </c>
      <c r="AS48" s="4">
        <f>IFERROR(VLOOKUP($C48,'HC &amp; Open Position'!$D$3:$P$53,12,0),"")</f>
        <v>0</v>
      </c>
      <c r="AT48" s="94">
        <f t="shared" si="14"/>
        <v>0</v>
      </c>
      <c r="AU48" s="35">
        <f t="shared" si="15"/>
        <v>-1</v>
      </c>
    </row>
    <row r="49" spans="1:47" outlineLevel="1" x14ac:dyDescent="0.25">
      <c r="A49" t="s">
        <v>171</v>
      </c>
      <c r="B49" s="53" t="s">
        <v>172</v>
      </c>
      <c r="C49" s="4" t="s">
        <v>173</v>
      </c>
      <c r="D49" s="4" t="s">
        <v>52</v>
      </c>
      <c r="E49" s="106">
        <v>45505</v>
      </c>
      <c r="F49" s="106">
        <v>46247</v>
      </c>
      <c r="G49" s="13" t="s">
        <v>201</v>
      </c>
      <c r="H49" s="13" t="s">
        <v>212</v>
      </c>
      <c r="I49" s="13" t="s">
        <v>58</v>
      </c>
      <c r="J49" s="25">
        <f>IFERROR(VLOOKUP(C49,CPH!$A:$E,5,0),"")</f>
        <v>54000</v>
      </c>
      <c r="K49" s="26">
        <v>25</v>
      </c>
      <c r="L49" s="65">
        <v>27</v>
      </c>
      <c r="M49" s="72">
        <v>23</v>
      </c>
      <c r="N49" s="69">
        <v>25</v>
      </c>
      <c r="O49" s="94">
        <v>100</v>
      </c>
      <c r="P49" s="8"/>
      <c r="Q49" s="26">
        <v>8</v>
      </c>
      <c r="R49" s="65">
        <v>8</v>
      </c>
      <c r="S49" s="72">
        <v>8</v>
      </c>
      <c r="T49" s="69">
        <v>8</v>
      </c>
      <c r="U49" s="94">
        <v>8</v>
      </c>
      <c r="W49" s="33">
        <f t="shared" si="3"/>
        <v>1.6217564870259482</v>
      </c>
      <c r="X49" s="75">
        <f t="shared" si="4"/>
        <v>1.7514970059880242</v>
      </c>
      <c r="Y49" s="76">
        <f t="shared" si="5"/>
        <v>1.4920159680638725</v>
      </c>
      <c r="Z49" s="77">
        <f t="shared" si="6"/>
        <v>1.6217564870259482</v>
      </c>
      <c r="AA49" s="100">
        <f t="shared" si="7"/>
        <v>1.6217564870259482</v>
      </c>
      <c r="AC49" s="28">
        <f t="shared" si="8"/>
        <v>5.138461538461538</v>
      </c>
      <c r="AD49" s="9">
        <f t="shared" ref="AD49:AE49" si="59">IFERROR(AC49/8,"")</f>
        <v>0.64230769230769225</v>
      </c>
      <c r="AE49" s="9">
        <f t="shared" si="59"/>
        <v>8.0288461538461531E-2</v>
      </c>
      <c r="AF49" s="9">
        <f t="shared" si="10"/>
        <v>2.6762820512820511E-2</v>
      </c>
      <c r="AG49" s="94">
        <f t="shared" si="11"/>
        <v>5.8878205128205119</v>
      </c>
      <c r="AI49" s="34">
        <f>IFERROR(VLOOKUP($C49,'HC &amp; Open Position'!$D:$J,MATCH(AI$3,'HC &amp; Open Position'!$D$3:$J$3,1),0),"")</f>
        <v>3</v>
      </c>
      <c r="AJ49" s="4">
        <f>IFERROR(VLOOKUP($C49,'HC &amp; Open Position'!$D:$J,MATCH(AJ$3,'HC &amp; Open Position'!$D$3:$J$3,1),0),"")</f>
        <v>0</v>
      </c>
      <c r="AK49" s="4">
        <f>IFERROR(VLOOKUP($C49,'HC &amp; Open Position'!$D:$J,MATCH(AK$3,'HC &amp; Open Position'!$D$3:$J$3,1),0),"")</f>
        <v>0</v>
      </c>
      <c r="AL49" s="4">
        <f>IFERROR(VLOOKUP($C49,'HC &amp; Open Position'!$D:$J,MATCH(AL$3,'HC &amp; Open Position'!$D$3:$J$3,1),0),"")</f>
        <v>0</v>
      </c>
      <c r="AM49" s="94">
        <f t="shared" si="12"/>
        <v>3</v>
      </c>
      <c r="AN49" s="35">
        <f t="shared" si="13"/>
        <v>2.8878205128205119</v>
      </c>
      <c r="AP49" s="34">
        <f>IFERROR(VLOOKUP($C49,'HC &amp; Open Position'!$D$3:$P$53,9,0),"")</f>
        <v>0</v>
      </c>
      <c r="AQ49" s="4">
        <f>IFERROR(VLOOKUP($C49,'HC &amp; Open Position'!$D$3:$P$53,10,0),"")</f>
        <v>0</v>
      </c>
      <c r="AR49" s="4">
        <f>IFERROR(VLOOKUP($C49,'HC &amp; Open Position'!$D$3:$P$53,11,0),"")</f>
        <v>0</v>
      </c>
      <c r="AS49" s="4">
        <f>IFERROR(VLOOKUP($C49,'HC &amp; Open Position'!$D$3:$P$53,12,0),"")</f>
        <v>0</v>
      </c>
      <c r="AT49" s="94">
        <f t="shared" si="14"/>
        <v>0</v>
      </c>
      <c r="AU49" s="35">
        <f t="shared" si="15"/>
        <v>2.8878205128205119</v>
      </c>
    </row>
    <row r="50" spans="1:47" outlineLevel="1" x14ac:dyDescent="0.25">
      <c r="A50" t="s">
        <v>174</v>
      </c>
      <c r="B50" s="53" t="s">
        <v>175</v>
      </c>
      <c r="C50" s="4" t="s">
        <v>176</v>
      </c>
      <c r="D50" s="4" t="s">
        <v>52</v>
      </c>
      <c r="E50" s="106">
        <v>45505</v>
      </c>
      <c r="F50" s="106">
        <v>46699</v>
      </c>
      <c r="G50" s="13" t="s">
        <v>201</v>
      </c>
      <c r="H50" s="13" t="s">
        <v>206</v>
      </c>
      <c r="I50" s="13" t="s">
        <v>44</v>
      </c>
      <c r="J50" s="25">
        <f>IFERROR(VLOOKUP(C50,CPH!$A:$E,5,0),"")</f>
        <v>41600</v>
      </c>
      <c r="K50" s="26">
        <v>20</v>
      </c>
      <c r="L50" s="65">
        <v>21.6</v>
      </c>
      <c r="M50" s="72">
        <v>18.400000000000002</v>
      </c>
      <c r="N50" s="69">
        <v>20</v>
      </c>
      <c r="O50" s="94">
        <v>80</v>
      </c>
      <c r="P50" s="8"/>
      <c r="Q50" s="26">
        <v>5</v>
      </c>
      <c r="R50" s="65">
        <v>5</v>
      </c>
      <c r="S50" s="72">
        <v>5</v>
      </c>
      <c r="T50" s="69">
        <v>5</v>
      </c>
      <c r="U50" s="94">
        <v>5</v>
      </c>
      <c r="W50" s="33">
        <f t="shared" si="3"/>
        <v>2.0758483033932138</v>
      </c>
      <c r="X50" s="75">
        <f t="shared" si="4"/>
        <v>2.2419161676646713</v>
      </c>
      <c r="Y50" s="76">
        <f t="shared" si="5"/>
        <v>1.909780439121757</v>
      </c>
      <c r="Z50" s="77">
        <f t="shared" si="6"/>
        <v>2.0758483033932138</v>
      </c>
      <c r="AA50" s="100">
        <f t="shared" si="7"/>
        <v>2.0758483033932138</v>
      </c>
      <c r="AC50" s="28">
        <f t="shared" si="8"/>
        <v>3.2115384615384608</v>
      </c>
      <c r="AD50" s="9">
        <f t="shared" ref="AD50:AE50" si="60">IFERROR(AC50/8,"")</f>
        <v>0.4014423076923076</v>
      </c>
      <c r="AE50" s="9">
        <f t="shared" si="60"/>
        <v>5.018028846153845E-2</v>
      </c>
      <c r="AF50" s="9">
        <f t="shared" si="10"/>
        <v>1.6726762820512817E-2</v>
      </c>
      <c r="AG50" s="94">
        <f t="shared" si="11"/>
        <v>3.6798878205128194</v>
      </c>
      <c r="AI50" s="34">
        <f>IFERROR(VLOOKUP($C50,'HC &amp; Open Position'!$D:$J,MATCH(AI$3,'HC &amp; Open Position'!$D$3:$J$3,1),0),"")</f>
        <v>4</v>
      </c>
      <c r="AJ50" s="4">
        <f>IFERROR(VLOOKUP($C50,'HC &amp; Open Position'!$D:$J,MATCH(AJ$3,'HC &amp; Open Position'!$D$3:$J$3,1),0),"")</f>
        <v>1</v>
      </c>
      <c r="AK50" s="4">
        <f>IFERROR(VLOOKUP($C50,'HC &amp; Open Position'!$D:$J,MATCH(AK$3,'HC &amp; Open Position'!$D$3:$J$3,1),0),"")</f>
        <v>0</v>
      </c>
      <c r="AL50" s="4">
        <f>IFERROR(VLOOKUP($C50,'HC &amp; Open Position'!$D:$J,MATCH(AL$3,'HC &amp; Open Position'!$D$3:$J$3,1),0),"")</f>
        <v>0</v>
      </c>
      <c r="AM50" s="94">
        <f t="shared" si="12"/>
        <v>5</v>
      </c>
      <c r="AN50" s="35">
        <f t="shared" si="13"/>
        <v>-1.3201121794871806</v>
      </c>
      <c r="AP50" s="34">
        <f>IFERROR(VLOOKUP($C50,'HC &amp; Open Position'!$D$3:$P$53,9,0),"")</f>
        <v>0</v>
      </c>
      <c r="AQ50" s="4">
        <f>IFERROR(VLOOKUP($C50,'HC &amp; Open Position'!$D$3:$P$53,10,0),"")</f>
        <v>0</v>
      </c>
      <c r="AR50" s="4">
        <f>IFERROR(VLOOKUP($C50,'HC &amp; Open Position'!$D$3:$P$53,11,0),"")</f>
        <v>0</v>
      </c>
      <c r="AS50" s="4">
        <f>IFERROR(VLOOKUP($C50,'HC &amp; Open Position'!$D$3:$P$53,12,0),"")</f>
        <v>0</v>
      </c>
      <c r="AT50" s="94">
        <f t="shared" si="14"/>
        <v>0</v>
      </c>
      <c r="AU50" s="35">
        <f t="shared" si="15"/>
        <v>-1.3201121794871806</v>
      </c>
    </row>
    <row r="51" spans="1:47" outlineLevel="1" x14ac:dyDescent="0.25">
      <c r="A51" t="s">
        <v>177</v>
      </c>
      <c r="B51" s="53" t="s">
        <v>178</v>
      </c>
      <c r="C51" s="4" t="s">
        <v>178</v>
      </c>
      <c r="D51" s="4" t="s">
        <v>52</v>
      </c>
      <c r="E51" s="106">
        <v>45600</v>
      </c>
      <c r="F51" s="106">
        <v>46330</v>
      </c>
      <c r="G51" s="13" t="s">
        <v>201</v>
      </c>
      <c r="H51" s="13" t="s">
        <v>214</v>
      </c>
      <c r="I51" s="13" t="s">
        <v>44</v>
      </c>
      <c r="J51" s="25" t="str">
        <f>IFERROR(VLOOKUP(C51,CPH!$A:$E,5,0),"")</f>
        <v/>
      </c>
      <c r="K51" s="26">
        <v>18.75</v>
      </c>
      <c r="L51" s="65">
        <v>20.25</v>
      </c>
      <c r="M51" s="72">
        <v>17.25</v>
      </c>
      <c r="N51" s="69">
        <v>18.75</v>
      </c>
      <c r="O51" s="94">
        <v>75</v>
      </c>
      <c r="P51" s="8"/>
      <c r="Q51" s="26">
        <v>5</v>
      </c>
      <c r="R51" s="65">
        <v>5</v>
      </c>
      <c r="S51" s="72">
        <v>5</v>
      </c>
      <c r="T51" s="69">
        <v>5</v>
      </c>
      <c r="U51" s="94">
        <v>5</v>
      </c>
      <c r="W51" s="33">
        <f t="shared" si="3"/>
        <v>1.9461077844311379</v>
      </c>
      <c r="X51" s="75">
        <f t="shared" si="4"/>
        <v>2.1017964071856285</v>
      </c>
      <c r="Y51" s="76">
        <f t="shared" si="5"/>
        <v>1.7904191616766469</v>
      </c>
      <c r="Z51" s="77">
        <f t="shared" si="6"/>
        <v>1.9461077844311379</v>
      </c>
      <c r="AA51" s="100">
        <f t="shared" si="7"/>
        <v>1.9461077844311379</v>
      </c>
      <c r="AC51" s="28">
        <f t="shared" si="8"/>
        <v>3.2115384615384617</v>
      </c>
      <c r="AD51" s="9">
        <f t="shared" ref="AD51:AE51" si="61">IFERROR(AC51/8,"")</f>
        <v>0.40144230769230771</v>
      </c>
      <c r="AE51" s="9">
        <f t="shared" si="61"/>
        <v>5.0180288461538464E-2</v>
      </c>
      <c r="AF51" s="9">
        <f t="shared" si="10"/>
        <v>1.672676282051282E-2</v>
      </c>
      <c r="AG51" s="94">
        <f t="shared" si="11"/>
        <v>3.6798878205128203</v>
      </c>
      <c r="AI51" s="34">
        <f>IFERROR(VLOOKUP($C51,'HC &amp; Open Position'!$D:$J,MATCH(AI$3,'HC &amp; Open Position'!$D$3:$J$3,1),0),"")</f>
        <v>2</v>
      </c>
      <c r="AJ51" s="4">
        <f>IFERROR(VLOOKUP($C51,'HC &amp; Open Position'!$D:$J,MATCH(AJ$3,'HC &amp; Open Position'!$D$3:$J$3,1),0),"")</f>
        <v>1</v>
      </c>
      <c r="AK51" s="4">
        <f>IFERROR(VLOOKUP($C51,'HC &amp; Open Position'!$D:$J,MATCH(AK$3,'HC &amp; Open Position'!$D$3:$J$3,1),0),"")</f>
        <v>0</v>
      </c>
      <c r="AL51" s="4">
        <f>IFERROR(VLOOKUP($C51,'HC &amp; Open Position'!$D:$J,MATCH(AL$3,'HC &amp; Open Position'!$D$3:$J$3,1),0),"")</f>
        <v>0</v>
      </c>
      <c r="AM51" s="94">
        <f t="shared" si="12"/>
        <v>3</v>
      </c>
      <c r="AN51" s="35">
        <f t="shared" si="13"/>
        <v>0.67988782051282026</v>
      </c>
      <c r="AP51" s="34">
        <f>IFERROR(VLOOKUP($C51,'HC &amp; Open Position'!$D$3:$P$53,9,0),"")</f>
        <v>0</v>
      </c>
      <c r="AQ51" s="4">
        <f>IFERROR(VLOOKUP($C51,'HC &amp; Open Position'!$D$3:$P$53,10,0),"")</f>
        <v>0</v>
      </c>
      <c r="AR51" s="4">
        <f>IFERROR(VLOOKUP($C51,'HC &amp; Open Position'!$D$3:$P$53,11,0),"")</f>
        <v>0</v>
      </c>
      <c r="AS51" s="4">
        <f>IFERROR(VLOOKUP($C51,'HC &amp; Open Position'!$D$3:$P$53,12,0),"")</f>
        <v>0</v>
      </c>
      <c r="AT51" s="94">
        <f t="shared" si="14"/>
        <v>0</v>
      </c>
      <c r="AU51" s="35">
        <f t="shared" si="15"/>
        <v>0.67988782051282026</v>
      </c>
    </row>
    <row r="52" spans="1:47" outlineLevel="1" x14ac:dyDescent="0.25">
      <c r="A52" t="s">
        <v>179</v>
      </c>
      <c r="B52" s="53" t="s">
        <v>180</v>
      </c>
      <c r="C52" s="4" t="s">
        <v>181</v>
      </c>
      <c r="D52" s="4" t="s">
        <v>52</v>
      </c>
      <c r="E52" s="106">
        <v>45536</v>
      </c>
      <c r="F52" s="106">
        <v>46656</v>
      </c>
      <c r="G52" s="13" t="s">
        <v>201</v>
      </c>
      <c r="H52" s="13" t="s">
        <v>206</v>
      </c>
      <c r="I52" s="13" t="s">
        <v>44</v>
      </c>
      <c r="J52" s="25">
        <f>IFERROR(VLOOKUP(C52,CPH!$A:$E,5,0),"")</f>
        <v>32000</v>
      </c>
      <c r="K52" s="26">
        <v>150</v>
      </c>
      <c r="L52" s="65">
        <v>162</v>
      </c>
      <c r="M52" s="72">
        <v>138</v>
      </c>
      <c r="N52" s="69">
        <v>150</v>
      </c>
      <c r="O52" s="94">
        <v>600</v>
      </c>
      <c r="P52" s="8"/>
      <c r="Q52" s="26">
        <v>39</v>
      </c>
      <c r="R52" s="65">
        <v>40</v>
      </c>
      <c r="S52" s="72">
        <v>40</v>
      </c>
      <c r="T52" s="69">
        <v>40</v>
      </c>
      <c r="U52" s="94">
        <v>39.75</v>
      </c>
      <c r="W52" s="33">
        <f t="shared" si="3"/>
        <v>1.9960079840319367</v>
      </c>
      <c r="X52" s="75">
        <f t="shared" si="4"/>
        <v>2.1017964071856285</v>
      </c>
      <c r="Y52" s="76">
        <f t="shared" si="5"/>
        <v>1.7904191616766469</v>
      </c>
      <c r="Z52" s="77">
        <f t="shared" si="6"/>
        <v>1.9461077844311379</v>
      </c>
      <c r="AA52" s="100">
        <f t="shared" si="7"/>
        <v>1.9583474560313339</v>
      </c>
      <c r="AC52" s="28">
        <f t="shared" si="8"/>
        <v>25.531730769230762</v>
      </c>
      <c r="AD52" s="9">
        <f t="shared" ref="AD52:AE52" si="62">IFERROR(AC52/8,"")</f>
        <v>3.1914663461538453</v>
      </c>
      <c r="AE52" s="9">
        <f t="shared" si="62"/>
        <v>0.39893329326923066</v>
      </c>
      <c r="AF52" s="9">
        <f t="shared" si="10"/>
        <v>0.13297776442307688</v>
      </c>
      <c r="AG52" s="94">
        <f t="shared" si="11"/>
        <v>29.255108173076916</v>
      </c>
      <c r="AI52" s="34">
        <f>IFERROR(VLOOKUP($C52,'HC &amp; Open Position'!$D:$J,MATCH(AI$3,'HC &amp; Open Position'!$D$3:$J$3,1),0),"")</f>
        <v>22</v>
      </c>
      <c r="AJ52" s="4">
        <f>IFERROR(VLOOKUP($C52,'HC &amp; Open Position'!$D:$J,MATCH(AJ$3,'HC &amp; Open Position'!$D$3:$J$3,1),0),"")</f>
        <v>1</v>
      </c>
      <c r="AK52" s="4">
        <f>IFERROR(VLOOKUP($C52,'HC &amp; Open Position'!$D:$J,MATCH(AK$3,'HC &amp; Open Position'!$D$3:$J$3,1),0),"")</f>
        <v>0</v>
      </c>
      <c r="AL52" s="4">
        <f>IFERROR(VLOOKUP($C52,'HC &amp; Open Position'!$D:$J,MATCH(AL$3,'HC &amp; Open Position'!$D$3:$J$3,1),0),"")</f>
        <v>0</v>
      </c>
      <c r="AM52" s="94">
        <f t="shared" si="12"/>
        <v>23</v>
      </c>
      <c r="AN52" s="35">
        <f t="shared" si="13"/>
        <v>6.2551081730769162</v>
      </c>
      <c r="AP52" s="34">
        <f>IFERROR(VLOOKUP($C52,'HC &amp; Open Position'!$D$3:$P$53,9,0),"")</f>
        <v>1</v>
      </c>
      <c r="AQ52" s="4">
        <f>IFERROR(VLOOKUP($C52,'HC &amp; Open Position'!$D$3:$P$53,10,0),"")</f>
        <v>0</v>
      </c>
      <c r="AR52" s="4">
        <f>IFERROR(VLOOKUP($C52,'HC &amp; Open Position'!$D$3:$P$53,11,0),"")</f>
        <v>0</v>
      </c>
      <c r="AS52" s="4">
        <f>IFERROR(VLOOKUP($C52,'HC &amp; Open Position'!$D$3:$P$53,12,0),"")</f>
        <v>0</v>
      </c>
      <c r="AT52" s="94">
        <f t="shared" si="14"/>
        <v>1</v>
      </c>
      <c r="AU52" s="35">
        <f t="shared" si="15"/>
        <v>5.2551081730769162</v>
      </c>
    </row>
    <row r="53" spans="1:47" outlineLevel="1" x14ac:dyDescent="0.25">
      <c r="A53" t="s">
        <v>182</v>
      </c>
      <c r="B53" s="53" t="s">
        <v>183</v>
      </c>
      <c r="C53" s="4" t="s">
        <v>184</v>
      </c>
      <c r="D53" s="4" t="s">
        <v>52</v>
      </c>
      <c r="E53" s="106">
        <v>45587</v>
      </c>
      <c r="F53" s="106">
        <v>45952</v>
      </c>
      <c r="G53" s="13" t="s">
        <v>251</v>
      </c>
      <c r="H53" s="13" t="s">
        <v>207</v>
      </c>
      <c r="I53" s="13" t="s">
        <v>38</v>
      </c>
      <c r="J53" s="25">
        <f>IFERROR(VLOOKUP(C53,CPH!$A:$E,5,0),"")</f>
        <v>97346</v>
      </c>
      <c r="K53" s="26">
        <v>25</v>
      </c>
      <c r="L53" s="65">
        <v>27</v>
      </c>
      <c r="M53" s="72">
        <v>23</v>
      </c>
      <c r="N53" s="69">
        <v>25</v>
      </c>
      <c r="O53" s="94">
        <v>100</v>
      </c>
      <c r="P53" s="8"/>
      <c r="Q53" s="26">
        <v>8</v>
      </c>
      <c r="R53" s="65">
        <v>8</v>
      </c>
      <c r="S53" s="72">
        <v>8</v>
      </c>
      <c r="T53" s="69">
        <v>8</v>
      </c>
      <c r="U53" s="94">
        <v>8</v>
      </c>
      <c r="W53" s="33">
        <f t="shared" si="3"/>
        <v>1.6217564870259482</v>
      </c>
      <c r="X53" s="75">
        <f t="shared" si="4"/>
        <v>1.7514970059880242</v>
      </c>
      <c r="Y53" s="76">
        <f t="shared" si="5"/>
        <v>1.4920159680638725</v>
      </c>
      <c r="Z53" s="77">
        <f t="shared" si="6"/>
        <v>1.6217564870259482</v>
      </c>
      <c r="AA53" s="100">
        <f t="shared" si="7"/>
        <v>1.6217564870259482</v>
      </c>
      <c r="AC53" s="28">
        <f t="shared" si="8"/>
        <v>5.138461538461538</v>
      </c>
      <c r="AD53" s="9">
        <f t="shared" ref="AD53:AE53" si="63">IFERROR(AC53/8,"")</f>
        <v>0.64230769230769225</v>
      </c>
      <c r="AE53" s="9">
        <f t="shared" si="63"/>
        <v>8.0288461538461531E-2</v>
      </c>
      <c r="AF53" s="9">
        <f t="shared" si="10"/>
        <v>2.6762820512820511E-2</v>
      </c>
      <c r="AG53" s="94">
        <f t="shared" si="11"/>
        <v>5.8878205128205119</v>
      </c>
      <c r="AI53" s="34">
        <f>IFERROR(VLOOKUP($C53,'HC &amp; Open Position'!$D:$J,MATCH(AI$3,'HC &amp; Open Position'!$D$3:$J$3,1),0),"")</f>
        <v>10</v>
      </c>
      <c r="AJ53" s="4">
        <f>IFERROR(VLOOKUP($C53,'HC &amp; Open Position'!$D:$J,MATCH(AJ$3,'HC &amp; Open Position'!$D$3:$J$3,1),0),"")</f>
        <v>4</v>
      </c>
      <c r="AK53" s="4">
        <f>IFERROR(VLOOKUP($C53,'HC &amp; Open Position'!$D:$J,MATCH(AK$3,'HC &amp; Open Position'!$D$3:$J$3,1),0),"")</f>
        <v>0</v>
      </c>
      <c r="AL53" s="4">
        <f>IFERROR(VLOOKUP($C53,'HC &amp; Open Position'!$D:$J,MATCH(AL$3,'HC &amp; Open Position'!$D$3:$J$3,1),0),"")</f>
        <v>0</v>
      </c>
      <c r="AM53" s="94">
        <f t="shared" si="12"/>
        <v>14</v>
      </c>
      <c r="AN53" s="35">
        <f t="shared" si="13"/>
        <v>-8.112179487179489</v>
      </c>
      <c r="AP53" s="34">
        <f>IFERROR(VLOOKUP($C53,'HC &amp; Open Position'!$D$3:$P$53,9,0),"")</f>
        <v>0</v>
      </c>
      <c r="AQ53" s="4">
        <f>IFERROR(VLOOKUP($C53,'HC &amp; Open Position'!$D$3:$P$53,10,0),"")</f>
        <v>0</v>
      </c>
      <c r="AR53" s="4">
        <f>IFERROR(VLOOKUP($C53,'HC &amp; Open Position'!$D$3:$P$53,11,0),"")</f>
        <v>0</v>
      </c>
      <c r="AS53" s="4">
        <f>IFERROR(VLOOKUP($C53,'HC &amp; Open Position'!$D$3:$P$53,12,0),"")</f>
        <v>0</v>
      </c>
      <c r="AT53" s="94">
        <f t="shared" si="14"/>
        <v>0</v>
      </c>
      <c r="AU53" s="35">
        <f t="shared" si="15"/>
        <v>-8.112179487179489</v>
      </c>
    </row>
    <row r="54" spans="1:47" outlineLevel="1" x14ac:dyDescent="0.25">
      <c r="A54" t="s">
        <v>185</v>
      </c>
      <c r="B54" s="53" t="s">
        <v>186</v>
      </c>
      <c r="C54" s="4" t="s">
        <v>187</v>
      </c>
      <c r="D54" s="4"/>
      <c r="E54" s="106">
        <v>45616</v>
      </c>
      <c r="F54" s="106">
        <v>46710</v>
      </c>
      <c r="G54" s="13" t="s">
        <v>201</v>
      </c>
      <c r="H54" s="13" t="s">
        <v>212</v>
      </c>
      <c r="I54" s="13" t="s">
        <v>58</v>
      </c>
      <c r="J54" s="25">
        <f>IFERROR(VLOOKUP(C54,CPH!$A:$E,5,0),"")</f>
        <v>83000</v>
      </c>
      <c r="K54" s="26">
        <v>50</v>
      </c>
      <c r="L54" s="65">
        <v>54</v>
      </c>
      <c r="M54" s="72">
        <v>46</v>
      </c>
      <c r="N54" s="69">
        <v>50</v>
      </c>
      <c r="O54" s="94">
        <v>200</v>
      </c>
      <c r="P54" s="8"/>
      <c r="Q54" s="26">
        <v>15</v>
      </c>
      <c r="R54" s="65">
        <v>15</v>
      </c>
      <c r="S54" s="72">
        <v>15</v>
      </c>
      <c r="T54" s="69">
        <v>15</v>
      </c>
      <c r="U54" s="94">
        <v>15</v>
      </c>
      <c r="W54" s="33">
        <f t="shared" si="3"/>
        <v>1.7298735861610115</v>
      </c>
      <c r="X54" s="75">
        <f t="shared" si="4"/>
        <v>1.8682634730538923</v>
      </c>
      <c r="Y54" s="76">
        <f t="shared" si="5"/>
        <v>1.5914836992681307</v>
      </c>
      <c r="Z54" s="77">
        <f t="shared" si="6"/>
        <v>1.7298735861610115</v>
      </c>
      <c r="AA54" s="100">
        <f t="shared" si="7"/>
        <v>1.7298735861610115</v>
      </c>
      <c r="AC54" s="28">
        <f t="shared" si="8"/>
        <v>9.6346153846153832</v>
      </c>
      <c r="AD54" s="9">
        <f t="shared" ref="AD54:AE54" si="64">IFERROR(AC54/8,"")</f>
        <v>1.2043269230769229</v>
      </c>
      <c r="AE54" s="9">
        <f t="shared" si="64"/>
        <v>0.15054086538461536</v>
      </c>
      <c r="AF54" s="9">
        <f t="shared" si="10"/>
        <v>5.0180288461538457E-2</v>
      </c>
      <c r="AG54" s="94">
        <f t="shared" si="11"/>
        <v>11.03966346153846</v>
      </c>
      <c r="AI54" s="34">
        <f>IFERROR(VLOOKUP($C54,'HC &amp; Open Position'!$D:$J,MATCH(AI$3,'HC &amp; Open Position'!$D$3:$J$3,1),0),"")</f>
        <v>3</v>
      </c>
      <c r="AJ54" s="4">
        <f>IFERROR(VLOOKUP($C54,'HC &amp; Open Position'!$D:$J,MATCH(AJ$3,'HC &amp; Open Position'!$D$3:$J$3,1),0),"")</f>
        <v>1</v>
      </c>
      <c r="AK54" s="4">
        <f>IFERROR(VLOOKUP($C54,'HC &amp; Open Position'!$D:$J,MATCH(AK$3,'HC &amp; Open Position'!$D$3:$J$3,1),0),"")</f>
        <v>0</v>
      </c>
      <c r="AL54" s="4">
        <f>IFERROR(VLOOKUP($C54,'HC &amp; Open Position'!$D:$J,MATCH(AL$3,'HC &amp; Open Position'!$D$3:$J$3,1),0),"")</f>
        <v>0</v>
      </c>
      <c r="AM54" s="94">
        <f t="shared" si="12"/>
        <v>4</v>
      </c>
      <c r="AN54" s="35">
        <f t="shared" si="13"/>
        <v>7.0396634615384599</v>
      </c>
      <c r="AP54" s="34">
        <f>IFERROR(VLOOKUP($C54,'HC &amp; Open Position'!$D$3:$P$53,9,0),"")</f>
        <v>0</v>
      </c>
      <c r="AQ54" s="4">
        <f>IFERROR(VLOOKUP($C54,'HC &amp; Open Position'!$D$3:$P$53,10,0),"")</f>
        <v>0</v>
      </c>
      <c r="AR54" s="4">
        <f>IFERROR(VLOOKUP($C54,'HC &amp; Open Position'!$D$3:$P$53,11,0),"")</f>
        <v>0</v>
      </c>
      <c r="AS54" s="4">
        <f>IFERROR(VLOOKUP($C54,'HC &amp; Open Position'!$D$3:$P$53,12,0),"")</f>
        <v>0</v>
      </c>
      <c r="AT54" s="94">
        <f t="shared" si="14"/>
        <v>0</v>
      </c>
      <c r="AU54" s="35">
        <f t="shared" si="15"/>
        <v>7.0396634615384599</v>
      </c>
    </row>
    <row r="55" spans="1:47" outlineLevel="1" x14ac:dyDescent="0.25">
      <c r="A55" t="s">
        <v>188</v>
      </c>
      <c r="B55" s="53" t="s">
        <v>189</v>
      </c>
      <c r="C55" s="4" t="s">
        <v>190</v>
      </c>
      <c r="D55" s="4"/>
      <c r="E55" s="106">
        <v>45639</v>
      </c>
      <c r="F55" s="106">
        <v>46368</v>
      </c>
      <c r="G55" s="13" t="s">
        <v>251</v>
      </c>
      <c r="H55" s="13" t="s">
        <v>207</v>
      </c>
      <c r="I55" s="13" t="s">
        <v>38</v>
      </c>
      <c r="J55" s="25">
        <f>IFERROR(VLOOKUP(C55,CPH!$A:$E,5,0),"")</f>
        <v>60000</v>
      </c>
      <c r="K55" s="26">
        <v>37.5</v>
      </c>
      <c r="L55" s="65">
        <v>40.5</v>
      </c>
      <c r="M55" s="72">
        <v>34.5</v>
      </c>
      <c r="N55" s="69">
        <v>37.5</v>
      </c>
      <c r="O55" s="94">
        <v>150</v>
      </c>
      <c r="P55" s="8"/>
      <c r="Q55" s="26">
        <v>6</v>
      </c>
      <c r="R55" s="65">
        <v>6</v>
      </c>
      <c r="S55" s="72">
        <v>8</v>
      </c>
      <c r="T55" s="69">
        <v>8</v>
      </c>
      <c r="U55" s="94">
        <v>7</v>
      </c>
      <c r="W55" s="33">
        <f t="shared" si="3"/>
        <v>3.2435129740518964</v>
      </c>
      <c r="X55" s="75">
        <f t="shared" si="4"/>
        <v>3.5029940119760483</v>
      </c>
      <c r="Y55" s="76">
        <f t="shared" si="5"/>
        <v>2.2380239520958085</v>
      </c>
      <c r="Z55" s="77">
        <f t="shared" si="6"/>
        <v>2.4326347305389224</v>
      </c>
      <c r="AA55" s="100">
        <f t="shared" si="7"/>
        <v>2.780153977758768</v>
      </c>
      <c r="AC55" s="105">
        <f t="shared" si="8"/>
        <v>4.4961538461538462</v>
      </c>
      <c r="AD55" s="9">
        <f t="shared" ref="AD55:AE55" si="65">IFERROR(AC55/8,"")</f>
        <v>0.56201923076923077</v>
      </c>
      <c r="AE55" s="9">
        <f t="shared" si="65"/>
        <v>7.0252403846153846E-2</v>
      </c>
      <c r="AF55" s="9">
        <f t="shared" si="10"/>
        <v>2.3417467948717949E-2</v>
      </c>
      <c r="AG55" s="94">
        <f t="shared" si="11"/>
        <v>5.1518429487179489</v>
      </c>
      <c r="AI55" s="34">
        <f>IFERROR(VLOOKUP($C55,'HC &amp; Open Position'!$D:$J,MATCH(AI$3,'HC &amp; Open Position'!$D$3:$J$3,1),0),"")</f>
        <v>1</v>
      </c>
      <c r="AJ55" s="4">
        <f>IFERROR(VLOOKUP($C55,'HC &amp; Open Position'!$D:$J,MATCH(AJ$3,'HC &amp; Open Position'!$D$3:$J$3,1),0),"")</f>
        <v>0</v>
      </c>
      <c r="AK55" s="4">
        <f>IFERROR(VLOOKUP($C55,'HC &amp; Open Position'!$D:$J,MATCH(AK$3,'HC &amp; Open Position'!$D$3:$J$3,1),0),"")</f>
        <v>0</v>
      </c>
      <c r="AL55" s="4">
        <f>IFERROR(VLOOKUP($C55,'HC &amp; Open Position'!$D:$J,MATCH(AL$3,'HC &amp; Open Position'!$D$3:$J$3,1),0),"")</f>
        <v>0</v>
      </c>
      <c r="AM55" s="94">
        <f t="shared" si="12"/>
        <v>1</v>
      </c>
      <c r="AN55" s="35">
        <f t="shared" si="13"/>
        <v>4.1518429487179489</v>
      </c>
      <c r="AP55" s="34">
        <f>IFERROR(VLOOKUP($C55,'HC &amp; Open Position'!$D$3:$P$53,9,0),"")</f>
        <v>0</v>
      </c>
      <c r="AQ55" s="4">
        <f>IFERROR(VLOOKUP($C55,'HC &amp; Open Position'!$D$3:$P$53,10,0),"")</f>
        <v>0</v>
      </c>
      <c r="AR55" s="4">
        <f>IFERROR(VLOOKUP($C55,'HC &amp; Open Position'!$D$3:$P$53,11,0),"")</f>
        <v>0</v>
      </c>
      <c r="AS55" s="4">
        <f>IFERROR(VLOOKUP($C55,'HC &amp; Open Position'!$D$3:$P$53,12,0),"")</f>
        <v>0</v>
      </c>
      <c r="AT55" s="94">
        <f t="shared" si="14"/>
        <v>0</v>
      </c>
      <c r="AU55" s="35">
        <f t="shared" si="15"/>
        <v>4.1518429487179489</v>
      </c>
    </row>
    <row r="56" spans="1:47" s="3" customFormat="1" outlineLevel="1" x14ac:dyDescent="0.25">
      <c r="A56" t="s">
        <v>191</v>
      </c>
      <c r="B56" s="53" t="s">
        <v>192</v>
      </c>
      <c r="C56" s="4" t="s">
        <v>193</v>
      </c>
      <c r="D56" s="4" t="s">
        <v>166</v>
      </c>
      <c r="E56" s="106" t="s">
        <v>166</v>
      </c>
      <c r="F56" s="106" t="s">
        <v>166</v>
      </c>
      <c r="G56" s="13" t="s">
        <v>79</v>
      </c>
      <c r="H56" s="13" t="s">
        <v>79</v>
      </c>
      <c r="I56" s="13"/>
      <c r="J56" s="25" t="str">
        <f>IFERROR(VLOOKUP(C56,CPH!$A:$E,5,0),"")</f>
        <v/>
      </c>
      <c r="K56" s="83"/>
      <c r="L56" s="84"/>
      <c r="M56" s="85"/>
      <c r="N56" s="86"/>
      <c r="O56" s="95"/>
      <c r="Q56" s="83">
        <v>30</v>
      </c>
      <c r="R56" s="84">
        <v>30</v>
      </c>
      <c r="S56" s="85">
        <v>30</v>
      </c>
      <c r="T56" s="86">
        <v>30</v>
      </c>
      <c r="U56" s="95">
        <v>30</v>
      </c>
      <c r="W56" s="33">
        <f t="shared" si="3"/>
        <v>0</v>
      </c>
      <c r="X56" s="75">
        <f t="shared" si="4"/>
        <v>0</v>
      </c>
      <c r="Y56" s="76">
        <f t="shared" si="5"/>
        <v>0</v>
      </c>
      <c r="Z56" s="77">
        <f t="shared" si="6"/>
        <v>0</v>
      </c>
      <c r="AA56" s="100">
        <f t="shared" si="7"/>
        <v>0</v>
      </c>
      <c r="AC56" s="105">
        <v>3</v>
      </c>
      <c r="AD56" s="9">
        <v>3</v>
      </c>
      <c r="AE56" s="9">
        <f t="shared" ref="AE56:AE57" si="66">IFERROR(AD56/8,"")</f>
        <v>0.375</v>
      </c>
      <c r="AF56" s="9">
        <v>3</v>
      </c>
      <c r="AG56" s="94">
        <f t="shared" ref="AG56:AG57" si="67">SUM(AC56:AF56)</f>
        <v>9.375</v>
      </c>
      <c r="AI56" s="34">
        <v>3</v>
      </c>
      <c r="AJ56" s="4">
        <v>3</v>
      </c>
      <c r="AK56" s="4">
        <f>IFERROR(VLOOKUP($C56,'HC &amp; Open Position'!$D:$J,MATCH(AK$3,'HC &amp; Open Position'!$D$3:$J$3,1),0),"")</f>
        <v>1</v>
      </c>
      <c r="AL56" s="4">
        <v>3</v>
      </c>
      <c r="AM56" s="94">
        <f t="shared" ref="AM56:AM57" si="68">SUM(AI56:AL56)</f>
        <v>10</v>
      </c>
      <c r="AN56" s="35">
        <f t="shared" si="13"/>
        <v>-0.625</v>
      </c>
      <c r="AP56" s="34" t="str">
        <f>IFERROR(VLOOKUP($C56,'HC &amp; Open Position'!$D$3:$P$53,9,0),"")</f>
        <v/>
      </c>
      <c r="AQ56" s="4" t="str">
        <f>IFERROR(VLOOKUP($C56,'HC &amp; Open Position'!$D$3:$P$53,10,0),"")</f>
        <v/>
      </c>
      <c r="AR56" s="4" t="str">
        <f>IFERROR(VLOOKUP($C56,'HC &amp; Open Position'!$D$3:$P$53,11,0),"")</f>
        <v/>
      </c>
      <c r="AS56" s="4" t="str">
        <f>IFERROR(VLOOKUP($C56,'HC &amp; Open Position'!$D$3:$P$53,12,0),"")</f>
        <v/>
      </c>
      <c r="AT56" s="94">
        <f t="shared" ref="AT56:AT57" si="69">SUM(AP56:AS56)</f>
        <v>0</v>
      </c>
      <c r="AU56" s="35">
        <f t="shared" ref="AU56:AU57" si="70">AG56-(AM56+AT56)</f>
        <v>-0.625</v>
      </c>
    </row>
    <row r="57" spans="1:47" outlineLevel="1" x14ac:dyDescent="0.25">
      <c r="A57" t="s">
        <v>166</v>
      </c>
      <c r="B57" s="53" t="s">
        <v>194</v>
      </c>
      <c r="C57" s="4" t="s">
        <v>194</v>
      </c>
      <c r="D57" s="4"/>
      <c r="E57" s="106"/>
      <c r="F57" s="106"/>
      <c r="G57" s="13" t="s">
        <v>201</v>
      </c>
      <c r="H57" s="13" t="s">
        <v>212</v>
      </c>
      <c r="I57" s="13" t="s">
        <v>58</v>
      </c>
      <c r="J57" s="25" t="str">
        <f>IFERROR(VLOOKUP(C57,CPH!$A:$E,5,0),"")</f>
        <v/>
      </c>
      <c r="K57" s="26">
        <f>$O$57/4</f>
        <v>22.375</v>
      </c>
      <c r="L57" s="65">
        <f t="shared" ref="L57:N57" si="71">$O$57/4</f>
        <v>22.375</v>
      </c>
      <c r="M57" s="72">
        <f t="shared" si="71"/>
        <v>22.375</v>
      </c>
      <c r="N57" s="69">
        <f t="shared" si="71"/>
        <v>22.375</v>
      </c>
      <c r="O57" s="94">
        <v>89.5</v>
      </c>
      <c r="P57" s="8"/>
      <c r="Q57" s="26">
        <f t="shared" ref="Q57:T57" si="72">K57/(1.08*3*1.5)</f>
        <v>4.6039094650205756</v>
      </c>
      <c r="R57" s="65">
        <f t="shared" si="72"/>
        <v>4.6039094650205756</v>
      </c>
      <c r="S57" s="72">
        <f t="shared" si="72"/>
        <v>4.6039094650205756</v>
      </c>
      <c r="T57" s="69">
        <f t="shared" si="72"/>
        <v>4.6039094650205756</v>
      </c>
      <c r="U57" s="94">
        <v>5</v>
      </c>
      <c r="W57" s="33">
        <f t="shared" si="3"/>
        <v>2.522155688622755</v>
      </c>
      <c r="X57" s="75">
        <f t="shared" si="4"/>
        <v>2.522155688622755</v>
      </c>
      <c r="Y57" s="76">
        <f t="shared" si="5"/>
        <v>2.522155688622755</v>
      </c>
      <c r="Z57" s="77">
        <f t="shared" si="6"/>
        <v>2.522155688622755</v>
      </c>
      <c r="AA57" s="100">
        <f t="shared" si="7"/>
        <v>2.3223552894211577</v>
      </c>
      <c r="AC57" s="105">
        <f t="shared" ref="AC57" si="73">IFERROR(O57/(AA57*3*4),"")</f>
        <v>3.2115384615384612</v>
      </c>
      <c r="AD57" s="9">
        <f t="shared" ref="AD57" si="74">IFERROR(AC57/8,"")</f>
        <v>0.40144230769230765</v>
      </c>
      <c r="AE57" s="9">
        <f t="shared" si="66"/>
        <v>5.0180288461538457E-2</v>
      </c>
      <c r="AF57" s="9">
        <f t="shared" ref="AF57" si="75">IFERROR(AE57/3,"")</f>
        <v>1.672676282051282E-2</v>
      </c>
      <c r="AG57" s="94">
        <f t="shared" si="67"/>
        <v>3.6798878205128198</v>
      </c>
      <c r="AI57" s="34">
        <f>IFERROR(VLOOKUP($C57,'HC &amp; Open Position'!$D:$J,MATCH(AI$3,'HC &amp; Open Position'!$D$3:$J$3,1),0),"")</f>
        <v>4</v>
      </c>
      <c r="AJ57" s="4">
        <f>IFERROR(VLOOKUP($C57,'HC &amp; Open Position'!$D:$J,MATCH(AJ$3,'HC &amp; Open Position'!$D$3:$J$3,1),0),"")</f>
        <v>2</v>
      </c>
      <c r="AK57" s="4">
        <f>IFERROR(VLOOKUP($C57,'HC &amp; Open Position'!$D:$J,MATCH(AK$3,'HC &amp; Open Position'!$D$3:$J$3,1),0),"")</f>
        <v>0</v>
      </c>
      <c r="AL57" s="4">
        <f>IFERROR(VLOOKUP($C57,'HC &amp; Open Position'!$D:$J,MATCH(AL$3,'HC &amp; Open Position'!$D$3:$J$3,1),0),"")</f>
        <v>0</v>
      </c>
      <c r="AM57" s="94">
        <f t="shared" si="68"/>
        <v>6</v>
      </c>
      <c r="AN57" s="35">
        <f t="shared" si="13"/>
        <v>-2.3201121794871802</v>
      </c>
      <c r="AP57" s="34">
        <f>IFERROR(VLOOKUP($C57,'HC &amp; Open Position'!$D$3:$P$53,9,0),"")</f>
        <v>0</v>
      </c>
      <c r="AQ57" s="4">
        <f>IFERROR(VLOOKUP($C57,'HC &amp; Open Position'!$D$3:$P$53,10,0),"")</f>
        <v>0</v>
      </c>
      <c r="AR57" s="4">
        <f>IFERROR(VLOOKUP($C57,'HC &amp; Open Position'!$D$3:$P$53,11,0),"")</f>
        <v>0</v>
      </c>
      <c r="AS57" s="4">
        <f>IFERROR(VLOOKUP($C57,'HC &amp; Open Position'!$D$3:$P$53,12,0),"")</f>
        <v>0</v>
      </c>
      <c r="AT57" s="94">
        <f t="shared" si="69"/>
        <v>0</v>
      </c>
      <c r="AU57" s="35">
        <f t="shared" si="70"/>
        <v>-2.3201121794871802</v>
      </c>
    </row>
    <row r="58" spans="1:47" outlineLevel="1" x14ac:dyDescent="0.25">
      <c r="B58" s="54"/>
      <c r="C58" s="10"/>
      <c r="D58" s="4"/>
      <c r="E58" s="106"/>
      <c r="F58" s="106"/>
      <c r="G58" s="10"/>
      <c r="H58" s="10"/>
      <c r="I58" s="10"/>
      <c r="J58" s="25" t="str">
        <f>IFERROR(VLOOKUP(C58,CPH!$A:$E,5,0),"")</f>
        <v/>
      </c>
      <c r="K58" s="62"/>
      <c r="L58" s="66"/>
      <c r="M58" s="73"/>
      <c r="N58" s="70"/>
      <c r="O58" s="96"/>
      <c r="Q58" s="62"/>
      <c r="R58" s="66"/>
      <c r="S58" s="73"/>
      <c r="T58" s="70"/>
      <c r="U58" s="96"/>
      <c r="W58" s="33" t="str">
        <f t="shared" si="3"/>
        <v/>
      </c>
      <c r="X58" s="75" t="str">
        <f t="shared" si="4"/>
        <v/>
      </c>
      <c r="Y58" s="76" t="str">
        <f t="shared" si="5"/>
        <v/>
      </c>
      <c r="Z58" s="77" t="str">
        <f t="shared" si="6"/>
        <v/>
      </c>
      <c r="AA58" s="100" t="str">
        <f t="shared" si="7"/>
        <v/>
      </c>
      <c r="AC58" s="30"/>
      <c r="AD58" s="10"/>
      <c r="AE58" s="10"/>
      <c r="AF58" s="10"/>
      <c r="AG58" s="96"/>
      <c r="AI58" s="30"/>
      <c r="AJ58" s="10"/>
      <c r="AK58" s="10"/>
      <c r="AL58" s="10"/>
      <c r="AM58" s="96"/>
      <c r="AN58" s="37"/>
      <c r="AP58" s="30"/>
      <c r="AQ58" s="10"/>
      <c r="AR58" s="10"/>
      <c r="AS58" s="10"/>
      <c r="AT58" s="96"/>
      <c r="AU58" s="37"/>
    </row>
    <row r="59" spans="1:47" outlineLevel="1" x14ac:dyDescent="0.25">
      <c r="B59" s="54"/>
      <c r="C59" s="10"/>
      <c r="D59" s="4"/>
      <c r="E59" s="106"/>
      <c r="F59" s="106"/>
      <c r="G59" s="10"/>
      <c r="H59" s="10"/>
      <c r="I59" s="10"/>
      <c r="J59" s="25" t="str">
        <f>IFERROR(VLOOKUP(C59,CPH!$A:$E,5,0),"")</f>
        <v/>
      </c>
      <c r="K59" s="62"/>
      <c r="L59" s="66"/>
      <c r="M59" s="73"/>
      <c r="N59" s="70"/>
      <c r="O59" s="96"/>
      <c r="Q59" s="62"/>
      <c r="R59" s="66"/>
      <c r="S59" s="73"/>
      <c r="T59" s="70"/>
      <c r="U59" s="96"/>
      <c r="W59" s="33" t="str">
        <f t="shared" si="3"/>
        <v/>
      </c>
      <c r="X59" s="75" t="str">
        <f t="shared" si="4"/>
        <v/>
      </c>
      <c r="Y59" s="76" t="str">
        <f t="shared" si="5"/>
        <v/>
      </c>
      <c r="Z59" s="77" t="str">
        <f t="shared" si="6"/>
        <v/>
      </c>
      <c r="AA59" s="100" t="str">
        <f t="shared" si="7"/>
        <v/>
      </c>
      <c r="AC59" s="30"/>
      <c r="AD59" s="10"/>
      <c r="AE59" s="10"/>
      <c r="AF59" s="10"/>
      <c r="AG59" s="96"/>
      <c r="AI59" s="30"/>
      <c r="AJ59" s="10"/>
      <c r="AK59" s="10"/>
      <c r="AL59" s="10"/>
      <c r="AM59" s="96"/>
      <c r="AN59" s="37"/>
      <c r="AP59" s="30"/>
      <c r="AQ59" s="10"/>
      <c r="AR59" s="10"/>
      <c r="AS59" s="10"/>
      <c r="AT59" s="96"/>
      <c r="AU59" s="37"/>
    </row>
    <row r="60" spans="1:47" outlineLevel="1" x14ac:dyDescent="0.25">
      <c r="B60" s="54"/>
      <c r="C60" s="10"/>
      <c r="D60" s="4"/>
      <c r="E60" s="106"/>
      <c r="F60" s="106"/>
      <c r="G60" s="10"/>
      <c r="H60" s="10"/>
      <c r="I60" s="10"/>
      <c r="J60" s="25" t="str">
        <f>IFERROR(VLOOKUP(C60,CPH!$A:$E,5,0),"")</f>
        <v/>
      </c>
      <c r="K60" s="62"/>
      <c r="L60" s="66"/>
      <c r="M60" s="73"/>
      <c r="N60" s="70"/>
      <c r="O60" s="96"/>
      <c r="Q60" s="62"/>
      <c r="R60" s="66"/>
      <c r="S60" s="73"/>
      <c r="T60" s="70"/>
      <c r="U60" s="96"/>
      <c r="W60" s="33" t="str">
        <f t="shared" si="3"/>
        <v/>
      </c>
      <c r="X60" s="75" t="str">
        <f t="shared" si="4"/>
        <v/>
      </c>
      <c r="Y60" s="76" t="str">
        <f t="shared" si="5"/>
        <v/>
      </c>
      <c r="Z60" s="77" t="str">
        <f t="shared" si="6"/>
        <v/>
      </c>
      <c r="AA60" s="100" t="str">
        <f t="shared" si="7"/>
        <v/>
      </c>
      <c r="AC60" s="30"/>
      <c r="AD60" s="10"/>
      <c r="AE60" s="10"/>
      <c r="AF60" s="10"/>
      <c r="AG60" s="96"/>
      <c r="AI60" s="30"/>
      <c r="AJ60" s="10"/>
      <c r="AK60" s="10"/>
      <c r="AL60" s="10"/>
      <c r="AM60" s="96"/>
      <c r="AN60" s="37"/>
      <c r="AP60" s="30"/>
      <c r="AQ60" s="10"/>
      <c r="AR60" s="10"/>
      <c r="AS60" s="10"/>
      <c r="AT60" s="96"/>
      <c r="AU60" s="37"/>
    </row>
    <row r="61" spans="1:47" outlineLevel="1" x14ac:dyDescent="0.25">
      <c r="B61" s="54"/>
      <c r="C61" s="10"/>
      <c r="D61" s="4"/>
      <c r="E61" s="106"/>
      <c r="F61" s="106"/>
      <c r="G61" s="10"/>
      <c r="H61" s="10"/>
      <c r="I61" s="10"/>
      <c r="J61" s="25" t="str">
        <f>IFERROR(VLOOKUP(C61,CPH!$A:$E,5,0),"")</f>
        <v/>
      </c>
      <c r="K61" s="62"/>
      <c r="L61" s="66"/>
      <c r="M61" s="73"/>
      <c r="N61" s="70"/>
      <c r="O61" s="96"/>
      <c r="Q61" s="62"/>
      <c r="R61" s="66"/>
      <c r="S61" s="73"/>
      <c r="T61" s="70"/>
      <c r="U61" s="96"/>
      <c r="W61" s="33" t="str">
        <f t="shared" si="3"/>
        <v/>
      </c>
      <c r="X61" s="75" t="str">
        <f t="shared" si="4"/>
        <v/>
      </c>
      <c r="Y61" s="76" t="str">
        <f t="shared" si="5"/>
        <v/>
      </c>
      <c r="Z61" s="77" t="str">
        <f t="shared" si="6"/>
        <v/>
      </c>
      <c r="AA61" s="100" t="str">
        <f t="shared" si="7"/>
        <v/>
      </c>
      <c r="AC61" s="30"/>
      <c r="AD61" s="10"/>
      <c r="AE61" s="10"/>
      <c r="AF61" s="10"/>
      <c r="AG61" s="96"/>
      <c r="AI61" s="30"/>
      <c r="AJ61" s="10"/>
      <c r="AK61" s="10"/>
      <c r="AL61" s="10"/>
      <c r="AM61" s="96"/>
      <c r="AN61" s="37"/>
      <c r="AP61" s="30"/>
      <c r="AQ61" s="10"/>
      <c r="AR61" s="10"/>
      <c r="AS61" s="10"/>
      <c r="AT61" s="96"/>
      <c r="AU61" s="37"/>
    </row>
    <row r="62" spans="1:47" outlineLevel="1" x14ac:dyDescent="0.25">
      <c r="B62" s="54"/>
      <c r="C62" s="10"/>
      <c r="D62" s="4"/>
      <c r="E62" s="106"/>
      <c r="F62" s="106"/>
      <c r="G62" s="10"/>
      <c r="H62" s="10"/>
      <c r="I62" s="10"/>
      <c r="J62" s="25" t="str">
        <f>IFERROR(VLOOKUP(C62,CPH!$A:$E,5,0),"")</f>
        <v/>
      </c>
      <c r="K62" s="62"/>
      <c r="L62" s="66"/>
      <c r="M62" s="73"/>
      <c r="N62" s="70"/>
      <c r="O62" s="96"/>
      <c r="Q62" s="62"/>
      <c r="R62" s="66"/>
      <c r="S62" s="73"/>
      <c r="T62" s="70"/>
      <c r="U62" s="96"/>
      <c r="W62" s="33" t="str">
        <f t="shared" si="3"/>
        <v/>
      </c>
      <c r="X62" s="75" t="str">
        <f t="shared" si="4"/>
        <v/>
      </c>
      <c r="Y62" s="76" t="str">
        <f t="shared" si="5"/>
        <v/>
      </c>
      <c r="Z62" s="77" t="str">
        <f t="shared" si="6"/>
        <v/>
      </c>
      <c r="AA62" s="100" t="str">
        <f t="shared" si="7"/>
        <v/>
      </c>
      <c r="AC62" s="30"/>
      <c r="AD62" s="10"/>
      <c r="AE62" s="10"/>
      <c r="AF62" s="10"/>
      <c r="AG62" s="96"/>
      <c r="AI62" s="30"/>
      <c r="AJ62" s="10"/>
      <c r="AK62" s="10"/>
      <c r="AL62" s="10"/>
      <c r="AM62" s="96"/>
      <c r="AN62" s="37"/>
      <c r="AP62" s="30"/>
      <c r="AQ62" s="10"/>
      <c r="AR62" s="10"/>
      <c r="AS62" s="10"/>
      <c r="AT62" s="96"/>
      <c r="AU62" s="37"/>
    </row>
    <row r="63" spans="1:47" ht="15.75" outlineLevel="1" thickBot="1" x14ac:dyDescent="0.3">
      <c r="B63" s="54"/>
      <c r="C63" s="10"/>
      <c r="D63" s="4"/>
      <c r="E63" s="106"/>
      <c r="F63" s="106"/>
      <c r="G63" s="10"/>
      <c r="H63" s="10"/>
      <c r="I63" s="10"/>
      <c r="J63" s="25" t="str">
        <f>IFERROR(VLOOKUP(C63,CPH!$A:$E,5,0),"")</f>
        <v/>
      </c>
      <c r="K63" s="63"/>
      <c r="L63" s="67"/>
      <c r="M63" s="74"/>
      <c r="N63" s="71"/>
      <c r="O63" s="97"/>
      <c r="Q63" s="63"/>
      <c r="R63" s="67"/>
      <c r="S63" s="74"/>
      <c r="T63" s="71"/>
      <c r="U63" s="97"/>
      <c r="W63" s="63"/>
      <c r="X63" s="67"/>
      <c r="Y63" s="74"/>
      <c r="Z63" s="71"/>
      <c r="AA63" s="97"/>
      <c r="AC63" s="31"/>
      <c r="AD63" s="32"/>
      <c r="AE63" s="32"/>
      <c r="AF63" s="32"/>
      <c r="AG63" s="97"/>
      <c r="AI63" s="31"/>
      <c r="AJ63" s="32"/>
      <c r="AK63" s="32"/>
      <c r="AL63" s="32"/>
      <c r="AM63" s="97"/>
      <c r="AN63" s="38"/>
      <c r="AP63" s="31"/>
      <c r="AQ63" s="32"/>
      <c r="AR63" s="32"/>
      <c r="AS63" s="32"/>
      <c r="AT63" s="97"/>
      <c r="AU63" s="38"/>
    </row>
    <row r="66" spans="2:47" ht="15.75" outlineLevel="1" thickBot="1" x14ac:dyDescent="0.3">
      <c r="B66" s="11" t="s">
        <v>200</v>
      </c>
    </row>
    <row r="67" spans="2:47" ht="15.75" outlineLevel="1" thickBot="1" x14ac:dyDescent="0.3">
      <c r="B67" s="10" t="s">
        <v>58</v>
      </c>
      <c r="C67" t="s">
        <v>201</v>
      </c>
      <c r="J67" s="40">
        <f>AVERAGEIFS(J$3:J$62,$I$3:$I$62,$B67)</f>
        <v>55818.181818181816</v>
      </c>
      <c r="K67" s="41">
        <f t="shared" ref="K67:O69" si="76">SUMIFS(K$3:K$62,$I$3:$I$62,$B67)</f>
        <v>338.375</v>
      </c>
      <c r="L67" s="42">
        <f t="shared" si="76"/>
        <v>363.65499999999997</v>
      </c>
      <c r="M67" s="42">
        <f t="shared" si="76"/>
        <v>313.09500000000003</v>
      </c>
      <c r="N67" s="42">
        <f t="shared" si="76"/>
        <v>338.375</v>
      </c>
      <c r="O67" s="43">
        <f t="shared" si="76"/>
        <v>1353.5</v>
      </c>
      <c r="Q67" s="41">
        <f t="shared" ref="Q67:U69" si="77">SUMIFS(Q$3:Q$62,$I$3:$I$62,$B67)</f>
        <v>110.84724279835392</v>
      </c>
      <c r="R67" s="42">
        <f t="shared" si="77"/>
        <v>110.75390946502058</v>
      </c>
      <c r="S67" s="42">
        <f t="shared" si="77"/>
        <v>110.60390946502058</v>
      </c>
      <c r="T67" s="42">
        <f t="shared" si="77"/>
        <v>110.60390946502058</v>
      </c>
      <c r="U67" s="43">
        <f t="shared" si="77"/>
        <v>111.09833333333333</v>
      </c>
      <c r="W67" s="45">
        <f>IFERROR((K67/Q67/0.835/3)*1.3,"")</f>
        <v>1.584196304590243</v>
      </c>
      <c r="X67" s="45">
        <f t="shared" ref="X67:Z67" si="78">IFERROR((L67/R67/0.835/3)*1.3,"")</f>
        <v>1.7039863839047524</v>
      </c>
      <c r="Y67" s="45">
        <f t="shared" si="78"/>
        <v>1.469065893996375</v>
      </c>
      <c r="Z67" s="45">
        <f t="shared" si="78"/>
        <v>1.5876816042447925</v>
      </c>
      <c r="AA67" s="46">
        <f>IFERROR((O67/U67/0.835/3/4)*1.3,"")</f>
        <v>1.5806159025653221</v>
      </c>
      <c r="AC67" s="41">
        <f t="shared" ref="AC67" si="79">IFERROR(O67/(AA67*3*4),"")</f>
        <v>71.359314102564085</v>
      </c>
      <c r="AD67" s="42">
        <f t="shared" ref="AD67:AE67" si="80">IFERROR(AC67/8,"")</f>
        <v>8.9199142628205106</v>
      </c>
      <c r="AE67" s="42">
        <f t="shared" si="80"/>
        <v>1.1149892828525638</v>
      </c>
      <c r="AF67" s="42">
        <f t="shared" ref="AF67:AF69" si="81">IFERROR(AE67/3,"")</f>
        <v>0.37166309428418792</v>
      </c>
      <c r="AG67" s="43">
        <f t="shared" ref="AG67" si="82">SUM(AC67:AF67)</f>
        <v>81.765880742521347</v>
      </c>
      <c r="AI67" s="41">
        <f t="shared" ref="AI67:AM69" si="83">SUMIFS(AI$3:AI$62,$I$3:$I$62,$B67)</f>
        <v>72</v>
      </c>
      <c r="AJ67" s="42">
        <f t="shared" si="83"/>
        <v>16</v>
      </c>
      <c r="AK67" s="42">
        <f t="shared" si="83"/>
        <v>3</v>
      </c>
      <c r="AL67" s="42">
        <f t="shared" si="83"/>
        <v>0</v>
      </c>
      <c r="AM67" s="43">
        <f t="shared" si="83"/>
        <v>91</v>
      </c>
      <c r="AN67" s="47">
        <f t="shared" ref="AN67:AN69" si="84">AG67-AM67</f>
        <v>-9.2341192574786533</v>
      </c>
      <c r="AP67" s="41">
        <f t="shared" ref="AP67:AT69" si="85">SUMIFS(AP$3:AP$62,$I$3:$I$62,$B67)</f>
        <v>0</v>
      </c>
      <c r="AQ67" s="42">
        <f t="shared" si="85"/>
        <v>0</v>
      </c>
      <c r="AR67" s="42">
        <f t="shared" si="85"/>
        <v>0</v>
      </c>
      <c r="AS67" s="42">
        <f t="shared" si="85"/>
        <v>0</v>
      </c>
      <c r="AT67" s="43">
        <f t="shared" si="85"/>
        <v>0</v>
      </c>
      <c r="AU67" s="47">
        <f t="shared" ref="AU67:AU69" si="86">AG67-(AM67+AT67)</f>
        <v>-9.2341192574786533</v>
      </c>
    </row>
    <row r="68" spans="2:47" ht="15.75" outlineLevel="1" thickBot="1" x14ac:dyDescent="0.3">
      <c r="B68" s="10" t="s">
        <v>44</v>
      </c>
      <c r="C68" t="s">
        <v>201</v>
      </c>
      <c r="J68" s="40">
        <f>AVERAGEIFS(J$3:J$62,$I$3:$I$62,$B68)</f>
        <v>47540.909090909088</v>
      </c>
      <c r="K68" s="28">
        <f t="shared" si="76"/>
        <v>942</v>
      </c>
      <c r="L68" s="9">
        <f t="shared" si="76"/>
        <v>1017.3600000000002</v>
      </c>
      <c r="M68" s="9">
        <f t="shared" si="76"/>
        <v>866.64</v>
      </c>
      <c r="N68" s="9">
        <f t="shared" si="76"/>
        <v>942</v>
      </c>
      <c r="O68" s="29">
        <f t="shared" si="76"/>
        <v>3768</v>
      </c>
      <c r="Q68" s="28">
        <f t="shared" si="77"/>
        <v>235.66666666666666</v>
      </c>
      <c r="R68" s="9">
        <f t="shared" si="77"/>
        <v>237</v>
      </c>
      <c r="S68" s="9">
        <f t="shared" si="77"/>
        <v>237</v>
      </c>
      <c r="T68" s="9">
        <f t="shared" si="77"/>
        <v>237</v>
      </c>
      <c r="U68" s="29">
        <f t="shared" si="77"/>
        <v>236.66666666666666</v>
      </c>
      <c r="W68" s="45">
        <f t="shared" ref="W68:W69" si="87">IFERROR((K68/Q68/0.835/3)*1.3,"")</f>
        <v>2.0743802352861462</v>
      </c>
      <c r="X68" s="45">
        <f t="shared" ref="X68:X69" si="88">IFERROR((L68/R68/0.835/3)*1.3,"")</f>
        <v>2.2277268248313509</v>
      </c>
      <c r="Y68" s="45">
        <f t="shared" ref="Y68:Y69" si="89">IFERROR((M68/S68/0.835/3)*1.3,"")</f>
        <v>1.8976932211526316</v>
      </c>
      <c r="Z68" s="45">
        <f t="shared" ref="Z68:Z69" si="90">IFERROR((N68/T68/0.835/3)*1.3,"")</f>
        <v>2.0627100229919906</v>
      </c>
      <c r="AA68" s="46">
        <f t="shared" ref="AA68:AA69" si="91">IFERROR((O68/U68/0.835/3/4)*1.3,"")</f>
        <v>2.0656152483764871</v>
      </c>
      <c r="AC68" s="28">
        <f t="shared" ref="AC68:AC69" si="92">IFERROR(O68/(AA68*3*4),"")</f>
        <v>152.01282051282044</v>
      </c>
      <c r="AD68" s="9">
        <f t="shared" ref="AD68:AE68" si="93">IFERROR(AC68/8,"")</f>
        <v>19.001602564102555</v>
      </c>
      <c r="AE68" s="9">
        <f t="shared" si="93"/>
        <v>2.3752003205128194</v>
      </c>
      <c r="AF68" s="9">
        <f t="shared" si="81"/>
        <v>0.79173344017093983</v>
      </c>
      <c r="AG68" s="29">
        <f t="shared" ref="AG68:AG69" si="94">SUM(AC68:AF68)</f>
        <v>174.18135683760673</v>
      </c>
      <c r="AI68" s="28">
        <f t="shared" si="83"/>
        <v>186</v>
      </c>
      <c r="AJ68" s="9">
        <f t="shared" si="83"/>
        <v>31</v>
      </c>
      <c r="AK68" s="9">
        <f t="shared" si="83"/>
        <v>5</v>
      </c>
      <c r="AL68" s="9">
        <f t="shared" si="83"/>
        <v>0</v>
      </c>
      <c r="AM68" s="29">
        <f t="shared" si="83"/>
        <v>222</v>
      </c>
      <c r="AN68" s="35">
        <f t="shared" si="84"/>
        <v>-47.818643162393272</v>
      </c>
      <c r="AP68" s="28">
        <f t="shared" si="85"/>
        <v>15</v>
      </c>
      <c r="AQ68" s="9">
        <f t="shared" si="85"/>
        <v>4</v>
      </c>
      <c r="AR68" s="9">
        <f t="shared" si="85"/>
        <v>1</v>
      </c>
      <c r="AS68" s="9">
        <f t="shared" si="85"/>
        <v>0</v>
      </c>
      <c r="AT68" s="29">
        <f t="shared" si="85"/>
        <v>20</v>
      </c>
      <c r="AU68" s="35">
        <f t="shared" si="86"/>
        <v>-67.818643162393272</v>
      </c>
    </row>
    <row r="69" spans="2:47" outlineLevel="1" x14ac:dyDescent="0.25">
      <c r="B69" s="10" t="s">
        <v>38</v>
      </c>
      <c r="C69" t="s">
        <v>202</v>
      </c>
      <c r="J69" s="40">
        <f>AVERAGEIFS(J$3:J$62,$I$3:$I$62,$B69)</f>
        <v>61510.375</v>
      </c>
      <c r="K69" s="28">
        <f t="shared" si="76"/>
        <v>1250.25</v>
      </c>
      <c r="L69" s="9">
        <f t="shared" si="76"/>
        <v>1350.2700000000002</v>
      </c>
      <c r="M69" s="9">
        <f t="shared" si="76"/>
        <v>1150.23</v>
      </c>
      <c r="N69" s="9">
        <f t="shared" si="76"/>
        <v>1250.25</v>
      </c>
      <c r="O69" s="29">
        <f t="shared" si="76"/>
        <v>5001</v>
      </c>
      <c r="Q69" s="28">
        <f t="shared" si="77"/>
        <v>212.53333333333333</v>
      </c>
      <c r="R69" s="9">
        <f t="shared" si="77"/>
        <v>213</v>
      </c>
      <c r="S69" s="9">
        <f t="shared" si="77"/>
        <v>215</v>
      </c>
      <c r="T69" s="9">
        <f t="shared" si="77"/>
        <v>215</v>
      </c>
      <c r="U69" s="29">
        <f t="shared" si="77"/>
        <v>213.88333333333333</v>
      </c>
      <c r="W69" s="45">
        <f t="shared" si="87"/>
        <v>3.0528497584504768</v>
      </c>
      <c r="X69" s="45">
        <f t="shared" si="88"/>
        <v>3.2898540946276467</v>
      </c>
      <c r="Y69" s="45">
        <f t="shared" si="89"/>
        <v>2.7763988302464839</v>
      </c>
      <c r="Z69" s="45">
        <f t="shared" si="90"/>
        <v>3.0178248154853087</v>
      </c>
      <c r="AA69" s="46">
        <f t="shared" si="91"/>
        <v>3.0335806218156693</v>
      </c>
      <c r="AC69" s="28">
        <f t="shared" si="92"/>
        <v>137.37891025641025</v>
      </c>
      <c r="AD69" s="9">
        <f t="shared" ref="AD69:AE69" si="95">IFERROR(AC69/8,"")</f>
        <v>17.172363782051281</v>
      </c>
      <c r="AE69" s="9">
        <f t="shared" si="95"/>
        <v>2.1465454727564102</v>
      </c>
      <c r="AF69" s="9">
        <f t="shared" si="81"/>
        <v>0.71551515758547002</v>
      </c>
      <c r="AG69" s="29">
        <f t="shared" si="94"/>
        <v>157.4133346688034</v>
      </c>
      <c r="AI69" s="28">
        <f t="shared" si="83"/>
        <v>128</v>
      </c>
      <c r="AJ69" s="9">
        <f t="shared" si="83"/>
        <v>47</v>
      </c>
      <c r="AK69" s="9">
        <f t="shared" si="83"/>
        <v>5</v>
      </c>
      <c r="AL69" s="9">
        <f t="shared" si="83"/>
        <v>0</v>
      </c>
      <c r="AM69" s="29">
        <f t="shared" si="83"/>
        <v>180</v>
      </c>
      <c r="AN69" s="35">
        <f t="shared" si="84"/>
        <v>-22.586665331196599</v>
      </c>
      <c r="AP69" s="28">
        <f t="shared" si="85"/>
        <v>1</v>
      </c>
      <c r="AQ69" s="9">
        <f t="shared" si="85"/>
        <v>1</v>
      </c>
      <c r="AR69" s="9">
        <f t="shared" si="85"/>
        <v>0</v>
      </c>
      <c r="AS69" s="9">
        <f t="shared" si="85"/>
        <v>0</v>
      </c>
      <c r="AT69" s="29">
        <f t="shared" si="85"/>
        <v>2</v>
      </c>
      <c r="AU69" s="35">
        <f t="shared" si="86"/>
        <v>-24.586665331196599</v>
      </c>
    </row>
    <row r="70" spans="2:47" s="18" customFormat="1" outlineLevel="1" x14ac:dyDescent="0.25">
      <c r="B70" s="18" t="s">
        <v>203</v>
      </c>
      <c r="J70" s="21"/>
      <c r="K70" s="19">
        <f>K2-SUM(K67:K69)</f>
        <v>0</v>
      </c>
      <c r="L70" s="19">
        <f>L2-SUM(L67:L69)</f>
        <v>0</v>
      </c>
      <c r="M70" s="19">
        <f>M2-SUM(M67:M69)</f>
        <v>0</v>
      </c>
      <c r="N70" s="19">
        <f>N2-SUM(N67:N69)</f>
        <v>0</v>
      </c>
      <c r="O70" s="21">
        <f>O2-SUM(O67:O69)</f>
        <v>0</v>
      </c>
      <c r="Q70" s="19">
        <f>Q2-SUM(Q67:Q69)</f>
        <v>30.000000000000114</v>
      </c>
      <c r="R70" s="19">
        <f>R2-SUM(R67:R69)</f>
        <v>30</v>
      </c>
      <c r="S70" s="19">
        <f>S2-SUM(S67:S69)</f>
        <v>30</v>
      </c>
      <c r="T70" s="19">
        <f>T2-SUM(T67:T69)</f>
        <v>30</v>
      </c>
      <c r="U70" s="21">
        <f>U2-SUM(U67:U69)</f>
        <v>30</v>
      </c>
      <c r="W70" s="20">
        <f>W2-AVERAGE(W67:W69)</f>
        <v>-7.6122624896544089E-3</v>
      </c>
      <c r="X70" s="20">
        <f>X2-AVERAGE(X67:X69)</f>
        <v>-7.8256595539425433E-3</v>
      </c>
      <c r="Y70" s="20">
        <f>Y2-AVERAGE(Y67:Y69)</f>
        <v>-7.2949207914736469E-3</v>
      </c>
      <c r="Z70" s="20">
        <f>Z2-AVERAGE(Z67:Z69)</f>
        <v>-6.5900811363093226E-3</v>
      </c>
      <c r="AA70" s="24">
        <f>AA2-AVERAGE(AA67:AA69)</f>
        <v>-6.8758709433263121E-3</v>
      </c>
      <c r="AC70" s="19">
        <f>AC2-SUM(AC67:AC69)</f>
        <v>2.9999999999999432</v>
      </c>
      <c r="AD70" s="19">
        <f>AD2-SUM(AD67:AD69)</f>
        <v>2.9999999999999929</v>
      </c>
      <c r="AE70" s="19">
        <f>AE2-SUM(AE67:AE69)</f>
        <v>0.37499999999999911</v>
      </c>
      <c r="AF70" s="19">
        <f>AF2-SUM(AF67:AF69)</f>
        <v>3</v>
      </c>
      <c r="AG70" s="21">
        <f>AG2-SUM(AG67:AG69)</f>
        <v>9.3750000000000568</v>
      </c>
      <c r="AI70" s="19">
        <f t="shared" ref="AI70:AN70" si="96">AI2-SUM(AI67:AI69)</f>
        <v>3</v>
      </c>
      <c r="AJ70" s="19">
        <f t="shared" si="96"/>
        <v>3</v>
      </c>
      <c r="AK70" s="19">
        <f t="shared" si="96"/>
        <v>1</v>
      </c>
      <c r="AL70" s="19">
        <f t="shared" si="96"/>
        <v>3</v>
      </c>
      <c r="AM70" s="21">
        <f t="shared" si="96"/>
        <v>10</v>
      </c>
      <c r="AN70" s="21">
        <f t="shared" si="96"/>
        <v>-0.62499999999991473</v>
      </c>
      <c r="AP70" s="19">
        <f t="shared" ref="AP70:AU70" si="97">AP2-SUM(AP67:AP69)</f>
        <v>0</v>
      </c>
      <c r="AQ70" s="19">
        <f t="shared" si="97"/>
        <v>0</v>
      </c>
      <c r="AR70" s="19">
        <f t="shared" si="97"/>
        <v>0</v>
      </c>
      <c r="AS70" s="19">
        <f t="shared" si="97"/>
        <v>0</v>
      </c>
      <c r="AT70" s="21">
        <f t="shared" si="97"/>
        <v>0</v>
      </c>
      <c r="AU70" s="21">
        <f t="shared" si="97"/>
        <v>-0.62499999999994316</v>
      </c>
    </row>
    <row r="71" spans="2:47" x14ac:dyDescent="0.25">
      <c r="K71" s="17"/>
      <c r="L71" s="17"/>
      <c r="M71" s="17"/>
      <c r="N71" s="17"/>
      <c r="O71" s="23"/>
      <c r="R71" t="s">
        <v>192</v>
      </c>
    </row>
    <row r="72" spans="2:47" ht="15.75" thickBot="1" x14ac:dyDescent="0.3">
      <c r="B72" s="113" t="s">
        <v>204</v>
      </c>
    </row>
    <row r="73" spans="2:47" ht="15.75" thickBot="1" x14ac:dyDescent="0.3">
      <c r="B73" s="13" t="s">
        <v>201</v>
      </c>
      <c r="C73" s="12" t="s">
        <v>117</v>
      </c>
      <c r="D73" s="12"/>
      <c r="E73" s="12"/>
      <c r="F73" s="12"/>
      <c r="J73" s="40">
        <f t="shared" ref="J73:J85" si="98">AVERAGEIFS(J$3:J$62,$H$3:$H$62,$B73)</f>
        <v>33000</v>
      </c>
      <c r="K73" s="41">
        <f t="shared" ref="K73:O85" si="99">SUMIFS(K$3:K$62,$H$3:$H$62,$B73)</f>
        <v>115.5</v>
      </c>
      <c r="L73" s="42">
        <f t="shared" si="99"/>
        <v>124.74000000000001</v>
      </c>
      <c r="M73" s="42">
        <f t="shared" si="99"/>
        <v>106.26</v>
      </c>
      <c r="N73" s="42">
        <f t="shared" si="99"/>
        <v>115.5</v>
      </c>
      <c r="O73" s="43">
        <f t="shared" si="99"/>
        <v>462</v>
      </c>
      <c r="Q73" s="41">
        <f t="shared" ref="Q73:U85" si="100">SUMIFS(Q$3:Q$62,$H$3:$H$62,$B73)</f>
        <v>32</v>
      </c>
      <c r="R73" s="42">
        <f t="shared" si="100"/>
        <v>32</v>
      </c>
      <c r="S73" s="42">
        <f t="shared" si="100"/>
        <v>32</v>
      </c>
      <c r="T73" s="42">
        <f t="shared" si="100"/>
        <v>32</v>
      </c>
      <c r="U73" s="43">
        <f t="shared" si="100"/>
        <v>32</v>
      </c>
      <c r="W73" s="45">
        <f>IFERROR((K73/Q73/0.835/3)*1.3,"")</f>
        <v>1.8731287425149703</v>
      </c>
      <c r="X73" s="45">
        <f t="shared" ref="X73" si="101">IFERROR((L73/R73/0.835/3)*1.3,"")</f>
        <v>2.0229790419161677</v>
      </c>
      <c r="Y73" s="45">
        <f t="shared" ref="Y73" si="102">IFERROR((M73/S73/0.835/3)*1.3,"")</f>
        <v>1.7232784431137727</v>
      </c>
      <c r="Z73" s="45">
        <f t="shared" ref="Z73" si="103">IFERROR((N73/T73/0.835/3)*1.3,"")</f>
        <v>1.8731287425149703</v>
      </c>
      <c r="AA73" s="46">
        <f>IFERROR((O73/U73/0.835/3/4)*1.3,"")</f>
        <v>1.8731287425149703</v>
      </c>
      <c r="AC73" s="41">
        <f t="shared" ref="AC73" si="104">IFERROR(O73/(AA73*3*4),"")</f>
        <v>20.553846153846148</v>
      </c>
      <c r="AD73" s="42">
        <f t="shared" ref="AD73:AE73" si="105">IFERROR(AC73/8,"")</f>
        <v>2.5692307692307685</v>
      </c>
      <c r="AE73" s="42">
        <f t="shared" si="105"/>
        <v>0.32115384615384607</v>
      </c>
      <c r="AF73" s="42">
        <f t="shared" ref="AF73:AF86" si="106">IFERROR(AE73/3,"")</f>
        <v>0.10705128205128202</v>
      </c>
      <c r="AG73" s="43">
        <f t="shared" ref="AG73" si="107">SUM(AC73:AF73)</f>
        <v>23.55128205128204</v>
      </c>
      <c r="AI73" s="41">
        <f t="shared" ref="AI73:AM85" si="108">SUMIFS(AI$3:AI$62,$H$3:$H$62,$B73)</f>
        <v>33</v>
      </c>
      <c r="AJ73" s="42">
        <f t="shared" si="108"/>
        <v>5</v>
      </c>
      <c r="AK73" s="42">
        <f t="shared" si="108"/>
        <v>1</v>
      </c>
      <c r="AL73" s="42">
        <f t="shared" si="108"/>
        <v>0</v>
      </c>
      <c r="AM73" s="51">
        <f t="shared" si="108"/>
        <v>39</v>
      </c>
      <c r="AN73" s="47">
        <f t="shared" ref="AN73:AN86" si="109">AG73-AM73</f>
        <v>-15.44871794871796</v>
      </c>
      <c r="AP73" s="41">
        <f t="shared" ref="AP73:AT85" si="110">SUMIFS(AP$3:AP$62,$H$3:$H$62,$B73)</f>
        <v>3</v>
      </c>
      <c r="AQ73" s="42">
        <f t="shared" si="110"/>
        <v>0</v>
      </c>
      <c r="AR73" s="42">
        <f t="shared" si="110"/>
        <v>0</v>
      </c>
      <c r="AS73" s="42">
        <f t="shared" si="110"/>
        <v>0</v>
      </c>
      <c r="AT73" s="51">
        <f t="shared" si="110"/>
        <v>3</v>
      </c>
      <c r="AU73" s="47">
        <f t="shared" ref="AU73:AU85" si="111">AG73-(AM73+AT73)</f>
        <v>-18.44871794871796</v>
      </c>
    </row>
    <row r="74" spans="2:47" ht="15.75" thickBot="1" x14ac:dyDescent="0.3">
      <c r="B74" s="13" t="s">
        <v>205</v>
      </c>
      <c r="J74" s="40">
        <f t="shared" si="98"/>
        <v>43500</v>
      </c>
      <c r="K74" s="28">
        <f t="shared" si="99"/>
        <v>456.75</v>
      </c>
      <c r="L74" s="9">
        <f t="shared" si="99"/>
        <v>493.29</v>
      </c>
      <c r="M74" s="9">
        <f t="shared" si="99"/>
        <v>420.21000000000004</v>
      </c>
      <c r="N74" s="9">
        <f t="shared" si="99"/>
        <v>456.75</v>
      </c>
      <c r="O74" s="29">
        <f t="shared" si="99"/>
        <v>1827</v>
      </c>
      <c r="Q74" s="28">
        <f t="shared" si="100"/>
        <v>72</v>
      </c>
      <c r="R74" s="9">
        <f t="shared" si="100"/>
        <v>72</v>
      </c>
      <c r="S74" s="9">
        <f t="shared" si="100"/>
        <v>72</v>
      </c>
      <c r="T74" s="9">
        <f t="shared" si="100"/>
        <v>72</v>
      </c>
      <c r="U74" s="29">
        <f t="shared" si="100"/>
        <v>72</v>
      </c>
      <c r="W74" s="45">
        <f t="shared" ref="W74:W86" si="112">IFERROR((K74/Q74/0.835/3)*1.3,"")</f>
        <v>3.2921656686626752</v>
      </c>
      <c r="X74" s="45">
        <f t="shared" ref="X74:X86" si="113">IFERROR((L74/R74/0.835/3)*1.3,"")</f>
        <v>3.555538922155689</v>
      </c>
      <c r="Y74" s="45">
        <f t="shared" ref="Y74:Y86" si="114">IFERROR((M74/S74/0.835/3)*1.3,"")</f>
        <v>3.028792415169661</v>
      </c>
      <c r="Z74" s="45">
        <f t="shared" ref="Z74:Z86" si="115">IFERROR((N74/T74/0.835/3)*1.3,"")</f>
        <v>3.2921656686626752</v>
      </c>
      <c r="AA74" s="46">
        <f t="shared" ref="AA74:AA86" si="116">IFERROR((O74/U74/0.835/3/4)*1.3,"")</f>
        <v>3.2921656686626752</v>
      </c>
      <c r="AC74" s="28">
        <f t="shared" ref="AC74:AC85" si="117">IFERROR(O74/(AA74*3*4),"")</f>
        <v>46.246153846153845</v>
      </c>
      <c r="AD74" s="9">
        <f t="shared" ref="AD74:AE74" si="118">IFERROR(AC74/8,"")</f>
        <v>5.7807692307692307</v>
      </c>
      <c r="AE74" s="9">
        <f t="shared" si="118"/>
        <v>0.72259615384615383</v>
      </c>
      <c r="AF74" s="9">
        <f t="shared" si="106"/>
        <v>0.24086538461538462</v>
      </c>
      <c r="AG74" s="29">
        <f t="shared" ref="AG74:AG86" si="119">SUM(AC74:AF74)</f>
        <v>52.990384615384613</v>
      </c>
      <c r="AI74" s="28">
        <f t="shared" si="108"/>
        <v>37</v>
      </c>
      <c r="AJ74" s="9">
        <f t="shared" si="108"/>
        <v>22</v>
      </c>
      <c r="AK74" s="9">
        <f t="shared" si="108"/>
        <v>1</v>
      </c>
      <c r="AL74" s="9">
        <f t="shared" si="108"/>
        <v>0</v>
      </c>
      <c r="AM74" s="40">
        <f t="shared" si="108"/>
        <v>60</v>
      </c>
      <c r="AN74" s="35">
        <f t="shared" si="109"/>
        <v>-7.0096153846153868</v>
      </c>
      <c r="AP74" s="28">
        <f t="shared" si="110"/>
        <v>0</v>
      </c>
      <c r="AQ74" s="9">
        <f t="shared" si="110"/>
        <v>0</v>
      </c>
      <c r="AR74" s="9">
        <f t="shared" si="110"/>
        <v>0</v>
      </c>
      <c r="AS74" s="9">
        <f t="shared" si="110"/>
        <v>0</v>
      </c>
      <c r="AT74" s="40">
        <f t="shared" si="110"/>
        <v>0</v>
      </c>
      <c r="AU74" s="35">
        <f t="shared" si="111"/>
        <v>-7.0096153846153868</v>
      </c>
    </row>
    <row r="75" spans="2:47" ht="15.75" thickBot="1" x14ac:dyDescent="0.3">
      <c r="B75" s="13" t="s">
        <v>206</v>
      </c>
      <c r="J75" s="40">
        <f t="shared" si="98"/>
        <v>43511.111111111109</v>
      </c>
      <c r="K75" s="28">
        <f t="shared" si="99"/>
        <v>328.75</v>
      </c>
      <c r="L75" s="9">
        <f t="shared" si="99"/>
        <v>355.04999999999995</v>
      </c>
      <c r="M75" s="9">
        <f t="shared" si="99"/>
        <v>302.45000000000005</v>
      </c>
      <c r="N75" s="9">
        <f t="shared" si="99"/>
        <v>328.75</v>
      </c>
      <c r="O75" s="29">
        <f t="shared" si="99"/>
        <v>1315</v>
      </c>
      <c r="Q75" s="28">
        <f t="shared" si="100"/>
        <v>85.666666666666657</v>
      </c>
      <c r="R75" s="9">
        <f t="shared" si="100"/>
        <v>87</v>
      </c>
      <c r="S75" s="9">
        <f t="shared" si="100"/>
        <v>87</v>
      </c>
      <c r="T75" s="9">
        <f t="shared" si="100"/>
        <v>87</v>
      </c>
      <c r="U75" s="29">
        <f t="shared" si="100"/>
        <v>86.666666666666657</v>
      </c>
      <c r="W75" s="45">
        <f t="shared" si="112"/>
        <v>1.9915422074139666</v>
      </c>
      <c r="X75" s="45">
        <f t="shared" si="113"/>
        <v>2.1179021267809213</v>
      </c>
      <c r="Y75" s="45">
        <f t="shared" si="114"/>
        <v>1.8041388487393033</v>
      </c>
      <c r="Z75" s="45">
        <f t="shared" si="115"/>
        <v>1.9610204877601123</v>
      </c>
      <c r="AA75" s="46">
        <f t="shared" si="116"/>
        <v>1.9685628742514973</v>
      </c>
      <c r="AC75" s="28">
        <f t="shared" si="117"/>
        <v>55.666666666666657</v>
      </c>
      <c r="AD75" s="9">
        <f t="shared" ref="AD75:AE75" si="120">IFERROR(AC75/8,"")</f>
        <v>6.9583333333333321</v>
      </c>
      <c r="AE75" s="9">
        <f t="shared" si="120"/>
        <v>0.86979166666666652</v>
      </c>
      <c r="AF75" s="9">
        <f t="shared" si="106"/>
        <v>0.28993055555555552</v>
      </c>
      <c r="AG75" s="29">
        <f t="shared" si="119"/>
        <v>63.784722222222207</v>
      </c>
      <c r="AI75" s="28">
        <f t="shared" si="108"/>
        <v>47</v>
      </c>
      <c r="AJ75" s="9">
        <f t="shared" si="108"/>
        <v>5</v>
      </c>
      <c r="AK75" s="9">
        <f t="shared" si="108"/>
        <v>1</v>
      </c>
      <c r="AL75" s="9">
        <f t="shared" si="108"/>
        <v>0</v>
      </c>
      <c r="AM75" s="40">
        <f t="shared" si="108"/>
        <v>53</v>
      </c>
      <c r="AN75" s="35">
        <f t="shared" si="109"/>
        <v>10.784722222222207</v>
      </c>
      <c r="AP75" s="28">
        <f t="shared" si="110"/>
        <v>3</v>
      </c>
      <c r="AQ75" s="9">
        <f t="shared" si="110"/>
        <v>0</v>
      </c>
      <c r="AR75" s="9">
        <f t="shared" si="110"/>
        <v>0</v>
      </c>
      <c r="AS75" s="9">
        <f t="shared" si="110"/>
        <v>0</v>
      </c>
      <c r="AT75" s="40">
        <f t="shared" si="110"/>
        <v>3</v>
      </c>
      <c r="AU75" s="35">
        <f t="shared" si="111"/>
        <v>7.7847222222222072</v>
      </c>
    </row>
    <row r="76" spans="2:47" ht="15.75" thickBot="1" x14ac:dyDescent="0.3">
      <c r="B76" s="13" t="s">
        <v>207</v>
      </c>
      <c r="J76" s="40">
        <f t="shared" si="98"/>
        <v>71833.25</v>
      </c>
      <c r="K76" s="28">
        <f t="shared" si="99"/>
        <v>198.5</v>
      </c>
      <c r="L76" s="9">
        <f t="shared" si="99"/>
        <v>214.38</v>
      </c>
      <c r="M76" s="9">
        <f t="shared" si="99"/>
        <v>182.62</v>
      </c>
      <c r="N76" s="9">
        <f t="shared" si="99"/>
        <v>198.5</v>
      </c>
      <c r="O76" s="29">
        <f t="shared" si="99"/>
        <v>794</v>
      </c>
      <c r="Q76" s="28">
        <f t="shared" si="100"/>
        <v>40.033333333333331</v>
      </c>
      <c r="R76" s="9">
        <f t="shared" si="100"/>
        <v>40</v>
      </c>
      <c r="S76" s="9">
        <f t="shared" si="100"/>
        <v>42</v>
      </c>
      <c r="T76" s="9">
        <f t="shared" si="100"/>
        <v>42</v>
      </c>
      <c r="U76" s="29">
        <f t="shared" si="100"/>
        <v>41.008333333333333</v>
      </c>
      <c r="W76" s="45">
        <f t="shared" si="112"/>
        <v>2.5732049639272665</v>
      </c>
      <c r="X76" s="45">
        <f t="shared" si="113"/>
        <v>2.781377245508982</v>
      </c>
      <c r="Y76" s="45">
        <f t="shared" si="114"/>
        <v>2.256496530748028</v>
      </c>
      <c r="Z76" s="45">
        <f t="shared" si="115"/>
        <v>2.4527136203782911</v>
      </c>
      <c r="AA76" s="46">
        <f t="shared" si="116"/>
        <v>2.5120253295481785</v>
      </c>
      <c r="AC76" s="28">
        <f t="shared" si="117"/>
        <v>26.339967948717948</v>
      </c>
      <c r="AD76" s="9">
        <f t="shared" ref="AD76:AE76" si="121">IFERROR(AC76/8,"")</f>
        <v>3.2924959935897435</v>
      </c>
      <c r="AE76" s="9">
        <f t="shared" si="121"/>
        <v>0.41156199919871794</v>
      </c>
      <c r="AF76" s="9">
        <f t="shared" si="106"/>
        <v>0.13718733306623931</v>
      </c>
      <c r="AG76" s="29">
        <f t="shared" si="119"/>
        <v>30.181213274572649</v>
      </c>
      <c r="AI76" s="28">
        <f t="shared" si="108"/>
        <v>30</v>
      </c>
      <c r="AJ76" s="9">
        <f t="shared" si="108"/>
        <v>7</v>
      </c>
      <c r="AK76" s="9">
        <f t="shared" si="108"/>
        <v>1</v>
      </c>
      <c r="AL76" s="9">
        <f t="shared" si="108"/>
        <v>0</v>
      </c>
      <c r="AM76" s="40">
        <f t="shared" si="108"/>
        <v>38</v>
      </c>
      <c r="AN76" s="35">
        <f t="shared" si="109"/>
        <v>-7.8187867254273513</v>
      </c>
      <c r="AP76" s="28">
        <f t="shared" si="110"/>
        <v>1</v>
      </c>
      <c r="AQ76" s="9">
        <f t="shared" si="110"/>
        <v>1</v>
      </c>
      <c r="AR76" s="9">
        <f t="shared" si="110"/>
        <v>0</v>
      </c>
      <c r="AS76" s="9">
        <f t="shared" si="110"/>
        <v>0</v>
      </c>
      <c r="AT76" s="40">
        <f t="shared" si="110"/>
        <v>2</v>
      </c>
      <c r="AU76" s="35">
        <f t="shared" si="111"/>
        <v>-9.8187867254273513</v>
      </c>
    </row>
    <row r="77" spans="2:47" ht="15.75" thickBot="1" x14ac:dyDescent="0.3">
      <c r="B77" s="13" t="s">
        <v>208</v>
      </c>
      <c r="J77" s="40">
        <f t="shared" si="98"/>
        <v>32000</v>
      </c>
      <c r="K77" s="28">
        <f t="shared" si="99"/>
        <v>68.75</v>
      </c>
      <c r="L77" s="9">
        <f t="shared" si="99"/>
        <v>74.25</v>
      </c>
      <c r="M77" s="9">
        <f t="shared" si="99"/>
        <v>63.25</v>
      </c>
      <c r="N77" s="9">
        <f t="shared" si="99"/>
        <v>68.75</v>
      </c>
      <c r="O77" s="29">
        <f t="shared" si="99"/>
        <v>275</v>
      </c>
      <c r="Q77" s="28">
        <f t="shared" si="100"/>
        <v>14</v>
      </c>
      <c r="R77" s="9">
        <f t="shared" si="100"/>
        <v>14</v>
      </c>
      <c r="S77" s="9">
        <f t="shared" si="100"/>
        <v>14</v>
      </c>
      <c r="T77" s="9">
        <f t="shared" si="100"/>
        <v>14</v>
      </c>
      <c r="U77" s="29">
        <f t="shared" si="100"/>
        <v>14</v>
      </c>
      <c r="W77" s="45">
        <f t="shared" si="112"/>
        <v>2.5484744796122043</v>
      </c>
      <c r="X77" s="45">
        <f t="shared" si="113"/>
        <v>2.7523524379811812</v>
      </c>
      <c r="Y77" s="45">
        <f t="shared" si="114"/>
        <v>2.3445965212432278</v>
      </c>
      <c r="Z77" s="45">
        <f t="shared" si="115"/>
        <v>2.5484744796122043</v>
      </c>
      <c r="AA77" s="46">
        <f t="shared" si="116"/>
        <v>2.5484744796122043</v>
      </c>
      <c r="AC77" s="28">
        <f t="shared" si="117"/>
        <v>8.9923076923076923</v>
      </c>
      <c r="AD77" s="9">
        <f t="shared" ref="AD77:AE77" si="122">IFERROR(AC77/8,"")</f>
        <v>1.1240384615384615</v>
      </c>
      <c r="AE77" s="9">
        <f t="shared" si="122"/>
        <v>0.14050480769230769</v>
      </c>
      <c r="AF77" s="9">
        <f t="shared" si="106"/>
        <v>4.6834935897435898E-2</v>
      </c>
      <c r="AG77" s="29">
        <f t="shared" si="119"/>
        <v>10.303685897435898</v>
      </c>
      <c r="AI77" s="28">
        <f t="shared" si="108"/>
        <v>12</v>
      </c>
      <c r="AJ77" s="9">
        <f t="shared" si="108"/>
        <v>2</v>
      </c>
      <c r="AK77" s="9">
        <f t="shared" si="108"/>
        <v>0</v>
      </c>
      <c r="AL77" s="9">
        <f t="shared" si="108"/>
        <v>0</v>
      </c>
      <c r="AM77" s="40">
        <f t="shared" si="108"/>
        <v>14</v>
      </c>
      <c r="AN77" s="35">
        <f t="shared" si="109"/>
        <v>-3.6963141025641022</v>
      </c>
      <c r="AP77" s="28">
        <f t="shared" si="110"/>
        <v>0</v>
      </c>
      <c r="AQ77" s="9">
        <f t="shared" si="110"/>
        <v>0</v>
      </c>
      <c r="AR77" s="9">
        <f t="shared" si="110"/>
        <v>0</v>
      </c>
      <c r="AS77" s="9">
        <f t="shared" si="110"/>
        <v>0</v>
      </c>
      <c r="AT77" s="40">
        <f t="shared" si="110"/>
        <v>0</v>
      </c>
      <c r="AU77" s="35">
        <f t="shared" si="111"/>
        <v>-3.6963141025641022</v>
      </c>
    </row>
    <row r="78" spans="2:47" ht="15.75" thickBot="1" x14ac:dyDescent="0.3">
      <c r="B78" s="13" t="s">
        <v>209</v>
      </c>
      <c r="J78" s="40">
        <f t="shared" si="98"/>
        <v>54000</v>
      </c>
      <c r="K78" s="28">
        <f t="shared" si="99"/>
        <v>428.5</v>
      </c>
      <c r="L78" s="9">
        <f t="shared" si="99"/>
        <v>462.78000000000003</v>
      </c>
      <c r="M78" s="9">
        <f t="shared" si="99"/>
        <v>394.22</v>
      </c>
      <c r="N78" s="9">
        <f t="shared" si="99"/>
        <v>428.5</v>
      </c>
      <c r="O78" s="29">
        <f t="shared" si="99"/>
        <v>1714</v>
      </c>
      <c r="Q78" s="28">
        <f t="shared" si="100"/>
        <v>70</v>
      </c>
      <c r="R78" s="9">
        <f t="shared" si="100"/>
        <v>70</v>
      </c>
      <c r="S78" s="9">
        <f t="shared" si="100"/>
        <v>70</v>
      </c>
      <c r="T78" s="9">
        <f t="shared" si="100"/>
        <v>70</v>
      </c>
      <c r="U78" s="29">
        <f t="shared" si="100"/>
        <v>70</v>
      </c>
      <c r="W78" s="45">
        <f t="shared" si="112"/>
        <v>3.1767892785856859</v>
      </c>
      <c r="X78" s="45">
        <f t="shared" si="113"/>
        <v>3.4309324208725407</v>
      </c>
      <c r="Y78" s="45">
        <f t="shared" si="114"/>
        <v>2.9226461362988312</v>
      </c>
      <c r="Z78" s="45">
        <f t="shared" si="115"/>
        <v>3.1767892785856859</v>
      </c>
      <c r="AA78" s="46">
        <f t="shared" si="116"/>
        <v>3.1767892785856859</v>
      </c>
      <c r="AC78" s="28">
        <f t="shared" si="117"/>
        <v>44.96153846153846</v>
      </c>
      <c r="AD78" s="9">
        <f t="shared" ref="AD78:AE78" si="123">IFERROR(AC78/8,"")</f>
        <v>5.6201923076923075</v>
      </c>
      <c r="AE78" s="9">
        <f t="shared" si="123"/>
        <v>0.70252403846153844</v>
      </c>
      <c r="AF78" s="9">
        <f t="shared" si="106"/>
        <v>0.23417467948717949</v>
      </c>
      <c r="AG78" s="29">
        <f t="shared" si="119"/>
        <v>51.518429487179489</v>
      </c>
      <c r="AI78" s="28">
        <f t="shared" si="108"/>
        <v>33</v>
      </c>
      <c r="AJ78" s="9">
        <f t="shared" si="108"/>
        <v>13</v>
      </c>
      <c r="AK78" s="9">
        <f t="shared" si="108"/>
        <v>2</v>
      </c>
      <c r="AL78" s="9">
        <f t="shared" si="108"/>
        <v>0</v>
      </c>
      <c r="AM78" s="40">
        <f t="shared" si="108"/>
        <v>48</v>
      </c>
      <c r="AN78" s="35">
        <f t="shared" si="109"/>
        <v>3.518429487179489</v>
      </c>
      <c r="AP78" s="28">
        <f t="shared" si="110"/>
        <v>0</v>
      </c>
      <c r="AQ78" s="9">
        <f t="shared" si="110"/>
        <v>0</v>
      </c>
      <c r="AR78" s="9">
        <f t="shared" si="110"/>
        <v>0</v>
      </c>
      <c r="AS78" s="9">
        <f t="shared" si="110"/>
        <v>0</v>
      </c>
      <c r="AT78" s="40">
        <f t="shared" si="110"/>
        <v>0</v>
      </c>
      <c r="AU78" s="35">
        <f t="shared" si="111"/>
        <v>3.518429487179489</v>
      </c>
    </row>
    <row r="79" spans="2:47" ht="15.75" thickBot="1" x14ac:dyDescent="0.3">
      <c r="B79" s="13" t="s">
        <v>210</v>
      </c>
      <c r="J79" s="40">
        <f t="shared" si="98"/>
        <v>65000</v>
      </c>
      <c r="K79" s="28">
        <f t="shared" si="99"/>
        <v>275</v>
      </c>
      <c r="L79" s="9">
        <f t="shared" si="99"/>
        <v>297</v>
      </c>
      <c r="M79" s="9">
        <f t="shared" si="99"/>
        <v>253</v>
      </c>
      <c r="N79" s="9">
        <f t="shared" si="99"/>
        <v>275</v>
      </c>
      <c r="O79" s="29">
        <f t="shared" si="99"/>
        <v>1100</v>
      </c>
      <c r="Q79" s="28">
        <f t="shared" si="100"/>
        <v>63</v>
      </c>
      <c r="R79" s="9">
        <f t="shared" si="100"/>
        <v>63</v>
      </c>
      <c r="S79" s="9">
        <f t="shared" si="100"/>
        <v>63</v>
      </c>
      <c r="T79" s="9">
        <f t="shared" si="100"/>
        <v>63</v>
      </c>
      <c r="U79" s="29">
        <f t="shared" si="100"/>
        <v>63</v>
      </c>
      <c r="W79" s="45">
        <f t="shared" si="112"/>
        <v>2.2653106485441814</v>
      </c>
      <c r="X79" s="45">
        <f t="shared" si="113"/>
        <v>2.4465355004277161</v>
      </c>
      <c r="Y79" s="45">
        <f t="shared" si="114"/>
        <v>2.0840857966606472</v>
      </c>
      <c r="Z79" s="45">
        <f t="shared" si="115"/>
        <v>2.2653106485441814</v>
      </c>
      <c r="AA79" s="46">
        <f t="shared" si="116"/>
        <v>2.2653106485441814</v>
      </c>
      <c r="AC79" s="28">
        <f t="shared" si="117"/>
        <v>40.465384615384615</v>
      </c>
      <c r="AD79" s="9">
        <f t="shared" ref="AD79:AE79" si="124">IFERROR(AC79/8,"")</f>
        <v>5.0581730769230768</v>
      </c>
      <c r="AE79" s="9">
        <f t="shared" si="124"/>
        <v>0.6322716346153846</v>
      </c>
      <c r="AF79" s="9">
        <f t="shared" si="106"/>
        <v>0.21075721153846153</v>
      </c>
      <c r="AG79" s="29">
        <f t="shared" si="119"/>
        <v>46.36658653846154</v>
      </c>
      <c r="AI79" s="28">
        <f t="shared" si="108"/>
        <v>65</v>
      </c>
      <c r="AJ79" s="9">
        <f t="shared" si="108"/>
        <v>16</v>
      </c>
      <c r="AK79" s="9">
        <f t="shared" si="108"/>
        <v>1</v>
      </c>
      <c r="AL79" s="9">
        <f t="shared" si="108"/>
        <v>0</v>
      </c>
      <c r="AM79" s="40">
        <f t="shared" si="108"/>
        <v>82</v>
      </c>
      <c r="AN79" s="35">
        <f t="shared" si="109"/>
        <v>-35.63341346153846</v>
      </c>
      <c r="AP79" s="28">
        <f t="shared" si="110"/>
        <v>4</v>
      </c>
      <c r="AQ79" s="9">
        <f t="shared" si="110"/>
        <v>1</v>
      </c>
      <c r="AR79" s="9">
        <f t="shared" si="110"/>
        <v>1</v>
      </c>
      <c r="AS79" s="9">
        <f t="shared" si="110"/>
        <v>0</v>
      </c>
      <c r="AT79" s="40">
        <f t="shared" si="110"/>
        <v>6</v>
      </c>
      <c r="AU79" s="35">
        <f t="shared" si="111"/>
        <v>-41.63341346153846</v>
      </c>
    </row>
    <row r="80" spans="2:47" ht="15.75" thickBot="1" x14ac:dyDescent="0.3">
      <c r="B80" s="13" t="s">
        <v>211</v>
      </c>
      <c r="J80" s="40">
        <f t="shared" si="98"/>
        <v>83000</v>
      </c>
      <c r="K80" s="28">
        <f t="shared" si="99"/>
        <v>49.75</v>
      </c>
      <c r="L80" s="9">
        <f t="shared" si="99"/>
        <v>53.730000000000004</v>
      </c>
      <c r="M80" s="9">
        <f t="shared" si="99"/>
        <v>45.77</v>
      </c>
      <c r="N80" s="9">
        <f t="shared" si="99"/>
        <v>49.75</v>
      </c>
      <c r="O80" s="29">
        <f t="shared" si="99"/>
        <v>199</v>
      </c>
      <c r="Q80" s="28">
        <f t="shared" si="100"/>
        <v>15</v>
      </c>
      <c r="R80" s="9">
        <f t="shared" si="100"/>
        <v>15</v>
      </c>
      <c r="S80" s="9">
        <f t="shared" si="100"/>
        <v>15</v>
      </c>
      <c r="T80" s="9">
        <f t="shared" si="100"/>
        <v>15</v>
      </c>
      <c r="U80" s="29">
        <f t="shared" si="100"/>
        <v>15</v>
      </c>
      <c r="W80" s="45">
        <f t="shared" si="112"/>
        <v>1.7212242182302064</v>
      </c>
      <c r="X80" s="45">
        <f t="shared" si="113"/>
        <v>1.8589221556886228</v>
      </c>
      <c r="Y80" s="45">
        <f t="shared" si="114"/>
        <v>1.5835262807717898</v>
      </c>
      <c r="Z80" s="45">
        <f t="shared" si="115"/>
        <v>1.7212242182302064</v>
      </c>
      <c r="AA80" s="46">
        <f t="shared" si="116"/>
        <v>1.7212242182302064</v>
      </c>
      <c r="AC80" s="28">
        <f t="shared" si="117"/>
        <v>9.6346153846153832</v>
      </c>
      <c r="AD80" s="9">
        <f t="shared" ref="AD80:AE80" si="125">IFERROR(AC80/8,"")</f>
        <v>1.2043269230769229</v>
      </c>
      <c r="AE80" s="9">
        <f t="shared" si="125"/>
        <v>0.15054086538461536</v>
      </c>
      <c r="AF80" s="9">
        <f t="shared" si="106"/>
        <v>5.0180288461538457E-2</v>
      </c>
      <c r="AG80" s="29">
        <f t="shared" si="119"/>
        <v>11.03966346153846</v>
      </c>
      <c r="AI80" s="28">
        <f t="shared" si="108"/>
        <v>11</v>
      </c>
      <c r="AJ80" s="9">
        <f t="shared" si="108"/>
        <v>4</v>
      </c>
      <c r="AK80" s="9">
        <f t="shared" si="108"/>
        <v>1</v>
      </c>
      <c r="AL80" s="9">
        <f t="shared" si="108"/>
        <v>0</v>
      </c>
      <c r="AM80" s="40">
        <f t="shared" si="108"/>
        <v>16</v>
      </c>
      <c r="AN80" s="35">
        <f t="shared" si="109"/>
        <v>-4.9603365384615401</v>
      </c>
      <c r="AP80" s="28">
        <f t="shared" si="110"/>
        <v>0</v>
      </c>
      <c r="AQ80" s="9">
        <f t="shared" si="110"/>
        <v>0</v>
      </c>
      <c r="AR80" s="9">
        <f t="shared" si="110"/>
        <v>0</v>
      </c>
      <c r="AS80" s="9">
        <f t="shared" si="110"/>
        <v>0</v>
      </c>
      <c r="AT80" s="40">
        <f t="shared" si="110"/>
        <v>0</v>
      </c>
      <c r="AU80" s="35">
        <f t="shared" si="111"/>
        <v>-4.9603365384615401</v>
      </c>
    </row>
    <row r="81" spans="2:47" ht="15.75" thickBot="1" x14ac:dyDescent="0.3">
      <c r="B81" s="13" t="s">
        <v>212</v>
      </c>
      <c r="J81" s="40">
        <f t="shared" si="98"/>
        <v>56500</v>
      </c>
      <c r="K81" s="28">
        <f t="shared" si="99"/>
        <v>263.625</v>
      </c>
      <c r="L81" s="9">
        <f t="shared" si="99"/>
        <v>282.92500000000001</v>
      </c>
      <c r="M81" s="9">
        <f t="shared" si="99"/>
        <v>244.32499999999999</v>
      </c>
      <c r="N81" s="9">
        <f t="shared" si="99"/>
        <v>263.625</v>
      </c>
      <c r="O81" s="29">
        <f t="shared" si="99"/>
        <v>1054.5</v>
      </c>
      <c r="Q81" s="28">
        <f t="shared" si="100"/>
        <v>91.603909465020578</v>
      </c>
      <c r="R81" s="9">
        <f t="shared" si="100"/>
        <v>91.603909465020578</v>
      </c>
      <c r="S81" s="9">
        <f t="shared" si="100"/>
        <v>91.603909465020578</v>
      </c>
      <c r="T81" s="9">
        <f t="shared" si="100"/>
        <v>91.603909465020578</v>
      </c>
      <c r="U81" s="29">
        <f t="shared" si="100"/>
        <v>92</v>
      </c>
      <c r="W81" s="45">
        <f t="shared" si="112"/>
        <v>1.4935102447538129</v>
      </c>
      <c r="X81" s="45">
        <f t="shared" si="113"/>
        <v>1.6028502076698814</v>
      </c>
      <c r="Y81" s="45">
        <f t="shared" si="114"/>
        <v>1.3841702818377442</v>
      </c>
      <c r="Z81" s="45">
        <f t="shared" si="115"/>
        <v>1.4935102447538129</v>
      </c>
      <c r="AA81" s="46">
        <f t="shared" si="116"/>
        <v>1.487080187451185</v>
      </c>
      <c r="AC81" s="28">
        <f t="shared" si="117"/>
        <v>59.092307692307678</v>
      </c>
      <c r="AD81" s="9">
        <f t="shared" ref="AD81:AE81" si="126">IFERROR(AC81/8,"")</f>
        <v>7.3865384615384597</v>
      </c>
      <c r="AE81" s="9">
        <f t="shared" si="126"/>
        <v>0.92331730769230747</v>
      </c>
      <c r="AF81" s="9">
        <f t="shared" si="106"/>
        <v>0.3077724358974358</v>
      </c>
      <c r="AG81" s="29">
        <f t="shared" si="119"/>
        <v>67.709935897435869</v>
      </c>
      <c r="AI81" s="28">
        <f t="shared" si="108"/>
        <v>60</v>
      </c>
      <c r="AJ81" s="9">
        <f t="shared" si="108"/>
        <v>12</v>
      </c>
      <c r="AK81" s="9">
        <f t="shared" si="108"/>
        <v>2</v>
      </c>
      <c r="AL81" s="9">
        <f t="shared" si="108"/>
        <v>0</v>
      </c>
      <c r="AM81" s="40">
        <f t="shared" si="108"/>
        <v>74</v>
      </c>
      <c r="AN81" s="35">
        <f t="shared" si="109"/>
        <v>-6.2900641025641306</v>
      </c>
      <c r="AP81" s="28">
        <f t="shared" si="110"/>
        <v>0</v>
      </c>
      <c r="AQ81" s="9">
        <f t="shared" si="110"/>
        <v>0</v>
      </c>
      <c r="AR81" s="9">
        <f t="shared" si="110"/>
        <v>0</v>
      </c>
      <c r="AS81" s="9">
        <f t="shared" si="110"/>
        <v>0</v>
      </c>
      <c r="AT81" s="40">
        <f t="shared" si="110"/>
        <v>0</v>
      </c>
      <c r="AU81" s="35">
        <f t="shared" si="111"/>
        <v>-6.2900641025641306</v>
      </c>
    </row>
    <row r="82" spans="2:47" ht="15.75" thickBot="1" x14ac:dyDescent="0.3">
      <c r="B82" s="13" t="s">
        <v>213</v>
      </c>
      <c r="J82" s="40">
        <f t="shared" si="98"/>
        <v>69500</v>
      </c>
      <c r="K82" s="28">
        <f t="shared" si="99"/>
        <v>30.25</v>
      </c>
      <c r="L82" s="9">
        <f t="shared" si="99"/>
        <v>32.67</v>
      </c>
      <c r="M82" s="9">
        <f t="shared" si="99"/>
        <v>27.830000000000002</v>
      </c>
      <c r="N82" s="9">
        <f t="shared" si="99"/>
        <v>30.25</v>
      </c>
      <c r="O82" s="29">
        <f t="shared" si="99"/>
        <v>121</v>
      </c>
      <c r="Q82" s="28">
        <f t="shared" si="100"/>
        <v>5.5</v>
      </c>
      <c r="R82" s="9">
        <f t="shared" si="100"/>
        <v>6</v>
      </c>
      <c r="S82" s="9">
        <f t="shared" si="100"/>
        <v>6</v>
      </c>
      <c r="T82" s="9">
        <f t="shared" si="100"/>
        <v>6</v>
      </c>
      <c r="U82" s="29">
        <f t="shared" si="100"/>
        <v>5.875</v>
      </c>
      <c r="W82" s="45">
        <f t="shared" ref="W82" si="127">IFERROR((K82/Q82/0.835/3)*1.3,"")</f>
        <v>2.8542914171656686</v>
      </c>
      <c r="X82" s="45">
        <f t="shared" ref="X82" si="128">IFERROR((L82/R82/0.835/3)*1.3,"")</f>
        <v>2.8257485029940126</v>
      </c>
      <c r="Y82" s="45">
        <f t="shared" ref="Y82" si="129">IFERROR((M82/S82/0.835/3)*1.3,"")</f>
        <v>2.4071190951430479</v>
      </c>
      <c r="Z82" s="45">
        <f t="shared" ref="Z82" si="130">IFERROR((N82/T82/0.835/3)*1.3,"")</f>
        <v>2.6164337990685298</v>
      </c>
      <c r="AA82" s="46">
        <f t="shared" ref="AA82" si="131">IFERROR((O82/U82/0.835/3/4)*1.3,"")</f>
        <v>2.6721026033040305</v>
      </c>
      <c r="AC82" s="28">
        <f t="shared" ref="AC82" si="132">IFERROR(O82/(AA82*3*4),"")</f>
        <v>3.7735576923076914</v>
      </c>
      <c r="AD82" s="9">
        <f t="shared" ref="AD82" si="133">IFERROR(AC82/8,"")</f>
        <v>0.47169471153846143</v>
      </c>
      <c r="AE82" s="9">
        <f t="shared" ref="AE82" si="134">IFERROR(AD82/8,"")</f>
        <v>5.8961838942307679E-2</v>
      </c>
      <c r="AF82" s="9">
        <f t="shared" ref="AF82" si="135">IFERROR(AE82/3,"")</f>
        <v>1.9653946314102558E-2</v>
      </c>
      <c r="AG82" s="29">
        <f t="shared" ref="AG82" si="136">SUM(AC82:AF82)</f>
        <v>4.323868189102563</v>
      </c>
      <c r="AI82" s="28">
        <f t="shared" si="108"/>
        <v>2</v>
      </c>
      <c r="AJ82" s="9">
        <f t="shared" si="108"/>
        <v>2</v>
      </c>
      <c r="AK82" s="9">
        <f t="shared" si="108"/>
        <v>0</v>
      </c>
      <c r="AL82" s="9">
        <f t="shared" si="108"/>
        <v>0</v>
      </c>
      <c r="AM82" s="40">
        <f t="shared" si="108"/>
        <v>4</v>
      </c>
      <c r="AN82" s="35">
        <f t="shared" ref="AN82" si="137">AG82-AM82</f>
        <v>0.32386818910256299</v>
      </c>
      <c r="AP82" s="28">
        <f t="shared" si="110"/>
        <v>0</v>
      </c>
      <c r="AQ82" s="9">
        <f t="shared" si="110"/>
        <v>0</v>
      </c>
      <c r="AR82" s="9">
        <f t="shared" si="110"/>
        <v>0</v>
      </c>
      <c r="AS82" s="9">
        <f t="shared" si="110"/>
        <v>0</v>
      </c>
      <c r="AT82" s="40">
        <f t="shared" si="110"/>
        <v>0</v>
      </c>
      <c r="AU82" s="35">
        <f t="shared" ref="AU82" si="138">AG82-(AM82+AT82)</f>
        <v>0.32386818910256299</v>
      </c>
    </row>
    <row r="83" spans="2:47" ht="15.75" thickBot="1" x14ac:dyDescent="0.3">
      <c r="B83" s="13" t="s">
        <v>214</v>
      </c>
      <c r="J83" s="40">
        <f t="shared" si="98"/>
        <v>50371.428571428572</v>
      </c>
      <c r="K83" s="28">
        <f t="shared" si="99"/>
        <v>104</v>
      </c>
      <c r="L83" s="9">
        <f t="shared" si="99"/>
        <v>112.32000000000001</v>
      </c>
      <c r="M83" s="9">
        <f t="shared" si="99"/>
        <v>95.68</v>
      </c>
      <c r="N83" s="9">
        <f t="shared" si="99"/>
        <v>104</v>
      </c>
      <c r="O83" s="29">
        <f t="shared" si="99"/>
        <v>416</v>
      </c>
      <c r="Q83" s="28">
        <f t="shared" si="100"/>
        <v>26</v>
      </c>
      <c r="R83" s="9">
        <f t="shared" si="100"/>
        <v>26</v>
      </c>
      <c r="S83" s="9">
        <f t="shared" si="100"/>
        <v>26</v>
      </c>
      <c r="T83" s="9">
        <f t="shared" si="100"/>
        <v>26</v>
      </c>
      <c r="U83" s="29">
        <f t="shared" si="100"/>
        <v>26</v>
      </c>
      <c r="W83" s="45">
        <f t="shared" si="112"/>
        <v>2.0758483033932138</v>
      </c>
      <c r="X83" s="45">
        <f t="shared" si="113"/>
        <v>2.2419161676646713</v>
      </c>
      <c r="Y83" s="45">
        <f t="shared" si="114"/>
        <v>1.9097804391217565</v>
      </c>
      <c r="Z83" s="45">
        <f t="shared" si="115"/>
        <v>2.0758483033932138</v>
      </c>
      <c r="AA83" s="46">
        <f t="shared" si="116"/>
        <v>2.0758483033932138</v>
      </c>
      <c r="AC83" s="28">
        <f t="shared" si="117"/>
        <v>16.699999999999996</v>
      </c>
      <c r="AD83" s="9">
        <f t="shared" ref="AD83:AE83" si="139">IFERROR(AC83/8,"")</f>
        <v>2.0874999999999995</v>
      </c>
      <c r="AE83" s="9">
        <f t="shared" si="139"/>
        <v>0.26093749999999993</v>
      </c>
      <c r="AF83" s="9">
        <f t="shared" si="106"/>
        <v>8.6979166666666649E-2</v>
      </c>
      <c r="AG83" s="29">
        <f t="shared" si="119"/>
        <v>19.135416666666661</v>
      </c>
      <c r="AI83" s="28">
        <f t="shared" si="108"/>
        <v>15</v>
      </c>
      <c r="AJ83" s="9">
        <f t="shared" si="108"/>
        <v>3</v>
      </c>
      <c r="AK83" s="9">
        <f t="shared" si="108"/>
        <v>1</v>
      </c>
      <c r="AL83" s="9">
        <f t="shared" si="108"/>
        <v>0</v>
      </c>
      <c r="AM83" s="40">
        <f t="shared" si="108"/>
        <v>19</v>
      </c>
      <c r="AN83" s="35">
        <f t="shared" si="109"/>
        <v>0.13541666666666075</v>
      </c>
      <c r="AP83" s="28">
        <f t="shared" si="110"/>
        <v>1</v>
      </c>
      <c r="AQ83" s="9">
        <f t="shared" si="110"/>
        <v>2</v>
      </c>
      <c r="AR83" s="9">
        <f t="shared" si="110"/>
        <v>0</v>
      </c>
      <c r="AS83" s="9">
        <f t="shared" si="110"/>
        <v>0</v>
      </c>
      <c r="AT83" s="40">
        <f t="shared" si="110"/>
        <v>3</v>
      </c>
      <c r="AU83" s="35">
        <f t="shared" si="111"/>
        <v>-2.8645833333333393</v>
      </c>
    </row>
    <row r="84" spans="2:47" ht="15.75" thickBot="1" x14ac:dyDescent="0.3">
      <c r="B84" s="13" t="s">
        <v>215</v>
      </c>
      <c r="J84" s="40">
        <f t="shared" si="98"/>
        <v>45000</v>
      </c>
      <c r="K84" s="28">
        <f t="shared" si="99"/>
        <v>67.5</v>
      </c>
      <c r="L84" s="9">
        <f t="shared" si="99"/>
        <v>72.900000000000006</v>
      </c>
      <c r="M84" s="9">
        <f t="shared" si="99"/>
        <v>62.1</v>
      </c>
      <c r="N84" s="9">
        <f t="shared" si="99"/>
        <v>67.5</v>
      </c>
      <c r="O84" s="29">
        <f t="shared" si="99"/>
        <v>270</v>
      </c>
      <c r="Q84" s="28">
        <f t="shared" si="100"/>
        <v>11</v>
      </c>
      <c r="R84" s="9">
        <f t="shared" si="100"/>
        <v>11</v>
      </c>
      <c r="S84" s="9">
        <f t="shared" si="100"/>
        <v>11</v>
      </c>
      <c r="T84" s="9">
        <f t="shared" si="100"/>
        <v>11</v>
      </c>
      <c r="U84" s="29">
        <f t="shared" si="100"/>
        <v>11</v>
      </c>
      <c r="W84" s="45">
        <f t="shared" si="112"/>
        <v>3.1845400108873165</v>
      </c>
      <c r="X84" s="45">
        <f t="shared" si="113"/>
        <v>3.4393032117583018</v>
      </c>
      <c r="Y84" s="45">
        <f t="shared" si="114"/>
        <v>2.9297768100163317</v>
      </c>
      <c r="Z84" s="45">
        <f t="shared" si="115"/>
        <v>3.1845400108873165</v>
      </c>
      <c r="AA84" s="46">
        <f t="shared" si="116"/>
        <v>3.1845400108873165</v>
      </c>
      <c r="AC84" s="28">
        <f t="shared" si="117"/>
        <v>7.0653846153846143</v>
      </c>
      <c r="AD84" s="9">
        <f t="shared" ref="AD84:AE84" si="140">IFERROR(AC84/8,"")</f>
        <v>0.88317307692307678</v>
      </c>
      <c r="AE84" s="9">
        <f t="shared" si="140"/>
        <v>0.1103966346153846</v>
      </c>
      <c r="AF84" s="9">
        <f t="shared" si="106"/>
        <v>3.6798878205128199E-2</v>
      </c>
      <c r="AG84" s="29">
        <f t="shared" si="119"/>
        <v>8.0957532051282026</v>
      </c>
      <c r="AI84" s="28">
        <f t="shared" si="108"/>
        <v>14</v>
      </c>
      <c r="AJ84" s="9">
        <f t="shared" si="108"/>
        <v>1</v>
      </c>
      <c r="AK84" s="9">
        <f t="shared" si="108"/>
        <v>1</v>
      </c>
      <c r="AL84" s="9">
        <f t="shared" si="108"/>
        <v>0</v>
      </c>
      <c r="AM84" s="40">
        <f t="shared" si="108"/>
        <v>16</v>
      </c>
      <c r="AN84" s="35">
        <f t="shared" si="109"/>
        <v>-7.9042467948717974</v>
      </c>
      <c r="AP84" s="28">
        <f t="shared" si="110"/>
        <v>0</v>
      </c>
      <c r="AQ84" s="9">
        <f t="shared" si="110"/>
        <v>0</v>
      </c>
      <c r="AR84" s="9">
        <f t="shared" si="110"/>
        <v>0</v>
      </c>
      <c r="AS84" s="9">
        <f t="shared" si="110"/>
        <v>0</v>
      </c>
      <c r="AT84" s="40">
        <f t="shared" si="110"/>
        <v>0</v>
      </c>
      <c r="AU84" s="35">
        <f t="shared" si="111"/>
        <v>-7.9042467948717974</v>
      </c>
    </row>
    <row r="85" spans="2:47" ht="15.75" thickBot="1" x14ac:dyDescent="0.3">
      <c r="B85" s="13" t="s">
        <v>216</v>
      </c>
      <c r="J85" s="40">
        <f t="shared" si="98"/>
        <v>49740</v>
      </c>
      <c r="K85" s="28">
        <f t="shared" si="99"/>
        <v>143.75</v>
      </c>
      <c r="L85" s="9">
        <f t="shared" si="99"/>
        <v>155.25</v>
      </c>
      <c r="M85" s="9">
        <f t="shared" si="99"/>
        <v>132.25</v>
      </c>
      <c r="N85" s="9">
        <f t="shared" si="99"/>
        <v>143.75</v>
      </c>
      <c r="O85" s="29">
        <f t="shared" si="99"/>
        <v>575</v>
      </c>
      <c r="Q85" s="28">
        <f t="shared" si="100"/>
        <v>33.243333333333332</v>
      </c>
      <c r="R85" s="9">
        <f t="shared" si="100"/>
        <v>33.15</v>
      </c>
      <c r="S85" s="9">
        <f t="shared" si="100"/>
        <v>33</v>
      </c>
      <c r="T85" s="9">
        <f t="shared" si="100"/>
        <v>33</v>
      </c>
      <c r="U85" s="29">
        <f t="shared" si="100"/>
        <v>33.098333333333329</v>
      </c>
      <c r="W85" s="45">
        <f t="shared" si="112"/>
        <v>2.244082976131363</v>
      </c>
      <c r="X85" s="45">
        <f t="shared" si="113"/>
        <v>2.4304332511447693</v>
      </c>
      <c r="Y85" s="45">
        <f t="shared" si="114"/>
        <v>2.0797798342708527</v>
      </c>
      <c r="Z85" s="45">
        <f t="shared" si="115"/>
        <v>2.2606302546422312</v>
      </c>
      <c r="AA85" s="46">
        <f t="shared" si="116"/>
        <v>2.2539140461209617</v>
      </c>
      <c r="AC85" s="28">
        <f t="shared" si="117"/>
        <v>21.259314102564097</v>
      </c>
      <c r="AD85" s="9">
        <f t="shared" ref="AD85:AE86" si="141">IFERROR(AC85/8,"")</f>
        <v>2.6574142628205122</v>
      </c>
      <c r="AE85" s="9">
        <f t="shared" si="141"/>
        <v>0.33217678285256402</v>
      </c>
      <c r="AF85" s="9">
        <f t="shared" si="106"/>
        <v>0.110725594284188</v>
      </c>
      <c r="AG85" s="29">
        <f t="shared" si="119"/>
        <v>24.359630742521361</v>
      </c>
      <c r="AI85" s="28">
        <f t="shared" si="108"/>
        <v>27</v>
      </c>
      <c r="AJ85" s="9">
        <f t="shared" si="108"/>
        <v>2</v>
      </c>
      <c r="AK85" s="9">
        <f t="shared" si="108"/>
        <v>1</v>
      </c>
      <c r="AL85" s="9">
        <f t="shared" si="108"/>
        <v>0</v>
      </c>
      <c r="AM85" s="40">
        <f t="shared" si="108"/>
        <v>30</v>
      </c>
      <c r="AN85" s="35">
        <f t="shared" si="109"/>
        <v>-5.640369257478639</v>
      </c>
      <c r="AP85" s="28">
        <f t="shared" si="110"/>
        <v>4</v>
      </c>
      <c r="AQ85" s="9">
        <f t="shared" si="110"/>
        <v>1</v>
      </c>
      <c r="AR85" s="9">
        <f t="shared" si="110"/>
        <v>0</v>
      </c>
      <c r="AS85" s="9">
        <f t="shared" si="110"/>
        <v>0</v>
      </c>
      <c r="AT85" s="40">
        <f t="shared" si="110"/>
        <v>5</v>
      </c>
      <c r="AU85" s="35">
        <f t="shared" si="111"/>
        <v>-10.640369257478639</v>
      </c>
    </row>
    <row r="86" spans="2:47" s="7" customFormat="1" ht="15.75" thickBot="1" x14ac:dyDescent="0.3">
      <c r="B86" s="114" t="s">
        <v>217</v>
      </c>
      <c r="J86" s="40">
        <f>AVERAGE(J$3:J$62)</f>
        <v>53960.530612244896</v>
      </c>
      <c r="K86" s="49">
        <f>SUM(K73:K85)</f>
        <v>2530.625</v>
      </c>
      <c r="L86" s="50">
        <f>SUM(L73:L85)</f>
        <v>2731.2850000000003</v>
      </c>
      <c r="M86" s="50">
        <f>SUM(M73:M85)</f>
        <v>2329.9649999999997</v>
      </c>
      <c r="N86" s="50">
        <f>SUM(N73:N85)</f>
        <v>2530.625</v>
      </c>
      <c r="O86" s="44">
        <f>SUM(O73:O85)</f>
        <v>10122.5</v>
      </c>
      <c r="Q86" s="49">
        <f>SUM(Q73:Q85)</f>
        <v>559.04724279835386</v>
      </c>
      <c r="R86" s="50">
        <f>SUM(R73:R85)</f>
        <v>560.75390946502057</v>
      </c>
      <c r="S86" s="50">
        <f>SUM(S73:S85)</f>
        <v>562.60390946502059</v>
      </c>
      <c r="T86" s="50">
        <f>SUM(T73:T85)</f>
        <v>562.60390946502059</v>
      </c>
      <c r="U86" s="44">
        <f>SUM(U73:U85)</f>
        <v>561.64833333333331</v>
      </c>
      <c r="W86" s="45">
        <f t="shared" si="112"/>
        <v>2.3491724896446979</v>
      </c>
      <c r="X86" s="45">
        <f t="shared" si="113"/>
        <v>2.5277279558971171</v>
      </c>
      <c r="Y86" s="45">
        <f t="shared" si="114"/>
        <v>2.1492269298371642</v>
      </c>
      <c r="Z86" s="45">
        <f t="shared" si="115"/>
        <v>2.3343215023913126</v>
      </c>
      <c r="AA86" s="46">
        <f t="shared" si="116"/>
        <v>2.338293065697004</v>
      </c>
      <c r="AC86" s="49">
        <f>SUM(AC73:AC85)</f>
        <v>360.75104487179482</v>
      </c>
      <c r="AD86" s="50">
        <f t="shared" si="141"/>
        <v>45.093880608974352</v>
      </c>
      <c r="AE86" s="50">
        <f t="shared" si="141"/>
        <v>5.636735076121794</v>
      </c>
      <c r="AF86" s="50">
        <f t="shared" si="106"/>
        <v>1.8789116920405979</v>
      </c>
      <c r="AG86" s="44">
        <f t="shared" si="119"/>
        <v>413.36057224893159</v>
      </c>
      <c r="AI86" s="49">
        <f>SUM(AI73:AI85)</f>
        <v>386</v>
      </c>
      <c r="AJ86" s="50">
        <f>SUM(AJ73:AJ85)</f>
        <v>94</v>
      </c>
      <c r="AK86" s="50">
        <f>SUM(AK73:AK85)</f>
        <v>13</v>
      </c>
      <c r="AL86" s="50">
        <f>SUM(AL73:AL85)</f>
        <v>0</v>
      </c>
      <c r="AM86" s="52">
        <f>SUM(AM73:AM85)</f>
        <v>493</v>
      </c>
      <c r="AN86" s="48">
        <f t="shared" si="109"/>
        <v>-79.639427751068411</v>
      </c>
      <c r="AP86" s="49">
        <f t="shared" ref="AP86:AU86" si="142">SUM(AP73:AP85)</f>
        <v>16</v>
      </c>
      <c r="AQ86" s="50">
        <f t="shared" si="142"/>
        <v>5</v>
      </c>
      <c r="AR86" s="50">
        <f t="shared" si="142"/>
        <v>1</v>
      </c>
      <c r="AS86" s="50">
        <f t="shared" si="142"/>
        <v>0</v>
      </c>
      <c r="AT86" s="52">
        <f t="shared" si="142"/>
        <v>22</v>
      </c>
      <c r="AU86" s="48">
        <f t="shared" si="142"/>
        <v>-101.63942775106844</v>
      </c>
    </row>
    <row r="88" spans="2:47" s="18" customFormat="1" x14ac:dyDescent="0.25">
      <c r="B88" s="18" t="s">
        <v>218</v>
      </c>
      <c r="J88" s="22"/>
      <c r="K88" s="19">
        <f t="shared" ref="K88:U88" si="143">K2-K86</f>
        <v>0</v>
      </c>
      <c r="L88" s="19">
        <f t="shared" si="143"/>
        <v>0</v>
      </c>
      <c r="M88" s="19">
        <f t="shared" si="143"/>
        <v>0</v>
      </c>
      <c r="N88" s="19">
        <f t="shared" si="143"/>
        <v>0</v>
      </c>
      <c r="O88" s="21">
        <f t="shared" si="143"/>
        <v>0</v>
      </c>
      <c r="P88" s="19">
        <f t="shared" si="143"/>
        <v>0</v>
      </c>
      <c r="Q88" s="19">
        <f t="shared" si="143"/>
        <v>30.000000000000114</v>
      </c>
      <c r="R88" s="19">
        <f t="shared" si="143"/>
        <v>30</v>
      </c>
      <c r="S88" s="19">
        <f t="shared" si="143"/>
        <v>30</v>
      </c>
      <c r="T88" s="19">
        <f t="shared" si="143"/>
        <v>30</v>
      </c>
      <c r="U88" s="21">
        <f t="shared" si="143"/>
        <v>30</v>
      </c>
      <c r="W88" s="20">
        <f>W2-W86</f>
        <v>-0.11964265269206376</v>
      </c>
      <c r="X88" s="20">
        <f>X2-X86</f>
        <v>-0.12836451432980933</v>
      </c>
      <c r="Y88" s="20">
        <f>Y2-Y86</f>
        <v>-0.10880253549680763</v>
      </c>
      <c r="Z88" s="20">
        <f>Z2-Z86</f>
        <v>-0.11817276928692477</v>
      </c>
      <c r="AA88" s="24">
        <f>AA2-AA86</f>
        <v>-0.11856501238783768</v>
      </c>
      <c r="AC88" s="19">
        <f>AC2-AC86</f>
        <v>2.9999999999998863</v>
      </c>
      <c r="AD88" s="19">
        <f>AD2-AD86</f>
        <v>2.9999999999999858</v>
      </c>
      <c r="AE88" s="19">
        <f>AE2-AE86</f>
        <v>0.37499999999999822</v>
      </c>
      <c r="AF88" s="19">
        <f>AF2-AF86</f>
        <v>3</v>
      </c>
      <c r="AG88" s="21">
        <f>AG2-AG86</f>
        <v>9.3749999999999432</v>
      </c>
      <c r="AH88" s="19"/>
      <c r="AI88" s="19">
        <f t="shared" ref="AI88:AN88" si="144">AI2-AI86</f>
        <v>3</v>
      </c>
      <c r="AJ88" s="19">
        <f t="shared" si="144"/>
        <v>3</v>
      </c>
      <c r="AK88" s="19">
        <f t="shared" si="144"/>
        <v>1</v>
      </c>
      <c r="AL88" s="19">
        <f t="shared" si="144"/>
        <v>3</v>
      </c>
      <c r="AM88" s="21">
        <f t="shared" si="144"/>
        <v>10</v>
      </c>
      <c r="AN88" s="21">
        <f t="shared" si="144"/>
        <v>-0.62500000000002842</v>
      </c>
      <c r="AP88" s="19">
        <f t="shared" ref="AP88:AU88" si="145">AP2-AP86</f>
        <v>0</v>
      </c>
      <c r="AQ88" s="19">
        <f t="shared" si="145"/>
        <v>0</v>
      </c>
      <c r="AR88" s="19">
        <f t="shared" si="145"/>
        <v>0</v>
      </c>
      <c r="AS88" s="19">
        <f t="shared" si="145"/>
        <v>0</v>
      </c>
      <c r="AT88" s="21">
        <f t="shared" si="145"/>
        <v>0</v>
      </c>
      <c r="AU88" s="21">
        <f t="shared" si="145"/>
        <v>-0.62500000000002842</v>
      </c>
    </row>
  </sheetData>
  <mergeCells count="7">
    <mergeCell ref="AC1:AG1"/>
    <mergeCell ref="AI1:AM1"/>
    <mergeCell ref="AP1:AT1"/>
    <mergeCell ref="J1:J2"/>
    <mergeCell ref="K1:O1"/>
    <mergeCell ref="Q1:U1"/>
    <mergeCell ref="W1:AA1"/>
  </mergeCells>
  <conditionalFormatting sqref="AN2 AN4:AN57 AU4:AU57 AN73:AN86 AU73:AU86">
    <cfRule type="cellIs" dxfId="7" priority="17" operator="between">
      <formula>0</formula>
      <formula>100</formula>
    </cfRule>
    <cfRule type="cellIs" dxfId="6" priority="18" operator="lessThan">
      <formula>0</formula>
    </cfRule>
  </conditionalFormatting>
  <conditionalFormatting sqref="AN67:AN69">
    <cfRule type="cellIs" dxfId="5" priority="7" operator="between">
      <formula>0</formula>
      <formula>100</formula>
    </cfRule>
    <cfRule type="cellIs" dxfId="4" priority="8" operator="lessThan">
      <formula>0</formula>
    </cfRule>
  </conditionalFormatting>
  <conditionalFormatting sqref="AU2">
    <cfRule type="cellIs" dxfId="3" priority="9" operator="between">
      <formula>0</formula>
      <formula>100</formula>
    </cfRule>
    <cfRule type="cellIs" dxfId="2" priority="10" operator="lessThan">
      <formula>0</formula>
    </cfRule>
  </conditionalFormatting>
  <conditionalFormatting sqref="AU67:AU69">
    <cfRule type="cellIs" dxfId="1" priority="5" operator="between">
      <formula>0</formula>
      <formula>100</formula>
    </cfRule>
    <cfRule type="cellIs" dxfId="0" priority="6" operator="lessThan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9A2B5B-1C48-47FA-BDE1-561D6342A8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</vt:lpstr>
      <vt:lpstr>HC_Summary Excluding Optum</vt:lpstr>
      <vt:lpstr>Mapping</vt:lpstr>
      <vt:lpstr>HC Projection Including Optum</vt:lpstr>
      <vt:lpstr>Projected HC - FY26 (Q4)</vt:lpstr>
      <vt:lpstr>HR Guru | Lyftr</vt:lpstr>
      <vt:lpstr>Open Positin List</vt:lpstr>
      <vt:lpstr>HC &amp; Open Position</vt:lpstr>
      <vt:lpstr>CPH</vt:lpstr>
      <vt:lpstr>Projected HC - FY26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Baljeet Singh</dc:creator>
  <cp:keywords/>
  <dc:description/>
  <cp:lastModifiedBy>Devendra Kumar</cp:lastModifiedBy>
  <cp:revision/>
  <dcterms:created xsi:type="dcterms:W3CDTF">2025-01-09T11:19:24Z</dcterms:created>
  <dcterms:modified xsi:type="dcterms:W3CDTF">2026-03-17T11:55:57Z</dcterms:modified>
  <cp:category/>
  <cp:contentStatus/>
</cp:coreProperties>
</file>