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ljeet.singh\AppData\Local\Microsoft\Windows\INetCache\Content.Outlook\7JO0JH7H\"/>
    </mc:Choice>
  </mc:AlternateContent>
  <xr:revisionPtr revIDLastSave="379" documentId="8_{76984F54-D3F1-407A-B96F-4646259530CE}" xr6:coauthVersionLast="47" xr6:coauthVersionMax="47" xr10:uidLastSave="{DC73833D-4071-4F4C-A28C-8B9A0CCAD820}"/>
  <bookViews>
    <workbookView xWindow="-110" yWindow="-110" windowWidth="19420" windowHeight="11500" tabRatio="500" activeTab="1" xr2:uid="{00000000-000D-0000-FFFF-FFFF00000000}"/>
  </bookViews>
  <sheets>
    <sheet name="Summary Dashboard" sheetId="2" r:id="rId1"/>
    <sheet name="Contract Data" sheetId="1" r:id="rId2"/>
    <sheet name="Sign-UpRenewal" sheetId="3" r:id="rId3"/>
  </sheets>
  <definedNames>
    <definedName name="_xlnm._FilterDatabase" localSheetId="1" hidden="1">'Contract Data'!$A$3:$X$65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0" i="1" l="1"/>
  <c r="C5" i="2" s="1"/>
  <c r="F25" i="2"/>
  <c r="E25" i="2"/>
  <c r="C25" i="2"/>
  <c r="B25" i="2"/>
  <c r="A25" i="2"/>
  <c r="F24" i="2"/>
  <c r="E24" i="2"/>
  <c r="C24" i="2"/>
  <c r="B24" i="2"/>
  <c r="A24" i="2"/>
  <c r="F23" i="2"/>
  <c r="E23" i="2"/>
  <c r="C23" i="2"/>
  <c r="B23" i="2"/>
  <c r="A23" i="2"/>
  <c r="F22" i="2"/>
  <c r="E22" i="2"/>
  <c r="C22" i="2"/>
  <c r="B22" i="2"/>
  <c r="A22" i="2"/>
  <c r="M21" i="2"/>
  <c r="L21" i="2"/>
  <c r="F21" i="2"/>
  <c r="E21" i="2"/>
  <c r="C21" i="2"/>
  <c r="B21" i="2"/>
  <c r="A21" i="2"/>
  <c r="M20" i="2"/>
  <c r="L20" i="2"/>
  <c r="M19" i="2"/>
  <c r="L19" i="2"/>
  <c r="M18" i="2"/>
  <c r="L18" i="2"/>
  <c r="M17" i="2"/>
  <c r="L17" i="2"/>
  <c r="I15" i="2"/>
  <c r="H15" i="2"/>
  <c r="G15" i="2"/>
  <c r="F15" i="2"/>
  <c r="D15" i="2"/>
  <c r="C15" i="2"/>
  <c r="B15" i="2"/>
  <c r="A15" i="2"/>
  <c r="M14" i="2"/>
  <c r="I14" i="2"/>
  <c r="H14" i="2"/>
  <c r="G14" i="2"/>
  <c r="F14" i="2"/>
  <c r="D14" i="2"/>
  <c r="C14" i="2"/>
  <c r="B14" i="2"/>
  <c r="A14" i="2"/>
  <c r="M13" i="2"/>
  <c r="I13" i="2"/>
  <c r="H13" i="2"/>
  <c r="G13" i="2"/>
  <c r="F13" i="2"/>
  <c r="D13" i="2"/>
  <c r="C13" i="2"/>
  <c r="B13" i="2"/>
  <c r="A13" i="2"/>
  <c r="M12" i="2"/>
  <c r="I12" i="2"/>
  <c r="H12" i="2"/>
  <c r="G12" i="2"/>
  <c r="F12" i="2"/>
  <c r="D12" i="2"/>
  <c r="C12" i="2"/>
  <c r="B12" i="2"/>
  <c r="A12" i="2"/>
  <c r="I11" i="2"/>
  <c r="H11" i="2"/>
  <c r="G11" i="2"/>
  <c r="F11" i="2"/>
  <c r="D11" i="2"/>
  <c r="C11" i="2"/>
  <c r="B11" i="2"/>
  <c r="A11" i="2"/>
  <c r="M5" i="2"/>
  <c r="K5" i="2"/>
  <c r="I5" i="2"/>
  <c r="G5" i="2"/>
  <c r="E5" i="2"/>
  <c r="A5" i="2"/>
  <c r="J110" i="1"/>
  <c r="I110" i="1"/>
  <c r="F110" i="1"/>
  <c r="E15" i="2"/>
  <c r="E14" i="2"/>
  <c r="E13" i="2"/>
  <c r="E12" i="2"/>
  <c r="E11" i="2"/>
</calcChain>
</file>

<file path=xl/sharedStrings.xml><?xml version="1.0" encoding="utf-8"?>
<sst xmlns="http://schemas.openxmlformats.org/spreadsheetml/2006/main" count="1583" uniqueCount="149">
  <si>
    <t>CONTRACT SUMMARY DASHBOARD</t>
  </si>
  <si>
    <t>Real-time Portfolio Overview  |  Taggd RPO</t>
  </si>
  <si>
    <t>Total Clients</t>
  </si>
  <si>
    <t>Current ACV (₹L)</t>
  </si>
  <si>
    <t>Avg Contribution
Margin %</t>
  </si>
  <si>
    <t>Total Headcount</t>
  </si>
  <si>
    <t>Active</t>
  </si>
  <si>
    <t>Renewed</t>
  </si>
  <si>
    <t>Expired</t>
  </si>
  <si>
    <t>CLIENT-LEVEL PERFORMANCE SUMMARY</t>
  </si>
  <si>
    <t>Customer</t>
  </si>
  <si>
    <t>Status</t>
  </si>
  <si>
    <t>Signed ACV (₹L)</t>
  </si>
  <si>
    <t>ACV Growth%</t>
  </si>
  <si>
    <t>CM%</t>
  </si>
  <si>
    <t>HC</t>
  </si>
  <si>
    <t>Renewal Date</t>
  </si>
  <si>
    <t>Remarks</t>
  </si>
  <si>
    <t>STATUS BREAKDOWN</t>
  </si>
  <si>
    <t>HEADCOUNT BY CLIENT</t>
  </si>
  <si>
    <t>Signed ACV</t>
  </si>
  <si>
    <t>Current ACV</t>
  </si>
  <si>
    <t>CONTRACT INFORMATION TRACKER</t>
  </si>
  <si>
    <t>Taggd RPO — Client Contract Repository</t>
  </si>
  <si>
    <t>#</t>
  </si>
  <si>
    <t>Account Type</t>
  </si>
  <si>
    <t>Date of Signing</t>
  </si>
  <si>
    <t>Current Status</t>
  </si>
  <si>
    <t>Signed CM%</t>
  </si>
  <si>
    <t>HC
(Headcount)</t>
  </si>
  <si>
    <t>Hiring Volume</t>
  </si>
  <si>
    <t>Taggd Source MIX</t>
  </si>
  <si>
    <t>Other Source Mix</t>
  </si>
  <si>
    <t>Overall RPH</t>
  </si>
  <si>
    <t>Overall RPH  Number</t>
  </si>
  <si>
    <t>MMF</t>
  </si>
  <si>
    <t>Opening Fee</t>
  </si>
  <si>
    <t>Payment Terms</t>
  </si>
  <si>
    <t>Pricing Model</t>
  </si>
  <si>
    <t>Detail</t>
  </si>
  <si>
    <t>Siemens Healthineers</t>
  </si>
  <si>
    <t>Yes</t>
  </si>
  <si>
    <t>Attached Contract Copy</t>
  </si>
  <si>
    <t>Renewal in discussion</t>
  </si>
  <si>
    <t>%</t>
  </si>
  <si>
    <t>No</t>
  </si>
  <si>
    <t>Absolute</t>
  </si>
  <si>
    <t>Auto-renewed at +8%</t>
  </si>
  <si>
    <t>Honeywell</t>
  </si>
  <si>
    <t>HPE</t>
  </si>
  <si>
    <t>Follow-up required</t>
  </si>
  <si>
    <t>TOTALS / AVERAGES</t>
  </si>
  <si>
    <t>STATUS LEGEND</t>
  </si>
  <si>
    <t>RPO</t>
  </si>
  <si>
    <t>Leadership</t>
  </si>
  <si>
    <t>Exclusive</t>
  </si>
  <si>
    <t>Middle East</t>
  </si>
  <si>
    <t>Project Sign-Up / Renewal Details</t>
  </si>
  <si>
    <t>Project ID</t>
  </si>
  <si>
    <t>Customer Name</t>
  </si>
  <si>
    <t>Project Name</t>
  </si>
  <si>
    <t>SBU / BU</t>
  </si>
  <si>
    <t>Practice Head</t>
  </si>
  <si>
    <t>Contract Type</t>
  </si>
  <si>
    <t>Contract Start Date</t>
  </si>
  <si>
    <t>Contract End Date</t>
  </si>
  <si>
    <t>Duration (Months)</t>
  </si>
  <si>
    <t>Renewal Reminder Date</t>
  </si>
  <si>
    <t>Agreed Rate / Fee (₹)</t>
  </si>
  <si>
    <t>Est. Annual Value (₹)</t>
  </si>
  <si>
    <t>SOW / MSA (Ref)</t>
  </si>
  <si>
    <t>SLA Terms Summary</t>
  </si>
  <si>
    <t>Positions Contracted</t>
  </si>
  <si>
    <t>Positions Filled</t>
  </si>
  <si>
    <t>Renewal Status</t>
  </si>
  <si>
    <t>Reason for Lapse/Loss</t>
  </si>
  <si>
    <t>Client Sign-Off Authority</t>
  </si>
  <si>
    <t>Internal Sign-Off</t>
  </si>
  <si>
    <t>Revenue Run Rate (₹/Month)</t>
  </si>
  <si>
    <t> </t>
  </si>
  <si>
    <t>* Need to Create New Customer Name</t>
  </si>
  <si>
    <t>* Manadatory</t>
  </si>
  <si>
    <t>* Drop Down Missing</t>
  </si>
  <si>
    <t>* HRMS Data base</t>
  </si>
  <si>
    <t>*Manadatory</t>
  </si>
  <si>
    <t>* Format is OK in platform</t>
  </si>
  <si>
    <t>* Should be in %</t>
  </si>
  <si>
    <t>* Non Mandatory</t>
  </si>
  <si>
    <t>* Shoud be in Days</t>
  </si>
  <si>
    <t xml:space="preserve">* Missing </t>
  </si>
  <si>
    <t>BITS</t>
  </si>
  <si>
    <t>Pfizer</t>
  </si>
  <si>
    <t>Siemens</t>
  </si>
  <si>
    <t>Vertiv</t>
  </si>
  <si>
    <t>Pidilite</t>
  </si>
  <si>
    <t>Birla Paints</t>
  </si>
  <si>
    <t>Mahindra Holidays</t>
  </si>
  <si>
    <t>Ingram Micro</t>
  </si>
  <si>
    <t>Isuzu</t>
  </si>
  <si>
    <t>Wipro</t>
  </si>
  <si>
    <t>DP World</t>
  </si>
  <si>
    <t>SKF India</t>
  </si>
  <si>
    <t>Ametek</t>
  </si>
  <si>
    <t>Optum</t>
  </si>
  <si>
    <t>AMNS</t>
  </si>
  <si>
    <t>Tata Electronics</t>
  </si>
  <si>
    <t>Jindal</t>
  </si>
  <si>
    <t>M&amp;M</t>
  </si>
  <si>
    <t>Schaeffler</t>
  </si>
  <si>
    <t>Royal Enfield</t>
  </si>
  <si>
    <t>Maruti Suzuki</t>
  </si>
  <si>
    <t>Nagarjuna Education</t>
  </si>
  <si>
    <t>SBI Cards</t>
  </si>
  <si>
    <t>Hyundai</t>
  </si>
  <si>
    <t>Tata Consumer</t>
  </si>
  <si>
    <t>Excelacom Technologies</t>
  </si>
  <si>
    <t>Tata Play</t>
  </si>
  <si>
    <t>Mahindra Finance</t>
  </si>
  <si>
    <t>Suzuki R&amp;D</t>
  </si>
  <si>
    <t>Atomberg</t>
  </si>
  <si>
    <t>Subros</t>
  </si>
  <si>
    <t>Ambuja Cements</t>
  </si>
  <si>
    <t>Ashok Leyland</t>
  </si>
  <si>
    <t>Bridgestone</t>
  </si>
  <si>
    <t>Sterling Tools</t>
  </si>
  <si>
    <t>M2P Solutions</t>
  </si>
  <si>
    <t>Pernod Ricard</t>
  </si>
  <si>
    <t>ABB Global</t>
  </si>
  <si>
    <t>Leap India</t>
  </si>
  <si>
    <t>Unicharm</t>
  </si>
  <si>
    <t xml:space="preserve">TCG Group </t>
  </si>
  <si>
    <t>Saint Gobin</t>
  </si>
  <si>
    <t>MetglaS</t>
  </si>
  <si>
    <t>Neosoft</t>
  </si>
  <si>
    <t>CG Power</t>
  </si>
  <si>
    <t>Reliance</t>
  </si>
  <si>
    <t>Triveni</t>
  </si>
  <si>
    <t>Gala Precision</t>
  </si>
  <si>
    <t>ITW India</t>
  </si>
  <si>
    <t>Primetals Technologies</t>
  </si>
  <si>
    <t>Arvind Smartspaces</t>
  </si>
  <si>
    <t>Autofit</t>
  </si>
  <si>
    <t xml:space="preserve">Carplai </t>
  </si>
  <si>
    <t>Epack Petroleum</t>
  </si>
  <si>
    <t>Synergy Maritime</t>
  </si>
  <si>
    <t>Banswara Syntex</t>
  </si>
  <si>
    <t>Transport Corporation of India</t>
  </si>
  <si>
    <t>Indosol Solar</t>
  </si>
  <si>
    <t xml:space="preserve">Yash Technologies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</si>
</sst>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%"/>
    <numFmt numFmtId="165" formatCode="0.0%;\(0.0%\);\-"/>
    <numFmt numFmtId="166" formatCode="_ * #,##0_ ;_ * \-#,##0_ ;_ * &quot;-&quot;??_ ;_ @_ "/>
  </numFmts>
  <fonts count="26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BDD7EE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b/>
      <sz val="10"/>
      <color rgb="FF1F3864"/>
      <name val="Arial"/>
      <family val="2"/>
    </font>
    <font>
      <b/>
      <sz val="10"/>
      <color rgb="FFC00000"/>
      <name val="Arial"/>
      <family val="2"/>
    </font>
    <font>
      <b/>
      <sz val="10"/>
      <name val="Arial"/>
      <family val="2"/>
    </font>
    <font>
      <b/>
      <sz val="9"/>
      <color rgb="FF595959"/>
      <name val="Arial"/>
      <family val="2"/>
    </font>
    <font>
      <b/>
      <sz val="9"/>
      <color rgb="FF375623"/>
      <name val="Arial"/>
      <family val="2"/>
    </font>
    <font>
      <b/>
      <sz val="9"/>
      <color rgb="FF1F3864"/>
      <name val="Arial"/>
      <family val="2"/>
    </font>
    <font>
      <b/>
      <sz val="9"/>
      <color rgb="FFC00000"/>
      <name val="Arial"/>
      <family val="2"/>
    </font>
    <font>
      <b/>
      <sz val="9"/>
      <color rgb="FFCCDDEE"/>
      <name val="Arial"/>
      <family val="2"/>
    </font>
    <font>
      <b/>
      <sz val="18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4"/>
      <color rgb="FF375623"/>
      <name val="Arial"/>
      <family val="2"/>
    </font>
    <font>
      <b/>
      <sz val="14"/>
      <color rgb="FF1F3864"/>
      <name val="Arial"/>
      <family val="2"/>
    </font>
    <font>
      <b/>
      <sz val="14"/>
      <color rgb="FFC00000"/>
      <name val="Arial"/>
      <family val="2"/>
    </font>
    <font>
      <b/>
      <sz val="9"/>
      <name val="Arial"/>
      <family val="2"/>
    </font>
    <font>
      <b/>
      <sz val="14"/>
      <color rgb="FF1B3A5C"/>
      <name val="Arial"/>
      <family val="2"/>
    </font>
    <font>
      <sz val="11"/>
      <color rgb="FF000000"/>
      <name val="Calibri"/>
      <family val="2"/>
      <charset val="1"/>
    </font>
    <font>
      <sz val="10"/>
      <color rgb="FF1A1A1A"/>
      <name val="Arial"/>
      <family val="2"/>
    </font>
    <font>
      <sz val="11"/>
      <color theme="1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1F5FA6"/>
      </patternFill>
    </fill>
    <fill>
      <patternFill patternType="solid">
        <fgColor rgb="FFF2F2F2"/>
        <bgColor rgb="FFF9F9F9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BDD7EE"/>
        <bgColor rgb="FFCCDDEE"/>
      </patternFill>
    </fill>
    <fill>
      <patternFill patternType="solid">
        <fgColor rgb="FFFFE0E0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7F3F98"/>
        <bgColor rgb="FF595959"/>
      </patternFill>
    </fill>
    <fill>
      <patternFill patternType="solid">
        <fgColor rgb="FF1F7A4E"/>
        <bgColor rgb="FF008080"/>
      </patternFill>
    </fill>
    <fill>
      <patternFill patternType="solid">
        <fgColor rgb="FF1F5FA6"/>
        <bgColor rgb="FF2E75B6"/>
      </patternFill>
    </fill>
    <fill>
      <patternFill patternType="solid">
        <fgColor rgb="FFC00000"/>
        <bgColor rgb="FF800000"/>
      </patternFill>
    </fill>
    <fill>
      <patternFill patternType="solid">
        <fgColor rgb="FF1B3A5C"/>
        <bgColor rgb="FF333333"/>
      </patternFill>
    </fill>
    <fill>
      <patternFill patternType="solid">
        <fgColor rgb="FFF5F5F5"/>
        <bgColor rgb="FFFFFFFF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43" fontId="25" fillId="0" borderId="0" applyFont="0" applyFill="0" applyBorder="0" applyAlignment="0" applyProtection="0"/>
  </cellStyleXfs>
  <cellXfs count="8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0" borderId="0" xfId="0" applyFont="1"/>
    <xf numFmtId="0" fontId="10" fillId="5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0" fillId="3" borderId="0" xfId="0" applyFill="1"/>
    <xf numFmtId="0" fontId="0" fillId="2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16" fillId="2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/>
    </xf>
    <xf numFmtId="4" fontId="17" fillId="4" borderId="1" xfId="0" applyNumberFormat="1" applyFont="1" applyFill="1" applyBorder="1" applyAlignment="1">
      <alignment horizontal="center" vertical="center"/>
    </xf>
    <xf numFmtId="164" fontId="17" fillId="4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center" vertical="center"/>
    </xf>
    <xf numFmtId="4" fontId="17" fillId="6" borderId="1" xfId="0" applyNumberFormat="1" applyFont="1" applyFill="1" applyBorder="1" applyAlignment="1">
      <alignment horizontal="center" vertical="center"/>
    </xf>
    <xf numFmtId="164" fontId="17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4" fontId="0" fillId="0" borderId="0" xfId="0" applyNumberFormat="1"/>
    <xf numFmtId="164" fontId="0" fillId="0" borderId="0" xfId="0" applyNumberFormat="1"/>
    <xf numFmtId="4" fontId="4" fillId="4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4" fontId="8" fillId="7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3" fillId="0" borderId="0" xfId="0" applyFont="1"/>
    <xf numFmtId="0" fontId="24" fillId="15" borderId="6" xfId="0" applyFont="1" applyFill="1" applyBorder="1"/>
    <xf numFmtId="0" fontId="24" fillId="0" borderId="5" xfId="0" applyFont="1" applyBorder="1"/>
    <xf numFmtId="0" fontId="24" fillId="0" borderId="6" xfId="0" applyFont="1" applyBorder="1"/>
    <xf numFmtId="0" fontId="24" fillId="15" borderId="5" xfId="0" applyFont="1" applyFill="1" applyBorder="1"/>
    <xf numFmtId="0" fontId="15" fillId="14" borderId="3" xfId="0" applyFont="1" applyFill="1" applyBorder="1"/>
    <xf numFmtId="0" fontId="15" fillId="14" borderId="4" xfId="0" applyFont="1" applyFill="1" applyBorder="1"/>
    <xf numFmtId="9" fontId="4" fillId="4" borderId="1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left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66" fontId="4" fillId="4" borderId="1" xfId="1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1" fontId="14" fillId="12" borderId="0" xfId="0" applyNumberFormat="1" applyFont="1" applyFill="1" applyAlignment="1">
      <alignment horizontal="center" vertical="center"/>
    </xf>
    <xf numFmtId="1" fontId="14" fillId="13" borderId="0" xfId="0" applyNumberFormat="1" applyFont="1" applyFill="1" applyAlignment="1">
      <alignment horizontal="center" vertical="center"/>
    </xf>
    <xf numFmtId="0" fontId="0" fillId="3" borderId="0" xfId="0" applyFill="1"/>
    <xf numFmtId="0" fontId="0" fillId="2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1" fontId="14" fillId="3" borderId="0" xfId="0" applyNumberFormat="1" applyFont="1" applyFill="1" applyAlignment="1">
      <alignment horizontal="center" vertical="center"/>
    </xf>
    <xf numFmtId="4" fontId="14" fillId="2" borderId="0" xfId="0" applyNumberFormat="1" applyFont="1" applyFill="1" applyAlignment="1">
      <alignment horizontal="center" vertical="center"/>
    </xf>
    <xf numFmtId="164" fontId="14" fillId="9" borderId="0" xfId="0" applyNumberFormat="1" applyFont="1" applyFill="1" applyAlignment="1">
      <alignment horizontal="center" vertical="center"/>
    </xf>
    <xf numFmtId="1" fontId="14" fillId="10" borderId="0" xfId="0" applyNumberFormat="1" applyFont="1" applyFill="1" applyAlignment="1">
      <alignment horizontal="center" vertical="center"/>
    </xf>
    <xf numFmtId="1" fontId="14" fillId="11" borderId="0" xfId="0" applyNumberFormat="1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13" fillId="12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2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E"/>
      <rgbColor rgb="FFBFBFBF"/>
      <rgbColor rgb="FF878787"/>
      <rgbColor rgb="FF9999FF"/>
      <rgbColor rgb="FF7F3F98"/>
      <rgbColor rgb="FFF9F9F9"/>
      <rgbColor rgb="FFF2F2F2"/>
      <rgbColor rgb="FF660066"/>
      <rgbColor rgb="FFFF8080"/>
      <rgbColor rgb="FF1F5FA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DDEE"/>
      <rgbColor rgb="FFE2EFDA"/>
      <rgbColor rgb="FFFFFF99"/>
      <rgbColor rgb="FFD9D9D9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Signed ACV vs Current ACV (₹L)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Dashboard'!$B$20</c:f>
              <c:strCache>
                <c:ptCount val="1"/>
                <c:pt idx="0">
                  <c:v>Signed ACV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Dashboard'!$A$21:$A$25</c:f>
              <c:strCache>
                <c:ptCount val="5"/>
                <c:pt idx="0">
                  <c:v>BITS</c:v>
                </c:pt>
                <c:pt idx="1">
                  <c:v>Pfizer</c:v>
                </c:pt>
                <c:pt idx="2">
                  <c:v>Siemens</c:v>
                </c:pt>
                <c:pt idx="3">
                  <c:v>Vertiv</c:v>
                </c:pt>
                <c:pt idx="4">
                  <c:v>Pidilite</c:v>
                </c:pt>
              </c:strCache>
            </c:strRef>
          </c:cat>
          <c:val>
            <c:numRef>
              <c:f>'Summary Dashboard'!$B$21:$B$25</c:f>
              <c:numCache>
                <c:formatCode>#,##0.00</c:formatCode>
                <c:ptCount val="5"/>
                <c:pt idx="0">
                  <c:v>40</c:v>
                </c:pt>
                <c:pt idx="1">
                  <c:v>170</c:v>
                </c:pt>
                <c:pt idx="2">
                  <c:v>208</c:v>
                </c:pt>
                <c:pt idx="3">
                  <c:v>60</c:v>
                </c:pt>
                <c:pt idx="4">
                  <c:v>102.75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2-4E0B-808B-61700BC3DBF4}"/>
            </c:ext>
          </c:extLst>
        </c:ser>
        <c:ser>
          <c:idx val="1"/>
          <c:order val="1"/>
          <c:tx>
            <c:strRef>
              <c:f>'Summary Dashboard'!$C$20</c:f>
              <c:strCache>
                <c:ptCount val="1"/>
                <c:pt idx="0">
                  <c:v>Current ACV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Dashboard'!$A$21:$A$25</c:f>
              <c:strCache>
                <c:ptCount val="5"/>
                <c:pt idx="0">
                  <c:v>BITS</c:v>
                </c:pt>
                <c:pt idx="1">
                  <c:v>Pfizer</c:v>
                </c:pt>
                <c:pt idx="2">
                  <c:v>Siemens</c:v>
                </c:pt>
                <c:pt idx="3">
                  <c:v>Vertiv</c:v>
                </c:pt>
                <c:pt idx="4">
                  <c:v>Pidilite</c:v>
                </c:pt>
              </c:strCache>
            </c:strRef>
          </c:cat>
          <c:val>
            <c:numRef>
              <c:f>'Summary Dashboard'!$C$21:$C$25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D2-4E0B-808B-61700BC3D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43201"/>
        <c:axId val="25498546"/>
      </c:barChart>
      <c:catAx>
        <c:axId val="160432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498546"/>
        <c:crosses val="autoZero"/>
        <c:auto val="1"/>
        <c:lblAlgn val="ctr"/>
        <c:lblOffset val="100"/>
        <c:noMultiLvlLbl val="0"/>
      </c:catAx>
      <c:valAx>
        <c:axId val="25498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ACV (₹L)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0432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Contribution Margin % by Client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Dashboard'!$F$20</c:f>
              <c:strCache>
                <c:ptCount val="1"/>
                <c:pt idx="0">
                  <c:v>CM%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Dashboard'!$E$21:$E$25</c:f>
              <c:strCache>
                <c:ptCount val="5"/>
                <c:pt idx="0">
                  <c:v>BITS</c:v>
                </c:pt>
                <c:pt idx="1">
                  <c:v>Pfizer</c:v>
                </c:pt>
                <c:pt idx="2">
                  <c:v>Siemens</c:v>
                </c:pt>
                <c:pt idx="3">
                  <c:v>Vertiv</c:v>
                </c:pt>
                <c:pt idx="4">
                  <c:v>Pidilite</c:v>
                </c:pt>
              </c:strCache>
            </c:strRef>
          </c:cat>
          <c:val>
            <c:numRef>
              <c:f>'Summary Dashboard'!$F$21:$F$25</c:f>
              <c:numCache>
                <c:formatCode>0.0%</c:formatCode>
                <c:ptCount val="5"/>
                <c:pt idx="0">
                  <c:v>0</c:v>
                </c:pt>
                <c:pt idx="1">
                  <c:v>0.71650000000000003</c:v>
                </c:pt>
                <c:pt idx="2">
                  <c:v>0</c:v>
                </c:pt>
                <c:pt idx="3">
                  <c:v>0.5628276984270475</c:v>
                </c:pt>
                <c:pt idx="4">
                  <c:v>0.45408616780614408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2-4271-8227-F1FD43E0F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433921"/>
        <c:axId val="46121506"/>
      </c:barChart>
      <c:catAx>
        <c:axId val="694339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121506"/>
        <c:crosses val="autoZero"/>
        <c:auto val="1"/>
        <c:lblAlgn val="ctr"/>
        <c:lblOffset val="100"/>
        <c:noMultiLvlLbl val="0"/>
      </c:catAx>
      <c:valAx>
        <c:axId val="461215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CM%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4339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6</xdr:col>
      <xdr:colOff>347400</xdr:colOff>
      <xdr:row>39</xdr:row>
      <xdr:rowOff>147600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0</xdr:rowOff>
    </xdr:from>
    <xdr:to>
      <xdr:col>13</xdr:col>
      <xdr:colOff>105840</xdr:colOff>
      <xdr:row>39</xdr:row>
      <xdr:rowOff>147600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"/>
  <sheetViews>
    <sheetView showGridLines="0" zoomScaleNormal="100" workbookViewId="0">
      <selection activeCell="F12" sqref="F12"/>
    </sheetView>
  </sheetViews>
  <sheetFormatPr defaultColWidth="8.54296875" defaultRowHeight="14.5" x14ac:dyDescent="0.35"/>
  <cols>
    <col min="1" max="1" width="22" customWidth="1"/>
    <col min="2" max="2" width="10" customWidth="1"/>
    <col min="3" max="3" width="12" customWidth="1"/>
    <col min="4" max="5" width="15" customWidth="1"/>
    <col min="6" max="6" width="13" customWidth="1"/>
    <col min="7" max="7" width="9" customWidth="1"/>
    <col min="8" max="8" width="10.26953125" bestFit="1" customWidth="1"/>
    <col min="9" max="9" width="17.1796875" bestFit="1" customWidth="1"/>
    <col min="10" max="10" width="28" customWidth="1"/>
    <col min="11" max="11" width="10" customWidth="1"/>
    <col min="12" max="12" width="22" customWidth="1"/>
    <col min="13" max="14" width="10" customWidth="1"/>
  </cols>
  <sheetData>
    <row r="1" spans="1:15" ht="36" customHeight="1" x14ac:dyDescent="0.3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 ht="19.5" customHeight="1" x14ac:dyDescent="0.35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4" spans="1:15" ht="21.75" customHeight="1" x14ac:dyDescent="0.35">
      <c r="A4" s="79" t="s">
        <v>2</v>
      </c>
      <c r="B4" s="79"/>
      <c r="C4" s="80" t="s">
        <v>3</v>
      </c>
      <c r="D4" s="80"/>
      <c r="E4" s="81" t="s">
        <v>4</v>
      </c>
      <c r="F4" s="81"/>
      <c r="G4" s="82" t="s">
        <v>5</v>
      </c>
      <c r="H4" s="82"/>
      <c r="I4" s="83" t="s">
        <v>6</v>
      </c>
      <c r="J4" s="83"/>
      <c r="K4" s="84" t="s">
        <v>7</v>
      </c>
      <c r="L4" s="84"/>
      <c r="M4" s="85" t="s">
        <v>8</v>
      </c>
      <c r="N4" s="85"/>
    </row>
    <row r="5" spans="1:15" ht="31.5" customHeight="1" x14ac:dyDescent="0.35">
      <c r="A5" s="74">
        <f>COUNTA('Contract Data'!B4:B8)</f>
        <v>5</v>
      </c>
      <c r="B5" s="74"/>
      <c r="C5" s="75">
        <f>'Contract Data'!G110</f>
        <v>580.75</v>
      </c>
      <c r="D5" s="75"/>
      <c r="E5" s="76">
        <f>'Contract Data'!I8</f>
        <v>0.45408616780614408</v>
      </c>
      <c r="F5" s="76"/>
      <c r="G5" s="77">
        <f>'Contract Data'!J8</f>
        <v>21</v>
      </c>
      <c r="H5" s="77"/>
      <c r="I5" s="78">
        <f>COUNTIF('Contract Data'!H4:H8,"Active")</f>
        <v>3</v>
      </c>
      <c r="J5" s="78"/>
      <c r="K5" s="65">
        <f>COUNTIF('Contract Data'!H4:H8,"Renewed")</f>
        <v>0</v>
      </c>
      <c r="L5" s="65"/>
      <c r="M5" s="66">
        <f>COUNTIF('Contract Data'!H4:H8,"Expired")</f>
        <v>2</v>
      </c>
      <c r="N5" s="66"/>
    </row>
    <row r="6" spans="1:15" ht="7.5" customHeight="1" x14ac:dyDescent="0.35">
      <c r="A6" s="67"/>
      <c r="B6" s="67"/>
      <c r="C6" s="68"/>
      <c r="D6" s="68"/>
      <c r="E6" s="69"/>
      <c r="F6" s="69"/>
      <c r="G6" s="70"/>
      <c r="H6" s="70"/>
      <c r="I6" s="71"/>
      <c r="J6" s="71"/>
      <c r="K6" s="72"/>
      <c r="L6" s="72"/>
      <c r="M6" s="73"/>
      <c r="N6" s="73"/>
    </row>
    <row r="7" spans="1:15" ht="7.5" customHeight="1" x14ac:dyDescent="0.35">
      <c r="A7" s="14"/>
      <c r="B7" s="14"/>
      <c r="C7" s="15"/>
      <c r="D7" s="15"/>
      <c r="E7" s="16"/>
      <c r="F7" s="16"/>
      <c r="G7" s="17"/>
      <c r="H7" s="17"/>
      <c r="I7" s="18"/>
      <c r="J7" s="18"/>
      <c r="K7" s="19"/>
      <c r="L7" s="19"/>
      <c r="M7" s="20"/>
      <c r="N7" s="20"/>
    </row>
    <row r="9" spans="1:15" ht="24" customHeight="1" x14ac:dyDescent="0.35">
      <c r="A9" s="61" t="s">
        <v>9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</row>
    <row r="10" spans="1:15" ht="30" customHeight="1" x14ac:dyDescent="0.35">
      <c r="A10" s="21" t="s">
        <v>10</v>
      </c>
      <c r="B10" s="21" t="s">
        <v>11</v>
      </c>
      <c r="C10" s="21" t="s">
        <v>12</v>
      </c>
      <c r="D10" s="21" t="s">
        <v>3</v>
      </c>
      <c r="E10" s="21" t="s">
        <v>13</v>
      </c>
      <c r="F10" s="21" t="s">
        <v>14</v>
      </c>
      <c r="G10" s="21" t="s">
        <v>15</v>
      </c>
      <c r="H10" s="21" t="s">
        <v>16</v>
      </c>
      <c r="I10" s="21" t="s">
        <v>17</v>
      </c>
    </row>
    <row r="11" spans="1:15" ht="21.75" customHeight="1" x14ac:dyDescent="0.35">
      <c r="A11" s="22" t="str">
        <f>'Contract Data'!B4</f>
        <v>BITS</v>
      </c>
      <c r="B11" s="23" t="str">
        <f>'Contract Data'!H4</f>
        <v>Active</v>
      </c>
      <c r="C11" s="24">
        <f>'Contract Data'!G4</f>
        <v>40</v>
      </c>
      <c r="D11" s="24" t="e">
        <f>'Contract Data'!#REF!</f>
        <v>#REF!</v>
      </c>
      <c r="E11" s="25" t="str">
        <f>'Contract Data'!P4</f>
        <v>No</v>
      </c>
      <c r="F11" s="25">
        <f>'Contract Data'!I4</f>
        <v>0</v>
      </c>
      <c r="G11" s="23">
        <f>'Contract Data'!J4</f>
        <v>0</v>
      </c>
      <c r="H11" s="23">
        <f>'Contract Data'!F4</f>
        <v>46236</v>
      </c>
      <c r="I11" s="22" t="str">
        <f>'Contract Data'!U4</f>
        <v>Renewal in discussion</v>
      </c>
      <c r="L11" s="59" t="s">
        <v>18</v>
      </c>
      <c r="M11" s="59"/>
      <c r="N11" s="59"/>
    </row>
    <row r="12" spans="1:15" ht="27.75" customHeight="1" x14ac:dyDescent="0.35">
      <c r="A12" s="26" t="str">
        <f>'Contract Data'!B5</f>
        <v>Pfizer</v>
      </c>
      <c r="B12" s="27" t="str">
        <f>'Contract Data'!H5</f>
        <v>Active</v>
      </c>
      <c r="C12" s="28">
        <f>'Contract Data'!G5</f>
        <v>170</v>
      </c>
      <c r="D12" s="28" t="e">
        <f>'Contract Data'!#REF!</f>
        <v>#REF!</v>
      </c>
      <c r="E12" s="29" t="str">
        <f>'Contract Data'!P5</f>
        <v>Yes</v>
      </c>
      <c r="F12" s="29">
        <f>'Contract Data'!I5</f>
        <v>0.71650000000000003</v>
      </c>
      <c r="G12" s="27">
        <f>'Contract Data'!J5</f>
        <v>1.4</v>
      </c>
      <c r="H12" s="27">
        <f>'Contract Data'!F5</f>
        <v>46539</v>
      </c>
      <c r="I12" s="26">
        <f>'Contract Data'!U5</f>
        <v>0</v>
      </c>
      <c r="L12" s="30" t="s">
        <v>6</v>
      </c>
      <c r="M12" s="62">
        <f>COUNTIF('Contract Data'!H4:H8,"Active")</f>
        <v>3</v>
      </c>
      <c r="N12" s="62"/>
    </row>
    <row r="13" spans="1:15" ht="27.75" customHeight="1" x14ac:dyDescent="0.35">
      <c r="A13" s="22" t="str">
        <f>'Contract Data'!B6</f>
        <v>Siemens</v>
      </c>
      <c r="B13" s="23" t="str">
        <f>'Contract Data'!H6</f>
        <v>Expired</v>
      </c>
      <c r="C13" s="24">
        <f>'Contract Data'!G6</f>
        <v>208</v>
      </c>
      <c r="D13" s="24" t="e">
        <f>'Contract Data'!#REF!</f>
        <v>#REF!</v>
      </c>
      <c r="E13" s="25" t="str">
        <f>'Contract Data'!P6</f>
        <v>No</v>
      </c>
      <c r="F13" s="25">
        <f>'Contract Data'!I6</f>
        <v>0</v>
      </c>
      <c r="G13" s="23">
        <f>'Contract Data'!J6</f>
        <v>0</v>
      </c>
      <c r="H13" s="23">
        <f>'Contract Data'!F6</f>
        <v>46082</v>
      </c>
      <c r="I13" s="22" t="str">
        <f>'Contract Data'!U6</f>
        <v>Auto-renewed at +8%</v>
      </c>
      <c r="L13" s="31" t="s">
        <v>7</v>
      </c>
      <c r="M13" s="63">
        <f>COUNTIF('Contract Data'!H4:H8,"Renewed")</f>
        <v>0</v>
      </c>
      <c r="N13" s="63"/>
    </row>
    <row r="14" spans="1:15" ht="27.75" customHeight="1" x14ac:dyDescent="0.35">
      <c r="A14" s="26" t="str">
        <f>'Contract Data'!B7</f>
        <v>Vertiv</v>
      </c>
      <c r="B14" s="27" t="str">
        <f>'Contract Data'!H7</f>
        <v>Expired</v>
      </c>
      <c r="C14" s="28">
        <f>'Contract Data'!G7</f>
        <v>60</v>
      </c>
      <c r="D14" s="28" t="e">
        <f>'Contract Data'!#REF!</f>
        <v>#REF!</v>
      </c>
      <c r="E14" s="29" t="str">
        <f>'Contract Data'!P7</f>
        <v>Yes</v>
      </c>
      <c r="F14" s="29">
        <f>'Contract Data'!I7</f>
        <v>0.5628276984270475</v>
      </c>
      <c r="G14" s="27">
        <f>'Contract Data'!J7</f>
        <v>3</v>
      </c>
      <c r="H14" s="27">
        <f>'Contract Data'!F7</f>
        <v>44406</v>
      </c>
      <c r="I14" s="26">
        <f>'Contract Data'!U7</f>
        <v>0</v>
      </c>
      <c r="L14" s="32" t="s">
        <v>8</v>
      </c>
      <c r="M14" s="64">
        <f>COUNTIF('Contract Data'!H4:H8,"Expired")</f>
        <v>2</v>
      </c>
      <c r="N14" s="64"/>
    </row>
    <row r="15" spans="1:15" ht="19.5" customHeight="1" x14ac:dyDescent="0.35">
      <c r="A15" s="22" t="str">
        <f>'Contract Data'!B8</f>
        <v>Pidilite</v>
      </c>
      <c r="B15" s="23" t="str">
        <f>'Contract Data'!H8</f>
        <v>Active</v>
      </c>
      <c r="C15" s="24">
        <f>'Contract Data'!G8</f>
        <v>102.75</v>
      </c>
      <c r="D15" s="24" t="e">
        <f>'Contract Data'!#REF!</f>
        <v>#REF!</v>
      </c>
      <c r="E15" s="25" t="str">
        <f>'Contract Data'!P8</f>
        <v>Yes</v>
      </c>
      <c r="F15" s="25">
        <f>'Contract Data'!I8</f>
        <v>0.45408616780614408</v>
      </c>
      <c r="G15" s="23">
        <f>'Contract Data'!J8</f>
        <v>21</v>
      </c>
      <c r="H15" s="23">
        <f>'Contract Data'!F8</f>
        <v>46439</v>
      </c>
      <c r="I15" s="22" t="str">
        <f>'Contract Data'!U8</f>
        <v>Follow-up required</v>
      </c>
    </row>
    <row r="16" spans="1:15" x14ac:dyDescent="0.35">
      <c r="L16" s="59" t="s">
        <v>19</v>
      </c>
      <c r="M16" s="59"/>
      <c r="N16" s="59"/>
    </row>
    <row r="17" spans="1:14" ht="19.5" customHeight="1" x14ac:dyDescent="0.35">
      <c r="L17" s="22" t="str">
        <f>'Contract Data'!B4</f>
        <v>BITS</v>
      </c>
      <c r="M17" s="58">
        <f>'Contract Data'!J4</f>
        <v>0</v>
      </c>
      <c r="N17" s="58"/>
    </row>
    <row r="18" spans="1:14" ht="19.5" customHeight="1" x14ac:dyDescent="0.35">
      <c r="L18" s="26" t="str">
        <f>'Contract Data'!B5</f>
        <v>Pfizer</v>
      </c>
      <c r="M18" s="60">
        <f>'Contract Data'!J5</f>
        <v>1.4</v>
      </c>
      <c r="N18" s="60"/>
    </row>
    <row r="19" spans="1:14" ht="19.5" customHeight="1" x14ac:dyDescent="0.35">
      <c r="L19" s="22" t="str">
        <f>'Contract Data'!B6</f>
        <v>Siemens</v>
      </c>
      <c r="M19" s="58">
        <f>'Contract Data'!J6</f>
        <v>0</v>
      </c>
      <c r="N19" s="58"/>
    </row>
    <row r="20" spans="1:14" ht="19.5" customHeight="1" x14ac:dyDescent="0.35">
      <c r="A20" t="s">
        <v>10</v>
      </c>
      <c r="B20" t="s">
        <v>20</v>
      </c>
      <c r="C20" t="s">
        <v>21</v>
      </c>
      <c r="E20" t="s">
        <v>10</v>
      </c>
      <c r="F20" t="s">
        <v>14</v>
      </c>
      <c r="L20" s="26" t="str">
        <f>'Contract Data'!B7</f>
        <v>Vertiv</v>
      </c>
      <c r="M20" s="60">
        <f>'Contract Data'!J7</f>
        <v>3</v>
      </c>
      <c r="N20" s="60"/>
    </row>
    <row r="21" spans="1:14" ht="19.5" customHeight="1" x14ac:dyDescent="0.35">
      <c r="A21" t="str">
        <f>'Contract Data'!B4</f>
        <v>BITS</v>
      </c>
      <c r="B21" s="33">
        <f>'Contract Data'!G4</f>
        <v>40</v>
      </c>
      <c r="C21" s="33" t="e">
        <f>'Contract Data'!#REF!</f>
        <v>#REF!</v>
      </c>
      <c r="E21" t="str">
        <f>'Contract Data'!B4</f>
        <v>BITS</v>
      </c>
      <c r="F21" s="34">
        <f>'Contract Data'!I4</f>
        <v>0</v>
      </c>
      <c r="L21" s="22" t="str">
        <f>'Contract Data'!B8</f>
        <v>Pidilite</v>
      </c>
      <c r="M21" s="58">
        <f>'Contract Data'!J8</f>
        <v>21</v>
      </c>
      <c r="N21" s="58"/>
    </row>
    <row r="22" spans="1:14" x14ac:dyDescent="0.35">
      <c r="A22" t="str">
        <f>'Contract Data'!B5</f>
        <v>Pfizer</v>
      </c>
      <c r="B22" s="33">
        <f>'Contract Data'!G5</f>
        <v>170</v>
      </c>
      <c r="C22" s="33" t="e">
        <f>'Contract Data'!#REF!</f>
        <v>#REF!</v>
      </c>
      <c r="E22" t="str">
        <f>'Contract Data'!B5</f>
        <v>Pfizer</v>
      </c>
      <c r="F22" s="34">
        <f>'Contract Data'!I5</f>
        <v>0.71650000000000003</v>
      </c>
    </row>
    <row r="23" spans="1:14" x14ac:dyDescent="0.35">
      <c r="A23" t="str">
        <f>'Contract Data'!B6</f>
        <v>Siemens</v>
      </c>
      <c r="B23" s="33">
        <f>'Contract Data'!G6</f>
        <v>208</v>
      </c>
      <c r="C23" s="33" t="e">
        <f>'Contract Data'!#REF!</f>
        <v>#REF!</v>
      </c>
      <c r="E23" t="str">
        <f>'Contract Data'!B6</f>
        <v>Siemens</v>
      </c>
      <c r="F23" s="34">
        <f>'Contract Data'!I6</f>
        <v>0</v>
      </c>
    </row>
    <row r="24" spans="1:14" x14ac:dyDescent="0.35">
      <c r="A24" t="str">
        <f>'Contract Data'!B7</f>
        <v>Vertiv</v>
      </c>
      <c r="B24" s="33">
        <f>'Contract Data'!G7</f>
        <v>60</v>
      </c>
      <c r="C24" s="33" t="e">
        <f>'Contract Data'!#REF!</f>
        <v>#REF!</v>
      </c>
      <c r="E24" t="str">
        <f>'Contract Data'!B7</f>
        <v>Vertiv</v>
      </c>
      <c r="F24" s="34">
        <f>'Contract Data'!I7</f>
        <v>0.5628276984270475</v>
      </c>
    </row>
    <row r="25" spans="1:14" x14ac:dyDescent="0.35">
      <c r="A25" t="str">
        <f>'Contract Data'!B8</f>
        <v>Pidilite</v>
      </c>
      <c r="B25" s="33">
        <f>'Contract Data'!G8</f>
        <v>102.75</v>
      </c>
      <c r="C25" s="33" t="e">
        <f>'Contract Data'!#REF!</f>
        <v>#REF!</v>
      </c>
      <c r="E25" t="str">
        <f>'Contract Data'!B8</f>
        <v>Pidilite</v>
      </c>
      <c r="F25" s="34">
        <f>'Contract Data'!I8</f>
        <v>0.45408616780614408</v>
      </c>
    </row>
  </sheetData>
  <mergeCells count="34">
    <mergeCell ref="A1:O1"/>
    <mergeCell ref="A2:O2"/>
    <mergeCell ref="A4:B4"/>
    <mergeCell ref="C4:D4"/>
    <mergeCell ref="E4:F4"/>
    <mergeCell ref="G4:H4"/>
    <mergeCell ref="I4:J4"/>
    <mergeCell ref="K4:L4"/>
    <mergeCell ref="M4:N4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5:B5"/>
    <mergeCell ref="C5:D5"/>
    <mergeCell ref="E5:F5"/>
    <mergeCell ref="G5:H5"/>
    <mergeCell ref="I5:J5"/>
    <mergeCell ref="A9:N9"/>
    <mergeCell ref="L11:N11"/>
    <mergeCell ref="M12:N12"/>
    <mergeCell ref="M13:N13"/>
    <mergeCell ref="M14:N14"/>
    <mergeCell ref="M21:N21"/>
    <mergeCell ref="L16:N16"/>
    <mergeCell ref="M17:N17"/>
    <mergeCell ref="M18:N18"/>
    <mergeCell ref="M19:N19"/>
    <mergeCell ref="M20:N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0"/>
  <sheetViews>
    <sheetView showGridLines="0" tabSelected="1" zoomScaleNormal="100" workbookViewId="0">
      <pane ySplit="3" topLeftCell="A4" activePane="bottomLeft" state="frozen"/>
      <selection pane="bottomLeft" activeCell="D3" sqref="D3"/>
    </sheetView>
  </sheetViews>
  <sheetFormatPr defaultColWidth="8.54296875" defaultRowHeight="14.5" x14ac:dyDescent="0.35"/>
  <cols>
    <col min="1" max="1" width="4" customWidth="1"/>
    <col min="2" max="2" width="33.7265625" customWidth="1"/>
    <col min="3" max="3" width="25.90625" customWidth="1"/>
    <col min="4" max="4" width="16.1796875" customWidth="1"/>
    <col min="5" max="5" width="17.90625" customWidth="1"/>
    <col min="6" max="7" width="19.81640625" customWidth="1"/>
    <col min="8" max="9" width="15" customWidth="1"/>
    <col min="10" max="10" width="12" customWidth="1"/>
    <col min="11" max="11" width="14.81640625" customWidth="1"/>
    <col min="12" max="12" width="19.453125" customWidth="1"/>
    <col min="13" max="13" width="15" customWidth="1"/>
    <col min="14" max="14" width="12.6328125" customWidth="1"/>
    <col min="15" max="15" width="13.1796875" customWidth="1"/>
    <col min="16" max="16" width="19.54296875" customWidth="1"/>
    <col min="17" max="17" width="22.7265625" customWidth="1"/>
    <col min="18" max="18" width="18" customWidth="1"/>
    <col min="19" max="19" width="13" customWidth="1"/>
    <col min="20" max="20" width="20.1796875" bestFit="1" customWidth="1"/>
    <col min="21" max="21" width="30" customWidth="1"/>
  </cols>
  <sheetData>
    <row r="1" spans="1:24" ht="36" customHeight="1" x14ac:dyDescent="0.35">
      <c r="A1" s="55" t="s">
        <v>22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</row>
    <row r="2" spans="1:24" ht="19.5" customHeight="1" x14ac:dyDescent="0.35">
      <c r="A2" s="56" t="s">
        <v>23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spans="1:24" ht="36" customHeight="1" x14ac:dyDescent="0.35">
      <c r="A3" s="1" t="s">
        <v>24</v>
      </c>
      <c r="B3" s="1" t="s">
        <v>10</v>
      </c>
      <c r="C3" s="1" t="s">
        <v>25</v>
      </c>
      <c r="D3" s="1" t="s">
        <v>62</v>
      </c>
      <c r="E3" s="1" t="s">
        <v>26</v>
      </c>
      <c r="F3" s="1" t="s">
        <v>16</v>
      </c>
      <c r="G3" s="1" t="s">
        <v>12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39</v>
      </c>
      <c r="U3" s="1" t="s">
        <v>17</v>
      </c>
    </row>
    <row r="4" spans="1:24" ht="21.75" customHeight="1" x14ac:dyDescent="0.35">
      <c r="A4" s="2">
        <v>1</v>
      </c>
      <c r="B4" s="2" t="s">
        <v>90</v>
      </c>
      <c r="C4" s="2" t="s">
        <v>53</v>
      </c>
      <c r="D4" s="2"/>
      <c r="E4" s="52">
        <v>42584</v>
      </c>
      <c r="F4" s="52">
        <v>46236</v>
      </c>
      <c r="G4" s="53">
        <v>40</v>
      </c>
      <c r="H4" s="3" t="s">
        <v>6</v>
      </c>
      <c r="I4" s="4"/>
      <c r="J4" s="2"/>
      <c r="K4" s="2"/>
      <c r="L4" s="47"/>
      <c r="M4" s="47"/>
      <c r="N4" s="2"/>
      <c r="O4" s="2"/>
      <c r="P4" s="5" t="s">
        <v>45</v>
      </c>
      <c r="Q4" s="5" t="s">
        <v>45</v>
      </c>
      <c r="R4" s="5"/>
      <c r="S4" s="5"/>
      <c r="T4" s="5" t="s">
        <v>42</v>
      </c>
      <c r="U4" s="2" t="s">
        <v>43</v>
      </c>
      <c r="X4" t="s">
        <v>44</v>
      </c>
    </row>
    <row r="5" spans="1:24" ht="29.5" customHeight="1" x14ac:dyDescent="0.35">
      <c r="A5" s="6">
        <v>2</v>
      </c>
      <c r="B5" s="6" t="s">
        <v>91</v>
      </c>
      <c r="C5" s="2" t="s">
        <v>53</v>
      </c>
      <c r="D5" s="2"/>
      <c r="E5" s="52">
        <v>43286</v>
      </c>
      <c r="F5" s="52">
        <v>46539</v>
      </c>
      <c r="G5" s="53">
        <v>170</v>
      </c>
      <c r="H5" s="3" t="s">
        <v>6</v>
      </c>
      <c r="I5" s="4">
        <v>0.71650000000000003</v>
      </c>
      <c r="J5" s="2">
        <v>1.4</v>
      </c>
      <c r="K5" s="2">
        <v>80</v>
      </c>
      <c r="L5" s="47">
        <v>1</v>
      </c>
      <c r="M5" s="47">
        <v>0</v>
      </c>
      <c r="N5" s="2"/>
      <c r="O5" s="54">
        <v>163681.97139999998</v>
      </c>
      <c r="P5" s="7" t="s">
        <v>41</v>
      </c>
      <c r="Q5" s="7" t="s">
        <v>41</v>
      </c>
      <c r="R5" s="7"/>
      <c r="S5" s="7"/>
      <c r="T5" s="5" t="s">
        <v>42</v>
      </c>
      <c r="U5" s="6"/>
      <c r="X5" t="s">
        <v>46</v>
      </c>
    </row>
    <row r="6" spans="1:24" ht="21.75" customHeight="1" x14ac:dyDescent="0.35">
      <c r="A6" s="2">
        <v>3</v>
      </c>
      <c r="B6" s="2" t="s">
        <v>92</v>
      </c>
      <c r="C6" s="2" t="s">
        <v>53</v>
      </c>
      <c r="D6" s="2"/>
      <c r="E6" s="52">
        <v>44287</v>
      </c>
      <c r="F6" s="52">
        <v>46082</v>
      </c>
      <c r="G6" s="53">
        <v>208</v>
      </c>
      <c r="H6" s="3" t="s">
        <v>8</v>
      </c>
      <c r="I6" s="4"/>
      <c r="J6" s="2"/>
      <c r="K6" s="2"/>
      <c r="L6" s="47"/>
      <c r="M6" s="47"/>
      <c r="N6" s="2"/>
      <c r="O6" s="2"/>
      <c r="P6" s="5" t="s">
        <v>45</v>
      </c>
      <c r="Q6" s="5" t="s">
        <v>45</v>
      </c>
      <c r="R6" s="5"/>
      <c r="S6" s="5"/>
      <c r="T6" s="5" t="s">
        <v>42</v>
      </c>
      <c r="U6" s="2" t="s">
        <v>47</v>
      </c>
    </row>
    <row r="7" spans="1:24" ht="21.75" customHeight="1" x14ac:dyDescent="0.35">
      <c r="A7" s="6">
        <v>4</v>
      </c>
      <c r="B7" s="6" t="s">
        <v>93</v>
      </c>
      <c r="C7" s="2" t="s">
        <v>53</v>
      </c>
      <c r="D7" s="2"/>
      <c r="E7" s="52">
        <v>44405</v>
      </c>
      <c r="F7" s="52">
        <v>44406</v>
      </c>
      <c r="G7" s="53">
        <v>60</v>
      </c>
      <c r="H7" s="3" t="s">
        <v>8</v>
      </c>
      <c r="I7" s="4">
        <v>0.5628276984270475</v>
      </c>
      <c r="J7" s="2">
        <v>3</v>
      </c>
      <c r="K7" s="2">
        <v>80</v>
      </c>
      <c r="L7" s="47">
        <v>1</v>
      </c>
      <c r="M7" s="47">
        <v>0</v>
      </c>
      <c r="N7" s="2"/>
      <c r="O7" s="54">
        <v>69137.5</v>
      </c>
      <c r="P7" s="7" t="s">
        <v>41</v>
      </c>
      <c r="Q7" s="7" t="s">
        <v>41</v>
      </c>
      <c r="R7" s="7"/>
      <c r="S7" s="7"/>
      <c r="T7" s="5" t="s">
        <v>42</v>
      </c>
      <c r="U7" s="6"/>
    </row>
    <row r="8" spans="1:24" ht="21.75" customHeight="1" x14ac:dyDescent="0.35">
      <c r="A8" s="2">
        <v>5</v>
      </c>
      <c r="B8" s="2" t="s">
        <v>94</v>
      </c>
      <c r="C8" s="2" t="s">
        <v>53</v>
      </c>
      <c r="D8" s="2"/>
      <c r="E8" s="52">
        <v>44409</v>
      </c>
      <c r="F8" s="52">
        <v>46439</v>
      </c>
      <c r="G8" s="53">
        <v>102.75</v>
      </c>
      <c r="H8" s="3" t="s">
        <v>6</v>
      </c>
      <c r="I8" s="4">
        <v>0.45408616780614408</v>
      </c>
      <c r="J8" s="2">
        <v>21</v>
      </c>
      <c r="K8" s="2">
        <v>1550</v>
      </c>
      <c r="L8" s="47">
        <v>0.8</v>
      </c>
      <c r="M8" s="47">
        <v>0.1</v>
      </c>
      <c r="N8" s="2"/>
      <c r="O8" s="54">
        <v>22109.125483870968</v>
      </c>
      <c r="P8" s="5" t="s">
        <v>41</v>
      </c>
      <c r="Q8" s="5" t="s">
        <v>45</v>
      </c>
      <c r="R8" s="5"/>
      <c r="S8" s="5"/>
      <c r="T8" s="5" t="s">
        <v>42</v>
      </c>
      <c r="U8" s="2" t="s">
        <v>50</v>
      </c>
    </row>
    <row r="9" spans="1:24" ht="21.75" customHeight="1" x14ac:dyDescent="0.35">
      <c r="A9" s="2">
        <v>6</v>
      </c>
      <c r="B9" s="48" t="s">
        <v>95</v>
      </c>
      <c r="C9" s="2" t="s">
        <v>53</v>
      </c>
      <c r="D9" s="2"/>
      <c r="E9" s="52">
        <v>44574</v>
      </c>
      <c r="F9" s="52">
        <v>46399</v>
      </c>
      <c r="G9" s="53">
        <v>220.8</v>
      </c>
      <c r="H9" s="3" t="s">
        <v>6</v>
      </c>
      <c r="I9" s="4">
        <v>0.66954189278884779</v>
      </c>
      <c r="J9" s="2">
        <v>8.5</v>
      </c>
      <c r="K9" s="2">
        <v>352</v>
      </c>
      <c r="L9" s="47">
        <v>0.85</v>
      </c>
      <c r="M9" s="47">
        <v>0.15</v>
      </c>
      <c r="N9" s="2"/>
      <c r="O9" s="54">
        <v>64744.831730769227</v>
      </c>
      <c r="P9" s="5" t="s">
        <v>45</v>
      </c>
      <c r="Q9" s="5" t="s">
        <v>45</v>
      </c>
      <c r="R9" s="5"/>
      <c r="S9" s="5"/>
      <c r="T9" s="5"/>
      <c r="U9" s="2"/>
    </row>
    <row r="10" spans="1:24" ht="21.75" customHeight="1" x14ac:dyDescent="0.35">
      <c r="A10" s="6">
        <v>7</v>
      </c>
      <c r="B10" s="48" t="s">
        <v>96</v>
      </c>
      <c r="C10" s="2" t="s">
        <v>53</v>
      </c>
      <c r="D10" s="2"/>
      <c r="E10" s="52">
        <v>44599</v>
      </c>
      <c r="F10" s="52">
        <v>48251</v>
      </c>
      <c r="G10" s="53">
        <v>200</v>
      </c>
      <c r="H10" s="3" t="s">
        <v>6</v>
      </c>
      <c r="I10" s="4">
        <v>0.52</v>
      </c>
      <c r="J10" s="2">
        <v>14.1</v>
      </c>
      <c r="K10" s="2">
        <v>872</v>
      </c>
      <c r="L10" s="47">
        <v>0.95</v>
      </c>
      <c r="M10" s="47">
        <v>0.05</v>
      </c>
      <c r="N10" s="2"/>
      <c r="O10" s="54">
        <v>22072.133027522937</v>
      </c>
      <c r="P10" s="5" t="s">
        <v>41</v>
      </c>
      <c r="Q10" s="5" t="s">
        <v>45</v>
      </c>
      <c r="R10" s="5"/>
      <c r="S10" s="5"/>
      <c r="T10" s="5"/>
      <c r="U10" s="2"/>
    </row>
    <row r="11" spans="1:24" ht="21.75" customHeight="1" x14ac:dyDescent="0.35">
      <c r="A11" s="2">
        <v>8</v>
      </c>
      <c r="B11" s="48" t="s">
        <v>97</v>
      </c>
      <c r="C11" s="2" t="s">
        <v>53</v>
      </c>
      <c r="D11" s="2"/>
      <c r="E11" s="52">
        <v>44601</v>
      </c>
      <c r="F11" s="52">
        <v>45689</v>
      </c>
      <c r="G11" s="53">
        <v>584</v>
      </c>
      <c r="H11" s="3" t="s">
        <v>8</v>
      </c>
      <c r="I11" s="4">
        <v>0.84</v>
      </c>
      <c r="J11" s="2">
        <v>15.5</v>
      </c>
      <c r="K11" s="2">
        <v>500</v>
      </c>
      <c r="L11" s="47">
        <v>0.9</v>
      </c>
      <c r="M11" s="47">
        <v>0.1</v>
      </c>
      <c r="N11" s="2"/>
      <c r="O11" s="54">
        <v>146025</v>
      </c>
      <c r="P11" s="5" t="s">
        <v>45</v>
      </c>
      <c r="Q11" s="5" t="s">
        <v>45</v>
      </c>
      <c r="R11" s="5"/>
      <c r="S11" s="5"/>
      <c r="T11" s="5"/>
      <c r="U11" s="2"/>
    </row>
    <row r="12" spans="1:24" ht="21.75" customHeight="1" x14ac:dyDescent="0.35">
      <c r="A12" s="6">
        <v>9</v>
      </c>
      <c r="B12" s="48" t="s">
        <v>40</v>
      </c>
      <c r="C12" s="2" t="s">
        <v>53</v>
      </c>
      <c r="D12" s="2"/>
      <c r="E12" s="52">
        <v>44629</v>
      </c>
      <c r="F12" s="52">
        <v>46447</v>
      </c>
      <c r="G12" s="53">
        <v>304</v>
      </c>
      <c r="H12" s="3" t="s">
        <v>6</v>
      </c>
      <c r="I12" s="4"/>
      <c r="J12" s="2"/>
      <c r="K12" s="2"/>
      <c r="L12" s="47"/>
      <c r="M12" s="47"/>
      <c r="N12" s="2"/>
      <c r="O12" s="2"/>
      <c r="P12" s="5" t="s">
        <v>45</v>
      </c>
      <c r="Q12" s="5" t="s">
        <v>45</v>
      </c>
      <c r="R12" s="5"/>
      <c r="S12" s="5"/>
      <c r="T12" s="5"/>
      <c r="U12" s="2"/>
    </row>
    <row r="13" spans="1:24" ht="21.75" customHeight="1" x14ac:dyDescent="0.35">
      <c r="A13" s="2">
        <v>10</v>
      </c>
      <c r="B13" s="48" t="s">
        <v>98</v>
      </c>
      <c r="C13" s="2" t="s">
        <v>53</v>
      </c>
      <c r="D13" s="2"/>
      <c r="E13" s="52">
        <v>44645</v>
      </c>
      <c r="F13" s="52">
        <v>46104</v>
      </c>
      <c r="G13" s="53">
        <v>128</v>
      </c>
      <c r="H13" s="3" t="s">
        <v>8</v>
      </c>
      <c r="I13" s="4">
        <v>0.74</v>
      </c>
      <c r="J13" s="2">
        <v>4.2</v>
      </c>
      <c r="K13" s="2">
        <v>112</v>
      </c>
      <c r="L13" s="47">
        <v>0.95</v>
      </c>
      <c r="M13" s="47">
        <v>0.05</v>
      </c>
      <c r="N13" s="2"/>
      <c r="O13" s="54">
        <v>141214.28571428571</v>
      </c>
      <c r="P13" s="5" t="s">
        <v>45</v>
      </c>
      <c r="Q13" s="5" t="s">
        <v>45</v>
      </c>
      <c r="R13" s="5"/>
      <c r="S13" s="5"/>
      <c r="T13" s="5"/>
      <c r="U13" s="2"/>
    </row>
    <row r="14" spans="1:24" ht="21.75" customHeight="1" x14ac:dyDescent="0.35">
      <c r="A14" s="2">
        <v>11</v>
      </c>
      <c r="B14" s="48" t="s">
        <v>49</v>
      </c>
      <c r="C14" s="2" t="s">
        <v>53</v>
      </c>
      <c r="D14" s="2"/>
      <c r="E14" s="52">
        <v>44655</v>
      </c>
      <c r="F14" s="52">
        <v>46327</v>
      </c>
      <c r="G14" s="53">
        <v>1600</v>
      </c>
      <c r="H14" s="3" t="s">
        <v>6</v>
      </c>
      <c r="I14" s="4"/>
      <c r="J14" s="2"/>
      <c r="K14" s="2"/>
      <c r="L14" s="47"/>
      <c r="M14" s="47"/>
      <c r="N14" s="2"/>
      <c r="O14" s="2"/>
      <c r="P14" s="5" t="s">
        <v>41</v>
      </c>
      <c r="Q14" s="5" t="s">
        <v>41</v>
      </c>
      <c r="R14" s="5"/>
      <c r="S14" s="5"/>
      <c r="T14" s="5"/>
      <c r="U14" s="2"/>
    </row>
    <row r="15" spans="1:24" ht="21.75" customHeight="1" x14ac:dyDescent="0.35">
      <c r="A15" s="6">
        <v>12</v>
      </c>
      <c r="B15" s="48" t="s">
        <v>99</v>
      </c>
      <c r="C15" s="2" t="s">
        <v>53</v>
      </c>
      <c r="D15" s="2"/>
      <c r="E15" s="52">
        <v>44736</v>
      </c>
      <c r="F15" s="52">
        <v>46296</v>
      </c>
      <c r="G15" s="53">
        <v>200</v>
      </c>
      <c r="H15" s="3" t="s">
        <v>6</v>
      </c>
      <c r="I15" s="4">
        <v>0.7</v>
      </c>
      <c r="J15" s="2">
        <v>6.1</v>
      </c>
      <c r="K15" s="2">
        <v>220</v>
      </c>
      <c r="L15" s="47">
        <v>1</v>
      </c>
      <c r="M15" s="47">
        <v>0</v>
      </c>
      <c r="N15" s="2"/>
      <c r="O15" s="54">
        <v>115600</v>
      </c>
      <c r="P15" s="5" t="s">
        <v>45</v>
      </c>
      <c r="Q15" s="5" t="s">
        <v>45</v>
      </c>
      <c r="R15" s="5"/>
      <c r="S15" s="5"/>
      <c r="T15" s="5"/>
      <c r="U15" s="2"/>
    </row>
    <row r="16" spans="1:24" ht="21.75" customHeight="1" x14ac:dyDescent="0.35">
      <c r="A16" s="2">
        <v>13</v>
      </c>
      <c r="B16" s="48" t="s">
        <v>100</v>
      </c>
      <c r="C16" s="2" t="s">
        <v>53</v>
      </c>
      <c r="D16" s="2"/>
      <c r="E16" s="52">
        <v>44840</v>
      </c>
      <c r="F16" s="52">
        <v>46296</v>
      </c>
      <c r="G16" s="53">
        <v>270</v>
      </c>
      <c r="H16" s="3" t="s">
        <v>6</v>
      </c>
      <c r="I16" s="4"/>
      <c r="J16" s="2"/>
      <c r="K16" s="2"/>
      <c r="L16" s="47"/>
      <c r="M16" s="47"/>
      <c r="N16" s="2"/>
      <c r="O16" s="2"/>
      <c r="P16" s="5" t="s">
        <v>41</v>
      </c>
      <c r="Q16" s="5" t="s">
        <v>41</v>
      </c>
      <c r="R16" s="5"/>
      <c r="S16" s="5"/>
      <c r="T16" s="5"/>
      <c r="U16" s="2"/>
    </row>
    <row r="17" spans="1:21" ht="21.75" customHeight="1" x14ac:dyDescent="0.35">
      <c r="A17" s="6">
        <v>14</v>
      </c>
      <c r="B17" s="48" t="s">
        <v>101</v>
      </c>
      <c r="C17" s="2" t="s">
        <v>53</v>
      </c>
      <c r="D17" s="2"/>
      <c r="E17" s="52">
        <v>44866</v>
      </c>
      <c r="F17" s="52">
        <v>46054</v>
      </c>
      <c r="G17" s="53">
        <v>184</v>
      </c>
      <c r="H17" s="3" t="s">
        <v>8</v>
      </c>
      <c r="I17" s="4">
        <v>0.45100000000000001</v>
      </c>
      <c r="J17" s="2">
        <v>15.1</v>
      </c>
      <c r="K17" s="2">
        <v>410</v>
      </c>
      <c r="L17" s="47">
        <v>1</v>
      </c>
      <c r="M17" s="47">
        <v>0</v>
      </c>
      <c r="N17" s="2"/>
      <c r="O17" s="54">
        <v>90965.712878048784</v>
      </c>
      <c r="P17" s="5" t="s">
        <v>45</v>
      </c>
      <c r="Q17" s="5" t="s">
        <v>45</v>
      </c>
      <c r="R17" s="5"/>
      <c r="S17" s="5"/>
      <c r="T17" s="5"/>
      <c r="U17" s="2"/>
    </row>
    <row r="18" spans="1:21" ht="21.75" customHeight="1" x14ac:dyDescent="0.35">
      <c r="A18" s="2">
        <v>15</v>
      </c>
      <c r="B18" s="48" t="s">
        <v>102</v>
      </c>
      <c r="C18" s="2" t="s">
        <v>53</v>
      </c>
      <c r="D18" s="2"/>
      <c r="E18" s="52">
        <v>44965</v>
      </c>
      <c r="F18" s="52">
        <v>46061</v>
      </c>
      <c r="G18" s="53">
        <v>96</v>
      </c>
      <c r="H18" s="3" t="s">
        <v>8</v>
      </c>
      <c r="I18" s="4">
        <v>0.62</v>
      </c>
      <c r="J18" s="2">
        <v>5.0999999999999996</v>
      </c>
      <c r="K18" s="2">
        <v>120</v>
      </c>
      <c r="L18" s="47">
        <v>0.8</v>
      </c>
      <c r="M18" s="47">
        <v>0.2</v>
      </c>
      <c r="N18" s="2"/>
      <c r="O18" s="54">
        <v>106166.8253968254</v>
      </c>
      <c r="P18" s="5" t="s">
        <v>45</v>
      </c>
      <c r="Q18" s="5" t="s">
        <v>45</v>
      </c>
      <c r="R18" s="5"/>
      <c r="S18" s="5"/>
      <c r="T18" s="5"/>
      <c r="U18" s="2"/>
    </row>
    <row r="19" spans="1:21" ht="21.75" customHeight="1" x14ac:dyDescent="0.35">
      <c r="A19" s="2">
        <v>16</v>
      </c>
      <c r="B19" s="48" t="s">
        <v>48</v>
      </c>
      <c r="C19" s="2" t="s">
        <v>53</v>
      </c>
      <c r="D19" s="2"/>
      <c r="E19" s="52">
        <v>45017</v>
      </c>
      <c r="F19" s="52">
        <v>47939</v>
      </c>
      <c r="G19" s="53">
        <v>1570</v>
      </c>
      <c r="H19" s="3" t="s">
        <v>6</v>
      </c>
      <c r="I19" s="4"/>
      <c r="J19" s="2"/>
      <c r="K19" s="2"/>
      <c r="L19" s="47"/>
      <c r="M19" s="47"/>
      <c r="N19" s="2"/>
      <c r="O19" s="2"/>
      <c r="P19" s="5" t="s">
        <v>41</v>
      </c>
      <c r="Q19" s="5" t="s">
        <v>45</v>
      </c>
      <c r="R19" s="5"/>
      <c r="S19" s="5"/>
      <c r="T19" s="5"/>
      <c r="U19" s="2"/>
    </row>
    <row r="20" spans="1:21" ht="21.75" customHeight="1" x14ac:dyDescent="0.35">
      <c r="A20" s="6">
        <v>17</v>
      </c>
      <c r="B20" s="48" t="s">
        <v>103</v>
      </c>
      <c r="C20" s="2" t="s">
        <v>53</v>
      </c>
      <c r="D20" s="2"/>
      <c r="E20" s="52">
        <v>45017</v>
      </c>
      <c r="F20" s="52">
        <v>46419</v>
      </c>
      <c r="G20" s="53">
        <v>800</v>
      </c>
      <c r="H20" s="3" t="s">
        <v>6</v>
      </c>
      <c r="I20" s="4">
        <v>0.68520000000000003</v>
      </c>
      <c r="J20" s="2">
        <v>23.5</v>
      </c>
      <c r="K20" s="2">
        <v>800</v>
      </c>
      <c r="L20" s="47">
        <v>0.75</v>
      </c>
      <c r="M20" s="47">
        <v>0.25</v>
      </c>
      <c r="N20" s="2"/>
      <c r="O20" s="54">
        <v>114198.49072</v>
      </c>
      <c r="P20" s="5" t="s">
        <v>45</v>
      </c>
      <c r="Q20" s="5" t="s">
        <v>45</v>
      </c>
      <c r="R20" s="5"/>
      <c r="S20" s="5"/>
      <c r="T20" s="5"/>
      <c r="U20" s="2"/>
    </row>
    <row r="21" spans="1:21" ht="21.75" customHeight="1" x14ac:dyDescent="0.35">
      <c r="A21" s="2">
        <v>18</v>
      </c>
      <c r="B21" s="48" t="s">
        <v>104</v>
      </c>
      <c r="C21" s="2" t="s">
        <v>53</v>
      </c>
      <c r="D21" s="2"/>
      <c r="E21" s="52">
        <v>45022</v>
      </c>
      <c r="F21" s="52">
        <v>45751</v>
      </c>
      <c r="G21" s="53">
        <v>672</v>
      </c>
      <c r="H21" s="3" t="s">
        <v>6</v>
      </c>
      <c r="I21" s="4">
        <v>0.79</v>
      </c>
      <c r="J21" s="2">
        <v>2</v>
      </c>
      <c r="K21" s="2">
        <v>219</v>
      </c>
      <c r="L21" s="47">
        <v>1</v>
      </c>
      <c r="M21" s="47">
        <v>0</v>
      </c>
      <c r="N21" s="2"/>
      <c r="O21" s="54">
        <v>14691.780821917808</v>
      </c>
      <c r="P21" s="5" t="s">
        <v>41</v>
      </c>
      <c r="Q21" s="5" t="s">
        <v>45</v>
      </c>
      <c r="R21" s="5"/>
      <c r="S21" s="5"/>
      <c r="T21" s="5"/>
      <c r="U21" s="2"/>
    </row>
    <row r="22" spans="1:21" ht="21.75" customHeight="1" x14ac:dyDescent="0.35">
      <c r="A22" s="6">
        <v>19</v>
      </c>
      <c r="B22" s="48" t="s">
        <v>105</v>
      </c>
      <c r="C22" s="2" t="s">
        <v>53</v>
      </c>
      <c r="D22" s="2"/>
      <c r="E22" s="52">
        <v>45063</v>
      </c>
      <c r="F22" s="52">
        <v>45793</v>
      </c>
      <c r="G22" s="53">
        <v>181</v>
      </c>
      <c r="H22" s="3" t="s">
        <v>6</v>
      </c>
      <c r="I22" s="4">
        <v>0.73</v>
      </c>
      <c r="J22" s="2">
        <v>10.1</v>
      </c>
      <c r="K22" s="2">
        <v>525</v>
      </c>
      <c r="L22" s="47">
        <v>1</v>
      </c>
      <c r="M22" s="47">
        <v>0</v>
      </c>
      <c r="N22" s="2"/>
      <c r="O22" s="54">
        <v>57074.554054054053</v>
      </c>
      <c r="P22" s="5" t="s">
        <v>45</v>
      </c>
      <c r="Q22" s="5" t="s">
        <v>45</v>
      </c>
      <c r="R22" s="5"/>
      <c r="S22" s="5"/>
      <c r="T22" s="5"/>
      <c r="U22" s="2"/>
    </row>
    <row r="23" spans="1:21" ht="21.75" customHeight="1" x14ac:dyDescent="0.35">
      <c r="A23" s="2">
        <v>20</v>
      </c>
      <c r="B23" s="48" t="s">
        <v>106</v>
      </c>
      <c r="C23" s="2" t="s">
        <v>53</v>
      </c>
      <c r="D23" s="2"/>
      <c r="E23" s="52">
        <v>45147</v>
      </c>
      <c r="F23" s="52">
        <v>46608</v>
      </c>
      <c r="G23" s="53">
        <v>176</v>
      </c>
      <c r="H23" s="3" t="s">
        <v>6</v>
      </c>
      <c r="I23" s="4">
        <v>0.69</v>
      </c>
      <c r="J23" s="2">
        <v>8</v>
      </c>
      <c r="K23" s="2">
        <v>300</v>
      </c>
      <c r="L23" s="47">
        <v>0.8</v>
      </c>
      <c r="M23" s="47">
        <v>0.2</v>
      </c>
      <c r="N23" s="2"/>
      <c r="O23" s="54">
        <v>75002.600000000006</v>
      </c>
      <c r="P23" s="5" t="s">
        <v>45</v>
      </c>
      <c r="Q23" s="5" t="s">
        <v>45</v>
      </c>
      <c r="R23" s="5"/>
      <c r="S23" s="5"/>
      <c r="T23" s="5"/>
      <c r="U23" s="2"/>
    </row>
    <row r="24" spans="1:21" ht="21.75" customHeight="1" x14ac:dyDescent="0.35">
      <c r="A24" s="2">
        <v>21</v>
      </c>
      <c r="B24" s="48" t="s">
        <v>107</v>
      </c>
      <c r="C24" s="2" t="s">
        <v>53</v>
      </c>
      <c r="D24" s="2"/>
      <c r="E24" s="52">
        <v>45230</v>
      </c>
      <c r="F24" s="52">
        <v>46327</v>
      </c>
      <c r="G24" s="53">
        <v>249</v>
      </c>
      <c r="H24" s="3" t="s">
        <v>6</v>
      </c>
      <c r="I24" s="4">
        <v>0.79500000000000004</v>
      </c>
      <c r="J24" s="2">
        <v>7.5</v>
      </c>
      <c r="K24" s="2">
        <v>142</v>
      </c>
      <c r="L24" s="47">
        <v>0.9</v>
      </c>
      <c r="M24" s="47">
        <v>0.1</v>
      </c>
      <c r="N24" s="2"/>
      <c r="O24" s="54">
        <v>392032.95774647885</v>
      </c>
      <c r="P24" s="5" t="s">
        <v>45</v>
      </c>
      <c r="Q24" s="5" t="s">
        <v>45</v>
      </c>
      <c r="R24" s="5"/>
      <c r="S24" s="5"/>
      <c r="T24" s="5"/>
      <c r="U24" s="2"/>
    </row>
    <row r="25" spans="1:21" ht="21.75" customHeight="1" x14ac:dyDescent="0.35">
      <c r="A25" s="6">
        <v>22</v>
      </c>
      <c r="B25" s="48" t="s">
        <v>108</v>
      </c>
      <c r="C25" s="2" t="s">
        <v>53</v>
      </c>
      <c r="D25" s="2"/>
      <c r="E25" s="52">
        <v>45232</v>
      </c>
      <c r="F25" s="52">
        <v>46175</v>
      </c>
      <c r="G25" s="53">
        <v>173.82499999999999</v>
      </c>
      <c r="H25" s="3" t="s">
        <v>6</v>
      </c>
      <c r="I25" s="4">
        <v>0.74</v>
      </c>
      <c r="J25" s="2">
        <v>8.1</v>
      </c>
      <c r="K25" s="2">
        <v>250</v>
      </c>
      <c r="L25" s="47">
        <v>0.9</v>
      </c>
      <c r="M25" s="47">
        <v>0.1</v>
      </c>
      <c r="N25" s="2"/>
      <c r="O25" s="54">
        <v>114797.2</v>
      </c>
      <c r="P25" s="5" t="s">
        <v>45</v>
      </c>
      <c r="Q25" s="5" t="s">
        <v>45</v>
      </c>
      <c r="R25" s="5"/>
      <c r="S25" s="5"/>
      <c r="T25" s="5"/>
      <c r="U25" s="2"/>
    </row>
    <row r="26" spans="1:21" ht="21.75" customHeight="1" x14ac:dyDescent="0.35">
      <c r="A26" s="2">
        <v>23</v>
      </c>
      <c r="B26" s="48" t="s">
        <v>109</v>
      </c>
      <c r="C26" s="2" t="s">
        <v>53</v>
      </c>
      <c r="D26" s="2"/>
      <c r="E26" s="52">
        <v>45260</v>
      </c>
      <c r="F26" s="52">
        <v>46356</v>
      </c>
      <c r="G26" s="53">
        <v>74.88</v>
      </c>
      <c r="H26" s="3" t="s">
        <v>6</v>
      </c>
      <c r="I26" s="4">
        <v>0.63</v>
      </c>
      <c r="J26" s="2">
        <v>5</v>
      </c>
      <c r="K26" s="2">
        <v>160</v>
      </c>
      <c r="L26" s="47">
        <v>0.9</v>
      </c>
      <c r="M26" s="47">
        <v>0.1</v>
      </c>
      <c r="N26" s="2"/>
      <c r="O26" s="54">
        <v>78627.074999999997</v>
      </c>
      <c r="P26" s="5" t="s">
        <v>45</v>
      </c>
      <c r="Q26" s="5" t="s">
        <v>45</v>
      </c>
      <c r="R26" s="5"/>
      <c r="S26" s="5"/>
      <c r="T26" s="5"/>
      <c r="U26" s="2"/>
    </row>
    <row r="27" spans="1:21" ht="21.75" customHeight="1" x14ac:dyDescent="0.35">
      <c r="A27" s="6">
        <v>24</v>
      </c>
      <c r="B27" s="48" t="s">
        <v>110</v>
      </c>
      <c r="C27" s="2" t="s">
        <v>53</v>
      </c>
      <c r="D27" s="2"/>
      <c r="E27" s="52">
        <v>45299</v>
      </c>
      <c r="F27" s="52">
        <v>46395</v>
      </c>
      <c r="G27" s="53">
        <v>221</v>
      </c>
      <c r="H27" s="3" t="s">
        <v>6</v>
      </c>
      <c r="I27" s="4">
        <v>0.56999999999999995</v>
      </c>
      <c r="J27" s="2">
        <v>14.1</v>
      </c>
      <c r="K27" s="2">
        <v>400</v>
      </c>
      <c r="L27" s="47">
        <v>0.9</v>
      </c>
      <c r="M27" s="47">
        <v>0.1</v>
      </c>
      <c r="N27" s="2"/>
      <c r="O27" s="54">
        <v>62167.5</v>
      </c>
      <c r="P27" s="5" t="s">
        <v>45</v>
      </c>
      <c r="Q27" s="5" t="s">
        <v>45</v>
      </c>
      <c r="R27" s="5"/>
      <c r="S27" s="5"/>
      <c r="T27" s="5"/>
      <c r="U27" s="2"/>
    </row>
    <row r="28" spans="1:21" ht="21.75" customHeight="1" x14ac:dyDescent="0.35">
      <c r="A28" s="2">
        <v>25</v>
      </c>
      <c r="B28" s="48" t="s">
        <v>111</v>
      </c>
      <c r="C28" s="2" t="s">
        <v>53</v>
      </c>
      <c r="D28" s="2"/>
      <c r="E28" s="52">
        <v>45299</v>
      </c>
      <c r="F28" s="52">
        <v>46416</v>
      </c>
      <c r="G28" s="53">
        <v>221</v>
      </c>
      <c r="H28" s="3" t="s">
        <v>6</v>
      </c>
      <c r="I28" s="4"/>
      <c r="J28" s="2"/>
      <c r="K28" s="2"/>
      <c r="L28" s="47"/>
      <c r="M28" s="47"/>
      <c r="N28" s="2"/>
      <c r="O28" s="2"/>
      <c r="P28" s="5" t="s">
        <v>45</v>
      </c>
      <c r="Q28" s="5" t="s">
        <v>45</v>
      </c>
      <c r="R28" s="5"/>
      <c r="S28" s="5"/>
      <c r="T28" s="5"/>
      <c r="U28" s="2"/>
    </row>
    <row r="29" spans="1:21" ht="21.75" customHeight="1" x14ac:dyDescent="0.35">
      <c r="A29" s="2">
        <v>26</v>
      </c>
      <c r="B29" s="48" t="s">
        <v>112</v>
      </c>
      <c r="C29" s="2" t="s">
        <v>53</v>
      </c>
      <c r="D29" s="2"/>
      <c r="E29" s="52">
        <v>45338</v>
      </c>
      <c r="F29" s="52">
        <v>46432</v>
      </c>
      <c r="G29" s="53">
        <v>310</v>
      </c>
      <c r="H29" s="3" t="s">
        <v>6</v>
      </c>
      <c r="I29" s="4">
        <v>0.59</v>
      </c>
      <c r="J29" s="2">
        <v>16.5</v>
      </c>
      <c r="K29" s="2">
        <v>650</v>
      </c>
      <c r="L29" s="47">
        <v>0.75</v>
      </c>
      <c r="M29" s="47">
        <v>0.25</v>
      </c>
      <c r="N29" s="2"/>
      <c r="O29" s="54">
        <v>56847.051923076921</v>
      </c>
      <c r="P29" s="5" t="s">
        <v>45</v>
      </c>
      <c r="Q29" s="5" t="s">
        <v>45</v>
      </c>
      <c r="R29" s="5"/>
      <c r="S29" s="5"/>
      <c r="T29" s="5"/>
      <c r="U29" s="2"/>
    </row>
    <row r="30" spans="1:21" ht="21.75" customHeight="1" x14ac:dyDescent="0.35">
      <c r="A30" s="6">
        <v>27</v>
      </c>
      <c r="B30" s="48" t="s">
        <v>113</v>
      </c>
      <c r="C30" s="2" t="s">
        <v>53</v>
      </c>
      <c r="D30" s="2"/>
      <c r="E30" s="52">
        <v>45343</v>
      </c>
      <c r="F30" s="52">
        <v>47170</v>
      </c>
      <c r="G30" s="53">
        <v>137</v>
      </c>
      <c r="H30" s="3" t="s">
        <v>6</v>
      </c>
      <c r="I30" s="4">
        <v>0.63</v>
      </c>
      <c r="J30" s="2">
        <v>7.1</v>
      </c>
      <c r="K30" s="2">
        <v>300</v>
      </c>
      <c r="L30" s="47">
        <v>1</v>
      </c>
      <c r="M30" s="47">
        <v>0</v>
      </c>
      <c r="N30" s="2"/>
      <c r="O30" s="54">
        <v>51038.333333333336</v>
      </c>
      <c r="P30" s="5" t="s">
        <v>45</v>
      </c>
      <c r="Q30" s="5" t="s">
        <v>45</v>
      </c>
      <c r="R30" s="5"/>
      <c r="S30" s="5"/>
      <c r="T30" s="5"/>
      <c r="U30" s="2"/>
    </row>
    <row r="31" spans="1:21" ht="21.75" customHeight="1" x14ac:dyDescent="0.35">
      <c r="A31" s="2">
        <v>28</v>
      </c>
      <c r="B31" s="48" t="s">
        <v>114</v>
      </c>
      <c r="C31" s="2" t="s">
        <v>53</v>
      </c>
      <c r="D31" s="2"/>
      <c r="E31" s="52">
        <v>45366</v>
      </c>
      <c r="F31" s="52">
        <v>45901</v>
      </c>
      <c r="G31" s="53">
        <v>207.2</v>
      </c>
      <c r="H31" s="3" t="s">
        <v>8</v>
      </c>
      <c r="I31" s="4">
        <v>0.77</v>
      </c>
      <c r="J31" s="2">
        <v>6.1</v>
      </c>
      <c r="K31" s="2">
        <v>360</v>
      </c>
      <c r="L31" s="47">
        <v>0.6</v>
      </c>
      <c r="M31" s="47">
        <v>0.4</v>
      </c>
      <c r="N31" s="2"/>
      <c r="O31" s="54">
        <v>59928.333333333336</v>
      </c>
      <c r="P31" s="5" t="s">
        <v>41</v>
      </c>
      <c r="Q31" s="5" t="s">
        <v>45</v>
      </c>
      <c r="R31" s="5"/>
      <c r="S31" s="5"/>
      <c r="T31" s="5"/>
      <c r="U31" s="2"/>
    </row>
    <row r="32" spans="1:21" ht="21.75" customHeight="1" x14ac:dyDescent="0.35">
      <c r="A32" s="6">
        <v>29</v>
      </c>
      <c r="B32" s="48" t="s">
        <v>115</v>
      </c>
      <c r="C32" s="2" t="s">
        <v>53</v>
      </c>
      <c r="D32" s="2"/>
      <c r="E32" s="52">
        <v>45372</v>
      </c>
      <c r="F32" s="52">
        <v>46467</v>
      </c>
      <c r="G32" s="53">
        <v>93.5</v>
      </c>
      <c r="H32" s="3" t="s">
        <v>6</v>
      </c>
      <c r="I32" s="4">
        <v>0.62</v>
      </c>
      <c r="J32" s="2">
        <v>4.0999999999999996</v>
      </c>
      <c r="K32" s="2">
        <v>120</v>
      </c>
      <c r="L32" s="47">
        <v>0.9</v>
      </c>
      <c r="M32" s="47">
        <v>0.1</v>
      </c>
      <c r="N32" s="2"/>
      <c r="O32" s="54">
        <v>85751.666666666686</v>
      </c>
      <c r="P32" s="5" t="s">
        <v>45</v>
      </c>
      <c r="Q32" s="5" t="s">
        <v>45</v>
      </c>
      <c r="R32" s="5"/>
      <c r="S32" s="5"/>
      <c r="T32" s="5"/>
      <c r="U32" s="2"/>
    </row>
    <row r="33" spans="1:21" ht="21.75" customHeight="1" x14ac:dyDescent="0.35">
      <c r="A33" s="2">
        <v>30</v>
      </c>
      <c r="B33" s="48" t="s">
        <v>116</v>
      </c>
      <c r="C33" s="2" t="s">
        <v>53</v>
      </c>
      <c r="D33" s="2"/>
      <c r="E33" s="52">
        <v>45404</v>
      </c>
      <c r="F33" s="52">
        <v>46499</v>
      </c>
      <c r="G33" s="53">
        <v>79.599999999999994</v>
      </c>
      <c r="H33" s="3" t="s">
        <v>6</v>
      </c>
      <c r="I33" s="4">
        <v>0.66</v>
      </c>
      <c r="J33" s="2">
        <v>3.1</v>
      </c>
      <c r="K33" s="2">
        <v>100</v>
      </c>
      <c r="L33" s="47">
        <v>0.95</v>
      </c>
      <c r="M33" s="47">
        <v>0.05</v>
      </c>
      <c r="N33" s="2"/>
      <c r="O33" s="54">
        <v>89732.5</v>
      </c>
      <c r="P33" s="5" t="s">
        <v>45</v>
      </c>
      <c r="Q33" s="5" t="s">
        <v>45</v>
      </c>
      <c r="R33" s="5"/>
      <c r="S33" s="5"/>
      <c r="T33" s="5"/>
      <c r="U33" s="2"/>
    </row>
    <row r="34" spans="1:21" ht="21.75" customHeight="1" x14ac:dyDescent="0.35">
      <c r="A34" s="2">
        <v>31</v>
      </c>
      <c r="B34" s="48" t="s">
        <v>117</v>
      </c>
      <c r="C34" s="2" t="s">
        <v>53</v>
      </c>
      <c r="D34" s="2"/>
      <c r="E34" s="52">
        <v>45411</v>
      </c>
      <c r="F34" s="52">
        <v>46141</v>
      </c>
      <c r="G34" s="53">
        <v>158.4</v>
      </c>
      <c r="H34" s="3" t="s">
        <v>6</v>
      </c>
      <c r="I34" s="4">
        <v>0.64949999999999997</v>
      </c>
      <c r="J34" s="2">
        <v>5.0999999999999996</v>
      </c>
      <c r="K34" s="2">
        <v>180</v>
      </c>
      <c r="L34" s="47">
        <v>0.95</v>
      </c>
      <c r="M34" s="47">
        <v>0.05</v>
      </c>
      <c r="N34" s="2"/>
      <c r="O34" s="54">
        <v>102030.27777777778</v>
      </c>
      <c r="P34" s="5" t="s">
        <v>45</v>
      </c>
      <c r="Q34" s="5" t="s">
        <v>45</v>
      </c>
      <c r="R34" s="5"/>
      <c r="S34" s="5"/>
      <c r="T34" s="5"/>
      <c r="U34" s="2"/>
    </row>
    <row r="35" spans="1:21" ht="21.75" customHeight="1" x14ac:dyDescent="0.35">
      <c r="A35" s="6">
        <v>32</v>
      </c>
      <c r="B35" s="48" t="s">
        <v>118</v>
      </c>
      <c r="C35" s="2" t="s">
        <v>53</v>
      </c>
      <c r="D35" s="2"/>
      <c r="E35" s="52">
        <v>45490</v>
      </c>
      <c r="F35" s="52">
        <v>45855</v>
      </c>
      <c r="G35" s="53">
        <v>34.200000000000003</v>
      </c>
      <c r="H35" s="3" t="s">
        <v>8</v>
      </c>
      <c r="I35" s="4">
        <v>0.76</v>
      </c>
      <c r="J35" s="2">
        <v>2.1</v>
      </c>
      <c r="K35" s="2">
        <v>13</v>
      </c>
      <c r="L35" s="47">
        <v>1</v>
      </c>
      <c r="M35" s="47">
        <v>0</v>
      </c>
      <c r="N35" s="2"/>
      <c r="O35" s="54">
        <v>310407.69230769231</v>
      </c>
      <c r="P35" s="5" t="s">
        <v>45</v>
      </c>
      <c r="Q35" s="5" t="s">
        <v>45</v>
      </c>
      <c r="R35" s="5"/>
      <c r="S35" s="5"/>
      <c r="T35" s="5"/>
      <c r="U35" s="2"/>
    </row>
    <row r="36" spans="1:21" ht="21.75" customHeight="1" x14ac:dyDescent="0.35">
      <c r="A36" s="2">
        <v>33</v>
      </c>
      <c r="B36" s="48" t="s">
        <v>119</v>
      </c>
      <c r="C36" s="2" t="s">
        <v>53</v>
      </c>
      <c r="D36" s="2"/>
      <c r="E36" s="52">
        <v>45516</v>
      </c>
      <c r="F36" s="52">
        <v>46611</v>
      </c>
      <c r="G36" s="53">
        <v>103</v>
      </c>
      <c r="H36" s="3" t="s">
        <v>6</v>
      </c>
      <c r="I36" s="4">
        <v>0.59</v>
      </c>
      <c r="J36" s="2">
        <v>4.0999999999999996</v>
      </c>
      <c r="K36" s="2">
        <v>120</v>
      </c>
      <c r="L36" s="47">
        <v>0.9</v>
      </c>
      <c r="M36" s="47">
        <v>0.1</v>
      </c>
      <c r="N36" s="2"/>
      <c r="O36" s="54">
        <v>84339.417475728158</v>
      </c>
      <c r="P36" s="5" t="s">
        <v>45</v>
      </c>
      <c r="Q36" s="5" t="s">
        <v>45</v>
      </c>
      <c r="R36" s="5"/>
      <c r="S36" s="5"/>
      <c r="T36" s="5"/>
      <c r="U36" s="2"/>
    </row>
    <row r="37" spans="1:21" ht="21.75" customHeight="1" x14ac:dyDescent="0.35">
      <c r="A37" s="6">
        <v>34</v>
      </c>
      <c r="B37" s="48" t="s">
        <v>120</v>
      </c>
      <c r="C37" s="2" t="s">
        <v>53</v>
      </c>
      <c r="D37" s="2"/>
      <c r="E37" s="52">
        <v>45518</v>
      </c>
      <c r="F37" s="52">
        <v>46249</v>
      </c>
      <c r="G37" s="53">
        <v>103</v>
      </c>
      <c r="H37" s="3" t="s">
        <v>6</v>
      </c>
      <c r="I37" s="4">
        <v>0.49569999999999997</v>
      </c>
      <c r="J37" s="2">
        <v>4.0999999999999996</v>
      </c>
      <c r="K37" s="2">
        <v>120</v>
      </c>
      <c r="L37" s="47">
        <v>0.8</v>
      </c>
      <c r="M37" s="47">
        <v>0.2</v>
      </c>
      <c r="N37" s="2"/>
      <c r="O37" s="54">
        <v>76476.533333333355</v>
      </c>
      <c r="P37" s="5" t="s">
        <v>45</v>
      </c>
      <c r="Q37" s="5" t="s">
        <v>45</v>
      </c>
      <c r="R37" s="5"/>
      <c r="S37" s="5"/>
      <c r="T37" s="5"/>
      <c r="U37" s="2"/>
    </row>
    <row r="38" spans="1:21" ht="21.75" customHeight="1" x14ac:dyDescent="0.35">
      <c r="A38" s="2">
        <v>35</v>
      </c>
      <c r="B38" s="48" t="s">
        <v>121</v>
      </c>
      <c r="C38" s="2" t="s">
        <v>53</v>
      </c>
      <c r="D38" s="2"/>
      <c r="E38" s="52">
        <v>45562</v>
      </c>
      <c r="F38" s="52">
        <v>46657</v>
      </c>
      <c r="G38" s="53">
        <v>111.9</v>
      </c>
      <c r="H38" s="3" t="s">
        <v>6</v>
      </c>
      <c r="I38" s="4">
        <v>0.64</v>
      </c>
      <c r="J38" s="2">
        <v>37</v>
      </c>
      <c r="K38" s="2">
        <v>1500</v>
      </c>
      <c r="L38" s="47">
        <v>0.8</v>
      </c>
      <c r="M38" s="47">
        <v>0.2</v>
      </c>
      <c r="N38" s="2"/>
      <c r="O38" s="54">
        <v>74635.346182618261</v>
      </c>
      <c r="P38" s="5" t="s">
        <v>41</v>
      </c>
      <c r="Q38" s="5" t="s">
        <v>45</v>
      </c>
      <c r="R38" s="5"/>
      <c r="S38" s="5"/>
      <c r="T38" s="5"/>
      <c r="U38" s="2"/>
    </row>
    <row r="39" spans="1:21" ht="21.75" customHeight="1" x14ac:dyDescent="0.35">
      <c r="A39" s="2">
        <v>36</v>
      </c>
      <c r="B39" s="48" t="s">
        <v>122</v>
      </c>
      <c r="C39" s="2" t="s">
        <v>53</v>
      </c>
      <c r="D39" s="2"/>
      <c r="E39" s="52">
        <v>45587</v>
      </c>
      <c r="F39" s="52">
        <v>46143</v>
      </c>
      <c r="G39" s="53">
        <v>386</v>
      </c>
      <c r="H39" s="3" t="s">
        <v>6</v>
      </c>
      <c r="I39" s="4">
        <v>0.67500000000000004</v>
      </c>
      <c r="J39" s="2">
        <v>10.1</v>
      </c>
      <c r="K39" s="2">
        <v>400</v>
      </c>
      <c r="L39" s="47">
        <v>0.85</v>
      </c>
      <c r="M39" s="47">
        <v>0.15</v>
      </c>
      <c r="N39" s="2"/>
      <c r="O39" s="54">
        <v>97346.300500834725</v>
      </c>
      <c r="P39" s="5" t="s">
        <v>45</v>
      </c>
      <c r="Q39" s="5" t="s">
        <v>45</v>
      </c>
      <c r="R39" s="5"/>
      <c r="S39" s="5"/>
      <c r="T39" s="5"/>
      <c r="U39" s="2"/>
    </row>
    <row r="40" spans="1:21" ht="21.75" customHeight="1" x14ac:dyDescent="0.35">
      <c r="A40" s="6">
        <v>37</v>
      </c>
      <c r="B40" s="48" t="s">
        <v>123</v>
      </c>
      <c r="C40" s="2" t="s">
        <v>53</v>
      </c>
      <c r="D40" s="2"/>
      <c r="E40" s="52">
        <v>45600</v>
      </c>
      <c r="F40" s="52">
        <v>46330</v>
      </c>
      <c r="G40" s="53">
        <v>103</v>
      </c>
      <c r="H40" s="3" t="s">
        <v>6</v>
      </c>
      <c r="I40" s="4">
        <v>0.58540000000000003</v>
      </c>
      <c r="J40" s="2">
        <v>3.1</v>
      </c>
      <c r="K40" s="2">
        <v>120</v>
      </c>
      <c r="L40" s="47">
        <v>0.9</v>
      </c>
      <c r="M40" s="47">
        <v>0.1</v>
      </c>
      <c r="N40" s="2"/>
      <c r="O40" s="54">
        <v>83324.684200000003</v>
      </c>
      <c r="P40" s="5" t="s">
        <v>41</v>
      </c>
      <c r="Q40" s="5" t="s">
        <v>45</v>
      </c>
      <c r="R40" s="5"/>
      <c r="S40" s="5"/>
      <c r="T40" s="5"/>
      <c r="U40" s="2"/>
    </row>
    <row r="41" spans="1:21" ht="21.75" customHeight="1" x14ac:dyDescent="0.35">
      <c r="A41" s="2">
        <v>38</v>
      </c>
      <c r="B41" s="48" t="s">
        <v>124</v>
      </c>
      <c r="C41" s="2" t="s">
        <v>53</v>
      </c>
      <c r="D41" s="2"/>
      <c r="E41" s="52">
        <v>45616</v>
      </c>
      <c r="F41" s="52">
        <v>46711</v>
      </c>
      <c r="G41" s="53">
        <v>294</v>
      </c>
      <c r="H41" s="3" t="s">
        <v>6</v>
      </c>
      <c r="I41" s="4">
        <v>0.6835</v>
      </c>
      <c r="J41" s="2">
        <v>7.1</v>
      </c>
      <c r="K41" s="2">
        <v>180</v>
      </c>
      <c r="L41" s="47">
        <v>0.95</v>
      </c>
      <c r="M41" s="47">
        <v>0.05</v>
      </c>
      <c r="N41" s="2"/>
      <c r="O41" s="54">
        <v>163376.07234000001</v>
      </c>
      <c r="P41" s="5" t="s">
        <v>41</v>
      </c>
      <c r="Q41" s="5" t="s">
        <v>45</v>
      </c>
      <c r="R41" s="5"/>
      <c r="S41" s="5"/>
      <c r="T41" s="5"/>
      <c r="U41" s="2"/>
    </row>
    <row r="42" spans="1:21" ht="21.75" customHeight="1" x14ac:dyDescent="0.35">
      <c r="A42" s="6">
        <v>39</v>
      </c>
      <c r="B42" s="48" t="s">
        <v>125</v>
      </c>
      <c r="C42" s="2" t="s">
        <v>53</v>
      </c>
      <c r="D42" s="2"/>
      <c r="E42" s="52">
        <v>45639</v>
      </c>
      <c r="F42" s="52">
        <v>46369</v>
      </c>
      <c r="G42" s="53">
        <v>250</v>
      </c>
      <c r="H42" s="3" t="s">
        <v>6</v>
      </c>
      <c r="I42" s="4">
        <v>0.65080000000000005</v>
      </c>
      <c r="J42" s="2">
        <v>8.1</v>
      </c>
      <c r="K42" s="2">
        <v>200</v>
      </c>
      <c r="L42" s="47">
        <v>0.9</v>
      </c>
      <c r="M42" s="47">
        <v>0.1</v>
      </c>
      <c r="N42" s="2"/>
      <c r="O42" s="54">
        <v>124508.50567368419</v>
      </c>
      <c r="P42" s="5" t="s">
        <v>45</v>
      </c>
      <c r="Q42" s="5" t="s">
        <v>45</v>
      </c>
      <c r="R42" s="5"/>
      <c r="S42" s="5"/>
      <c r="T42" s="5"/>
      <c r="U42" s="2"/>
    </row>
    <row r="43" spans="1:21" ht="21.75" customHeight="1" x14ac:dyDescent="0.35">
      <c r="A43" s="2">
        <v>40</v>
      </c>
      <c r="B43" s="48" t="s">
        <v>126</v>
      </c>
      <c r="C43" s="2" t="s">
        <v>53</v>
      </c>
      <c r="D43" s="2"/>
      <c r="E43" s="52">
        <v>45694</v>
      </c>
      <c r="F43" s="52">
        <v>46790</v>
      </c>
      <c r="G43" s="53">
        <v>333</v>
      </c>
      <c r="H43" s="3" t="s">
        <v>6</v>
      </c>
      <c r="I43" s="4">
        <v>0.6331</v>
      </c>
      <c r="J43" s="2">
        <v>3.6</v>
      </c>
      <c r="K43" s="2">
        <v>125</v>
      </c>
      <c r="L43" s="47">
        <v>0.76</v>
      </c>
      <c r="M43" s="47">
        <v>0.24</v>
      </c>
      <c r="N43" s="2"/>
      <c r="O43" s="54">
        <v>89053.184256000008</v>
      </c>
      <c r="P43" s="5" t="s">
        <v>41</v>
      </c>
      <c r="Q43" s="5" t="s">
        <v>45</v>
      </c>
      <c r="R43" s="5"/>
      <c r="S43" s="5"/>
      <c r="T43" s="5"/>
      <c r="U43" s="2"/>
    </row>
    <row r="44" spans="1:21" ht="21.75" customHeight="1" x14ac:dyDescent="0.35">
      <c r="A44" s="2">
        <v>41</v>
      </c>
      <c r="B44" s="48" t="s">
        <v>127</v>
      </c>
      <c r="C44" s="2" t="s">
        <v>53</v>
      </c>
      <c r="D44" s="2"/>
      <c r="E44" s="52">
        <v>45713</v>
      </c>
      <c r="F44" s="52">
        <v>46079</v>
      </c>
      <c r="G44" s="53">
        <v>110</v>
      </c>
      <c r="H44" s="3" t="s">
        <v>8</v>
      </c>
      <c r="I44" s="4">
        <v>0.69510000000000005</v>
      </c>
      <c r="J44" s="2">
        <v>3.6</v>
      </c>
      <c r="K44" s="2">
        <v>100</v>
      </c>
      <c r="L44" s="47">
        <v>1</v>
      </c>
      <c r="M44" s="47">
        <v>0</v>
      </c>
      <c r="N44" s="2"/>
      <c r="O44" s="54">
        <v>111554.731207</v>
      </c>
      <c r="P44" s="5" t="s">
        <v>41</v>
      </c>
      <c r="Q44" s="5" t="s">
        <v>45</v>
      </c>
      <c r="R44" s="5"/>
      <c r="S44" s="5"/>
      <c r="T44" s="5"/>
      <c r="U44" s="2"/>
    </row>
    <row r="45" spans="1:21" ht="21.75" customHeight="1" x14ac:dyDescent="0.35">
      <c r="A45" s="6">
        <v>42</v>
      </c>
      <c r="B45" s="48" t="s">
        <v>128</v>
      </c>
      <c r="C45" s="2" t="s">
        <v>53</v>
      </c>
      <c r="D45" s="2"/>
      <c r="E45" s="52">
        <v>45770</v>
      </c>
      <c r="F45" s="52">
        <v>46501</v>
      </c>
      <c r="G45" s="53">
        <v>138</v>
      </c>
      <c r="H45" s="3" t="s">
        <v>6</v>
      </c>
      <c r="I45" s="4">
        <v>0.59550000000000003</v>
      </c>
      <c r="J45" s="2">
        <v>4.2</v>
      </c>
      <c r="K45" s="2">
        <v>160</v>
      </c>
      <c r="L45" s="47">
        <v>0.8</v>
      </c>
      <c r="M45" s="47">
        <v>0.2</v>
      </c>
      <c r="N45" s="2"/>
      <c r="O45" s="54">
        <v>83980.37999999999</v>
      </c>
      <c r="P45" s="5" t="s">
        <v>45</v>
      </c>
      <c r="Q45" s="5" t="s">
        <v>45</v>
      </c>
      <c r="R45" s="5"/>
      <c r="S45" s="5"/>
      <c r="T45" s="5"/>
      <c r="U45" s="2"/>
    </row>
    <row r="46" spans="1:21" ht="21.75" customHeight="1" x14ac:dyDescent="0.35">
      <c r="A46" s="2">
        <v>43</v>
      </c>
      <c r="B46" s="48" t="s">
        <v>129</v>
      </c>
      <c r="C46" s="2" t="s">
        <v>53</v>
      </c>
      <c r="D46" s="2"/>
      <c r="E46" s="52">
        <v>45867</v>
      </c>
      <c r="F46" s="52">
        <v>46963</v>
      </c>
      <c r="G46" s="53">
        <v>110</v>
      </c>
      <c r="H46" s="3" t="s">
        <v>6</v>
      </c>
      <c r="I46" s="4">
        <v>0.66390000000000005</v>
      </c>
      <c r="J46" s="2">
        <v>3.7</v>
      </c>
      <c r="K46" s="2">
        <v>215</v>
      </c>
      <c r="L46" s="47">
        <v>0.6</v>
      </c>
      <c r="M46" s="47">
        <v>0.4</v>
      </c>
      <c r="N46" s="2"/>
      <c r="O46" s="54">
        <v>60348.837209302328</v>
      </c>
      <c r="P46" s="5" t="s">
        <v>45</v>
      </c>
      <c r="Q46" s="5" t="s">
        <v>45</v>
      </c>
      <c r="R46" s="5"/>
      <c r="S46" s="5"/>
      <c r="T46" s="5"/>
      <c r="U46" s="2"/>
    </row>
    <row r="47" spans="1:21" ht="21.75" customHeight="1" x14ac:dyDescent="0.35">
      <c r="A47" s="6">
        <v>44</v>
      </c>
      <c r="B47" s="48" t="s">
        <v>130</v>
      </c>
      <c r="C47" s="2" t="s">
        <v>53</v>
      </c>
      <c r="D47" s="2"/>
      <c r="E47" s="52">
        <v>45905</v>
      </c>
      <c r="F47" s="52">
        <v>46270</v>
      </c>
      <c r="G47" s="53">
        <v>138</v>
      </c>
      <c r="H47" s="3" t="s">
        <v>6</v>
      </c>
      <c r="I47" s="4">
        <v>0.67469999999999997</v>
      </c>
      <c r="J47" s="2">
        <v>3.3</v>
      </c>
      <c r="K47" s="2">
        <v>60</v>
      </c>
      <c r="L47" s="47">
        <v>0.75</v>
      </c>
      <c r="M47" s="47">
        <v>0.25</v>
      </c>
      <c r="N47" s="2"/>
      <c r="O47" s="54">
        <v>226191.39999999997</v>
      </c>
      <c r="P47" s="5" t="s">
        <v>45</v>
      </c>
      <c r="Q47" s="5" t="s">
        <v>45</v>
      </c>
      <c r="R47" s="5"/>
      <c r="S47" s="5"/>
      <c r="T47" s="5"/>
      <c r="U47" s="2"/>
    </row>
    <row r="48" spans="1:21" ht="21.75" customHeight="1" x14ac:dyDescent="0.35">
      <c r="A48" s="2">
        <v>45</v>
      </c>
      <c r="B48" s="48" t="s">
        <v>131</v>
      </c>
      <c r="C48" s="2" t="s">
        <v>53</v>
      </c>
      <c r="D48" s="2"/>
      <c r="E48" s="52">
        <v>45975</v>
      </c>
      <c r="F48" s="52">
        <v>47071</v>
      </c>
      <c r="G48" s="53">
        <v>287.77643999999998</v>
      </c>
      <c r="H48" s="3" t="s">
        <v>6</v>
      </c>
      <c r="I48" s="4">
        <v>0.51700000000000002</v>
      </c>
      <c r="J48" s="2">
        <v>20.3</v>
      </c>
      <c r="K48" s="2">
        <v>850</v>
      </c>
      <c r="L48" s="47">
        <v>0.88</v>
      </c>
      <c r="M48" s="47">
        <v>0.12</v>
      </c>
      <c r="N48" s="2"/>
      <c r="O48" s="54">
        <v>47025.120000000003</v>
      </c>
      <c r="P48" s="5" t="s">
        <v>45</v>
      </c>
      <c r="Q48" s="5" t="s">
        <v>45</v>
      </c>
      <c r="R48" s="5"/>
      <c r="S48" s="5"/>
      <c r="T48" s="5"/>
      <c r="U48" s="2"/>
    </row>
    <row r="49" spans="1:21" ht="21.75" customHeight="1" x14ac:dyDescent="0.35">
      <c r="A49" s="2">
        <v>46</v>
      </c>
      <c r="B49" s="48" t="s">
        <v>132</v>
      </c>
      <c r="C49" s="2" t="s">
        <v>53</v>
      </c>
      <c r="D49" s="2"/>
      <c r="E49" s="52">
        <v>46008</v>
      </c>
      <c r="F49" s="52">
        <v>47074</v>
      </c>
      <c r="G49" s="53">
        <v>101.9</v>
      </c>
      <c r="H49" s="3" t="s">
        <v>6</v>
      </c>
      <c r="I49" s="4">
        <v>0.64159999999999995</v>
      </c>
      <c r="J49" s="2">
        <v>3.1</v>
      </c>
      <c r="K49" s="2">
        <v>115</v>
      </c>
      <c r="L49" s="47">
        <v>1</v>
      </c>
      <c r="M49" s="47">
        <v>0</v>
      </c>
      <c r="N49" s="2"/>
      <c r="O49" s="54">
        <v>95685.565217391311</v>
      </c>
      <c r="P49" s="5" t="s">
        <v>45</v>
      </c>
      <c r="Q49" s="5" t="s">
        <v>45</v>
      </c>
      <c r="R49" s="5"/>
      <c r="S49" s="5"/>
      <c r="T49" s="5"/>
      <c r="U49" s="2"/>
    </row>
    <row r="50" spans="1:21" ht="21.75" customHeight="1" x14ac:dyDescent="0.35">
      <c r="A50" s="6">
        <v>47</v>
      </c>
      <c r="B50" s="48" t="s">
        <v>133</v>
      </c>
      <c r="C50" s="2" t="s">
        <v>53</v>
      </c>
      <c r="D50" s="2"/>
      <c r="E50" s="52">
        <v>45969</v>
      </c>
      <c r="F50" s="52">
        <v>47065</v>
      </c>
      <c r="G50" s="53">
        <v>447.13154999999995</v>
      </c>
      <c r="H50" s="3" t="s">
        <v>6</v>
      </c>
      <c r="I50" s="4">
        <v>0.51549999999999996</v>
      </c>
      <c r="J50" s="2">
        <v>21.3</v>
      </c>
      <c r="K50" s="2">
        <v>600</v>
      </c>
      <c r="L50" s="47">
        <v>0.95</v>
      </c>
      <c r="M50" s="47">
        <v>0.05</v>
      </c>
      <c r="N50" s="2"/>
      <c r="O50" s="54">
        <v>79175.160726666669</v>
      </c>
      <c r="P50" s="5" t="s">
        <v>41</v>
      </c>
      <c r="Q50" s="5" t="s">
        <v>45</v>
      </c>
      <c r="R50" s="5"/>
      <c r="S50" s="5"/>
      <c r="T50" s="5"/>
      <c r="U50" s="2"/>
    </row>
    <row r="51" spans="1:21" ht="21.75" customHeight="1" x14ac:dyDescent="0.35">
      <c r="A51" s="2">
        <v>48</v>
      </c>
      <c r="B51" s="48" t="s">
        <v>134</v>
      </c>
      <c r="C51" s="2" t="s">
        <v>53</v>
      </c>
      <c r="D51" s="2"/>
      <c r="E51" s="52">
        <v>46028</v>
      </c>
      <c r="F51" s="52">
        <v>46758</v>
      </c>
      <c r="G51" s="53">
        <v>562.54437499999995</v>
      </c>
      <c r="H51" s="3" t="s">
        <v>6</v>
      </c>
      <c r="I51" s="4">
        <v>0.54600000000000004</v>
      </c>
      <c r="J51" s="2">
        <v>21.6</v>
      </c>
      <c r="K51" s="2">
        <v>1002</v>
      </c>
      <c r="L51" s="47">
        <v>0.75</v>
      </c>
      <c r="M51" s="47">
        <v>0.25</v>
      </c>
      <c r="N51" s="2"/>
      <c r="O51" s="54">
        <v>50185.102700425297</v>
      </c>
      <c r="P51" s="5" t="s">
        <v>45</v>
      </c>
      <c r="Q51" s="5" t="s">
        <v>45</v>
      </c>
      <c r="R51" s="5"/>
      <c r="S51" s="5"/>
      <c r="T51" s="5"/>
      <c r="U51" s="2"/>
    </row>
    <row r="52" spans="1:21" ht="21.75" customHeight="1" x14ac:dyDescent="0.35">
      <c r="A52" s="6">
        <v>49</v>
      </c>
      <c r="B52" s="48" t="s">
        <v>135</v>
      </c>
      <c r="C52" s="2" t="s">
        <v>53</v>
      </c>
      <c r="D52" s="2"/>
      <c r="E52" s="52">
        <v>46008</v>
      </c>
      <c r="F52" s="52">
        <v>46442</v>
      </c>
      <c r="G52" s="53">
        <v>227.63007500000001</v>
      </c>
      <c r="H52" s="3" t="s">
        <v>6</v>
      </c>
      <c r="I52" s="4">
        <v>0.80720000000000003</v>
      </c>
      <c r="J52" s="2">
        <v>5.3</v>
      </c>
      <c r="K52" s="2">
        <v>150</v>
      </c>
      <c r="L52" s="47">
        <v>0.95</v>
      </c>
      <c r="M52" s="47">
        <v>0.05</v>
      </c>
      <c r="N52" s="2"/>
      <c r="O52" s="54">
        <v>136625.12035272</v>
      </c>
      <c r="P52" s="5" t="s">
        <v>41</v>
      </c>
      <c r="Q52" s="5" t="s">
        <v>45</v>
      </c>
      <c r="R52" s="5"/>
      <c r="S52" s="5"/>
      <c r="T52" s="5"/>
      <c r="U52" s="2"/>
    </row>
    <row r="53" spans="1:21" ht="21.75" customHeight="1" x14ac:dyDescent="0.35">
      <c r="A53" s="2">
        <v>50</v>
      </c>
      <c r="B53" s="48" t="s">
        <v>136</v>
      </c>
      <c r="C53" s="48" t="s">
        <v>55</v>
      </c>
      <c r="D53" s="2"/>
      <c r="E53" s="52">
        <v>45875</v>
      </c>
      <c r="F53" s="52">
        <v>46241</v>
      </c>
      <c r="G53" s="53">
        <v>20</v>
      </c>
      <c r="H53" s="3" t="s">
        <v>6</v>
      </c>
      <c r="I53" s="4"/>
      <c r="J53" s="2"/>
      <c r="K53" s="2"/>
      <c r="L53" s="47"/>
      <c r="M53" s="47"/>
      <c r="N53" s="2"/>
      <c r="O53" s="2"/>
      <c r="P53" s="5" t="s">
        <v>45</v>
      </c>
      <c r="Q53" s="5" t="s">
        <v>45</v>
      </c>
      <c r="R53" s="5"/>
      <c r="S53" s="5"/>
      <c r="T53" s="5"/>
      <c r="U53" s="2"/>
    </row>
    <row r="54" spans="1:21" ht="21.75" customHeight="1" x14ac:dyDescent="0.35">
      <c r="A54" s="2">
        <v>51</v>
      </c>
      <c r="B54" s="48" t="s">
        <v>137</v>
      </c>
      <c r="C54" s="48" t="s">
        <v>55</v>
      </c>
      <c r="D54" s="2"/>
      <c r="E54" s="52">
        <v>45993</v>
      </c>
      <c r="F54" s="52">
        <v>46359</v>
      </c>
      <c r="G54" s="53">
        <v>20</v>
      </c>
      <c r="H54" s="3" t="s">
        <v>6</v>
      </c>
      <c r="I54" s="4"/>
      <c r="J54" s="2"/>
      <c r="K54" s="2"/>
      <c r="L54" s="47"/>
      <c r="M54" s="47"/>
      <c r="N54" s="2"/>
      <c r="O54" s="2"/>
      <c r="P54" s="5" t="s">
        <v>45</v>
      </c>
      <c r="Q54" s="5" t="s">
        <v>45</v>
      </c>
      <c r="R54" s="5"/>
      <c r="S54" s="5"/>
      <c r="T54" s="5"/>
      <c r="U54" s="2"/>
    </row>
    <row r="55" spans="1:21" ht="21.75" customHeight="1" x14ac:dyDescent="0.35">
      <c r="A55" s="6">
        <v>52</v>
      </c>
      <c r="B55" s="48" t="s">
        <v>138</v>
      </c>
      <c r="C55" s="48" t="s">
        <v>55</v>
      </c>
      <c r="D55" s="2"/>
      <c r="E55" s="52">
        <v>46000</v>
      </c>
      <c r="F55" s="52">
        <v>46366</v>
      </c>
      <c r="G55" s="53">
        <v>20</v>
      </c>
      <c r="H55" s="3" t="s">
        <v>6</v>
      </c>
      <c r="I55" s="4"/>
      <c r="J55" s="2"/>
      <c r="K55" s="2"/>
      <c r="L55" s="47"/>
      <c r="M55" s="47"/>
      <c r="N55" s="2"/>
      <c r="O55" s="2"/>
      <c r="P55" s="5" t="s">
        <v>45</v>
      </c>
      <c r="Q55" s="5" t="s">
        <v>45</v>
      </c>
      <c r="R55" s="5"/>
      <c r="S55" s="5"/>
      <c r="T55" s="5"/>
      <c r="U55" s="2"/>
    </row>
    <row r="56" spans="1:21" ht="21.75" customHeight="1" x14ac:dyDescent="0.35">
      <c r="A56" s="2">
        <v>53</v>
      </c>
      <c r="B56" s="48" t="s">
        <v>139</v>
      </c>
      <c r="C56" s="48" t="s">
        <v>55</v>
      </c>
      <c r="D56" s="2"/>
      <c r="E56" s="52">
        <v>46000</v>
      </c>
      <c r="F56" s="52">
        <v>46366</v>
      </c>
      <c r="G56" s="53">
        <v>20</v>
      </c>
      <c r="H56" s="3" t="s">
        <v>6</v>
      </c>
      <c r="I56" s="4"/>
      <c r="J56" s="2"/>
      <c r="K56" s="2"/>
      <c r="L56" s="47"/>
      <c r="M56" s="47"/>
      <c r="N56" s="2"/>
      <c r="O56" s="2"/>
      <c r="P56" s="5" t="s">
        <v>45</v>
      </c>
      <c r="Q56" s="5" t="s">
        <v>45</v>
      </c>
      <c r="R56" s="5"/>
      <c r="S56" s="5"/>
      <c r="T56" s="5"/>
      <c r="U56" s="2"/>
    </row>
    <row r="57" spans="1:21" ht="21.75" customHeight="1" x14ac:dyDescent="0.35">
      <c r="A57" s="6">
        <v>54</v>
      </c>
      <c r="B57" s="48" t="s">
        <v>140</v>
      </c>
      <c r="C57" s="48" t="s">
        <v>55</v>
      </c>
      <c r="D57" s="2"/>
      <c r="E57" s="52">
        <v>45939</v>
      </c>
      <c r="F57" s="52">
        <v>46305</v>
      </c>
      <c r="G57" s="53">
        <v>20</v>
      </c>
      <c r="H57" s="3" t="s">
        <v>6</v>
      </c>
      <c r="I57" s="4"/>
      <c r="J57" s="2"/>
      <c r="K57" s="2"/>
      <c r="L57" s="47"/>
      <c r="M57" s="47"/>
      <c r="N57" s="2"/>
      <c r="O57" s="2"/>
      <c r="P57" s="5" t="s">
        <v>45</v>
      </c>
      <c r="Q57" s="5" t="s">
        <v>45</v>
      </c>
      <c r="R57" s="5"/>
      <c r="S57" s="5"/>
      <c r="T57" s="5"/>
      <c r="U57" s="2"/>
    </row>
    <row r="58" spans="1:21" ht="21.75" customHeight="1" x14ac:dyDescent="0.35">
      <c r="A58" s="2">
        <v>55</v>
      </c>
      <c r="B58" s="48" t="s">
        <v>141</v>
      </c>
      <c r="C58" s="48" t="s">
        <v>55</v>
      </c>
      <c r="D58" s="2"/>
      <c r="E58" s="52">
        <v>46029</v>
      </c>
      <c r="F58" s="52">
        <v>46395</v>
      </c>
      <c r="G58" s="53">
        <v>20</v>
      </c>
      <c r="H58" s="3" t="s">
        <v>6</v>
      </c>
      <c r="I58" s="4"/>
      <c r="J58" s="2"/>
      <c r="K58" s="2"/>
      <c r="L58" s="47"/>
      <c r="M58" s="47"/>
      <c r="N58" s="2"/>
      <c r="O58" s="2"/>
      <c r="P58" s="5" t="s">
        <v>45</v>
      </c>
      <c r="Q58" s="5" t="s">
        <v>45</v>
      </c>
      <c r="R58" s="5"/>
      <c r="S58" s="5"/>
      <c r="T58" s="5"/>
      <c r="U58" s="2"/>
    </row>
    <row r="59" spans="1:21" ht="21.75" customHeight="1" x14ac:dyDescent="0.35">
      <c r="A59" s="2">
        <v>56</v>
      </c>
      <c r="B59" s="48" t="s">
        <v>142</v>
      </c>
      <c r="C59" s="48" t="s">
        <v>55</v>
      </c>
      <c r="D59" s="2"/>
      <c r="E59" s="52">
        <v>46051</v>
      </c>
      <c r="F59" s="52">
        <v>46357</v>
      </c>
      <c r="G59" s="53">
        <v>20</v>
      </c>
      <c r="H59" s="3" t="s">
        <v>6</v>
      </c>
      <c r="I59" s="4"/>
      <c r="J59" s="2"/>
      <c r="K59" s="2"/>
      <c r="L59" s="47"/>
      <c r="M59" s="47"/>
      <c r="N59" s="2"/>
      <c r="O59" s="2"/>
      <c r="P59" s="5" t="s">
        <v>45</v>
      </c>
      <c r="Q59" s="5" t="s">
        <v>45</v>
      </c>
      <c r="R59" s="5"/>
      <c r="S59" s="5"/>
      <c r="T59" s="5"/>
      <c r="U59" s="2"/>
    </row>
    <row r="60" spans="1:21" ht="21.75" customHeight="1" x14ac:dyDescent="0.35">
      <c r="A60" s="6">
        <v>57</v>
      </c>
      <c r="B60" s="48" t="s">
        <v>143</v>
      </c>
      <c r="C60" s="48" t="s">
        <v>55</v>
      </c>
      <c r="D60" s="2"/>
      <c r="E60" s="52">
        <v>45988</v>
      </c>
      <c r="F60" s="52">
        <v>46353</v>
      </c>
      <c r="G60" s="53">
        <v>20</v>
      </c>
      <c r="H60" s="3" t="s">
        <v>6</v>
      </c>
      <c r="I60" s="4"/>
      <c r="J60" s="2"/>
      <c r="K60" s="2"/>
      <c r="L60" s="47"/>
      <c r="M60" s="47"/>
      <c r="N60" s="2"/>
      <c r="O60" s="2"/>
      <c r="P60" s="5" t="s">
        <v>45</v>
      </c>
      <c r="Q60" s="5" t="s">
        <v>45</v>
      </c>
      <c r="R60" s="5"/>
      <c r="S60" s="5"/>
      <c r="T60" s="5"/>
      <c r="U60" s="2"/>
    </row>
    <row r="61" spans="1:21" ht="21.75" customHeight="1" x14ac:dyDescent="0.35">
      <c r="A61" s="2">
        <v>58</v>
      </c>
      <c r="B61" s="48" t="s">
        <v>144</v>
      </c>
      <c r="C61" s="48" t="s">
        <v>55</v>
      </c>
      <c r="D61" s="2"/>
      <c r="E61" s="52">
        <v>45992</v>
      </c>
      <c r="F61" s="52">
        <v>47089</v>
      </c>
      <c r="G61" s="53">
        <v>20</v>
      </c>
      <c r="H61" s="3" t="s">
        <v>6</v>
      </c>
      <c r="I61" s="4"/>
      <c r="J61" s="2"/>
      <c r="K61" s="2"/>
      <c r="L61" s="2"/>
      <c r="M61" s="2"/>
      <c r="N61" s="2"/>
      <c r="O61" s="2"/>
      <c r="P61" s="5" t="s">
        <v>45</v>
      </c>
      <c r="Q61" s="5" t="s">
        <v>45</v>
      </c>
      <c r="R61" s="5"/>
      <c r="S61" s="5"/>
      <c r="T61" s="5"/>
      <c r="U61" s="2"/>
    </row>
    <row r="62" spans="1:21" ht="21.75" customHeight="1" x14ac:dyDescent="0.35">
      <c r="A62" s="6">
        <v>59</v>
      </c>
      <c r="B62" s="48" t="s">
        <v>145</v>
      </c>
      <c r="C62" s="48" t="s">
        <v>55</v>
      </c>
      <c r="D62" s="2"/>
      <c r="E62" s="52">
        <v>45978</v>
      </c>
      <c r="F62" s="52">
        <v>46344</v>
      </c>
      <c r="G62" s="53">
        <v>20</v>
      </c>
      <c r="H62" s="3" t="s">
        <v>6</v>
      </c>
      <c r="I62" s="4"/>
      <c r="J62" s="2"/>
      <c r="K62" s="2"/>
      <c r="L62" s="2"/>
      <c r="M62" s="2"/>
      <c r="N62" s="2"/>
      <c r="O62" s="2"/>
      <c r="P62" s="5" t="s">
        <v>45</v>
      </c>
      <c r="Q62" s="5" t="s">
        <v>45</v>
      </c>
      <c r="R62" s="5"/>
      <c r="S62" s="5"/>
      <c r="T62" s="5"/>
      <c r="U62" s="2"/>
    </row>
    <row r="63" spans="1:21" ht="21.75" customHeight="1" x14ac:dyDescent="0.35">
      <c r="A63" s="2">
        <v>60</v>
      </c>
      <c r="B63" s="48" t="s">
        <v>146</v>
      </c>
      <c r="C63" s="48" t="s">
        <v>55</v>
      </c>
      <c r="D63" s="2"/>
      <c r="E63" s="52">
        <v>46083</v>
      </c>
      <c r="F63" s="52">
        <v>46449</v>
      </c>
      <c r="G63" s="53">
        <v>20</v>
      </c>
      <c r="H63" s="3" t="s">
        <v>6</v>
      </c>
      <c r="I63" s="4"/>
      <c r="J63" s="2"/>
      <c r="K63" s="2"/>
      <c r="L63" s="2"/>
      <c r="M63" s="2"/>
      <c r="N63" s="2"/>
      <c r="O63" s="2"/>
      <c r="P63" s="5" t="s">
        <v>45</v>
      </c>
      <c r="Q63" s="5" t="s">
        <v>45</v>
      </c>
      <c r="R63" s="5"/>
      <c r="S63" s="5"/>
      <c r="T63" s="5"/>
      <c r="U63" s="2"/>
    </row>
    <row r="64" spans="1:21" ht="21.75" customHeight="1" x14ac:dyDescent="0.35">
      <c r="A64" s="2">
        <v>61</v>
      </c>
      <c r="B64" s="48" t="s">
        <v>147</v>
      </c>
      <c r="C64" s="48" t="s">
        <v>55</v>
      </c>
      <c r="D64" s="2"/>
      <c r="E64" s="52">
        <v>46086</v>
      </c>
      <c r="F64" s="52">
        <v>46452</v>
      </c>
      <c r="G64" s="53">
        <v>20</v>
      </c>
      <c r="H64" s="3" t="s">
        <v>6</v>
      </c>
      <c r="I64" s="4"/>
      <c r="J64" s="2"/>
      <c r="K64" s="2"/>
      <c r="L64" s="2"/>
      <c r="M64" s="2"/>
      <c r="N64" s="2"/>
      <c r="O64" s="2"/>
      <c r="P64" s="5" t="s">
        <v>45</v>
      </c>
      <c r="Q64" s="5" t="s">
        <v>45</v>
      </c>
      <c r="R64" s="5"/>
      <c r="S64" s="5"/>
      <c r="T64" s="5"/>
      <c r="U64" s="2"/>
    </row>
    <row r="65" spans="1:21" ht="21.75" customHeight="1" x14ac:dyDescent="0.35">
      <c r="A65" s="6">
        <v>62</v>
      </c>
      <c r="B65" s="48" t="s">
        <v>148</v>
      </c>
      <c r="C65" s="48" t="s">
        <v>55</v>
      </c>
      <c r="D65" s="2"/>
      <c r="E65" s="52">
        <v>46111</v>
      </c>
      <c r="F65" s="52">
        <v>46477</v>
      </c>
      <c r="G65" s="53">
        <v>20</v>
      </c>
      <c r="H65" s="3" t="s">
        <v>6</v>
      </c>
      <c r="I65" s="4"/>
      <c r="J65" s="2"/>
      <c r="K65" s="2"/>
      <c r="L65" s="2"/>
      <c r="M65" s="2"/>
      <c r="N65" s="2"/>
      <c r="O65" s="2"/>
      <c r="P65" s="5" t="s">
        <v>45</v>
      </c>
      <c r="Q65" s="5" t="s">
        <v>45</v>
      </c>
      <c r="R65" s="5"/>
      <c r="S65" s="5"/>
      <c r="T65" s="5"/>
      <c r="U65" s="2"/>
    </row>
    <row r="66" spans="1:21" ht="21.75" customHeight="1" x14ac:dyDescent="0.35">
      <c r="A66" s="48"/>
      <c r="B66" s="48"/>
      <c r="C66" s="48"/>
      <c r="D66" s="2"/>
      <c r="E66" s="2"/>
      <c r="F66" s="2"/>
      <c r="G66" s="35"/>
      <c r="H66" s="8"/>
      <c r="I66" s="4"/>
      <c r="J66" s="2"/>
      <c r="K66" s="2"/>
      <c r="L66" s="2"/>
      <c r="M66" s="2"/>
      <c r="N66" s="2"/>
      <c r="O66" s="2"/>
      <c r="P66" s="5"/>
      <c r="Q66" s="5"/>
      <c r="R66" s="5"/>
      <c r="S66" s="5"/>
      <c r="T66" s="5"/>
      <c r="U66" s="2"/>
    </row>
    <row r="67" spans="1:21" ht="21.75" customHeight="1" x14ac:dyDescent="0.35">
      <c r="A67" s="48"/>
      <c r="B67" s="48"/>
      <c r="C67" s="48"/>
      <c r="D67" s="2"/>
      <c r="E67" s="2"/>
      <c r="F67" s="2"/>
      <c r="G67" s="35"/>
      <c r="H67" s="8"/>
      <c r="I67" s="4"/>
      <c r="J67" s="2"/>
      <c r="K67" s="2"/>
      <c r="L67" s="2"/>
      <c r="M67" s="2"/>
      <c r="N67" s="2"/>
      <c r="O67" s="2"/>
      <c r="P67" s="5"/>
      <c r="Q67" s="5"/>
      <c r="R67" s="5"/>
      <c r="S67" s="5"/>
      <c r="T67" s="5"/>
      <c r="U67" s="2"/>
    </row>
    <row r="68" spans="1:21" ht="21.75" customHeight="1" x14ac:dyDescent="0.35">
      <c r="A68" s="48"/>
      <c r="B68" s="48"/>
      <c r="C68" s="48"/>
      <c r="D68" s="2"/>
      <c r="E68" s="2"/>
      <c r="F68" s="2"/>
      <c r="G68" s="35"/>
      <c r="H68" s="8"/>
      <c r="I68" s="4"/>
      <c r="J68" s="2"/>
      <c r="K68" s="2"/>
      <c r="L68" s="2"/>
      <c r="M68" s="2"/>
      <c r="N68" s="2"/>
      <c r="O68" s="2"/>
      <c r="P68" s="5"/>
      <c r="Q68" s="5"/>
      <c r="R68" s="5"/>
      <c r="S68" s="5"/>
      <c r="T68" s="5"/>
      <c r="U68" s="2"/>
    </row>
    <row r="69" spans="1:21" ht="21.75" customHeight="1" x14ac:dyDescent="0.35">
      <c r="A69" s="48"/>
      <c r="B69" s="48"/>
      <c r="C69" s="48"/>
      <c r="D69" s="2"/>
      <c r="E69" s="2"/>
      <c r="F69" s="2"/>
      <c r="G69" s="35"/>
      <c r="H69" s="8"/>
      <c r="I69" s="4"/>
      <c r="J69" s="2"/>
      <c r="K69" s="2"/>
      <c r="L69" s="2"/>
      <c r="M69" s="2"/>
      <c r="N69" s="2"/>
      <c r="O69" s="2"/>
      <c r="P69" s="5"/>
      <c r="Q69" s="5"/>
      <c r="R69" s="5"/>
      <c r="S69" s="5"/>
      <c r="T69" s="5"/>
      <c r="U69" s="2"/>
    </row>
    <row r="70" spans="1:21" ht="21.75" customHeight="1" x14ac:dyDescent="0.35">
      <c r="A70" s="48"/>
      <c r="B70" s="48"/>
      <c r="C70" s="48"/>
      <c r="D70" s="2"/>
      <c r="E70" s="2"/>
      <c r="F70" s="2"/>
      <c r="G70" s="35"/>
      <c r="H70" s="8"/>
      <c r="I70" s="4"/>
      <c r="J70" s="2"/>
      <c r="K70" s="2"/>
      <c r="L70" s="2"/>
      <c r="M70" s="2"/>
      <c r="N70" s="2"/>
      <c r="O70" s="2"/>
      <c r="P70" s="5"/>
      <c r="Q70" s="5"/>
      <c r="R70" s="5"/>
      <c r="S70" s="5"/>
      <c r="T70" s="5"/>
      <c r="U70" s="2"/>
    </row>
    <row r="71" spans="1:21" ht="21.75" customHeight="1" x14ac:dyDescent="0.35">
      <c r="A71" s="48"/>
      <c r="B71" s="48"/>
      <c r="C71" s="48"/>
      <c r="D71" s="2"/>
      <c r="E71" s="2"/>
      <c r="F71" s="2"/>
      <c r="G71" s="35"/>
      <c r="H71" s="8"/>
      <c r="I71" s="4"/>
      <c r="J71" s="2"/>
      <c r="K71" s="2"/>
      <c r="L71" s="2"/>
      <c r="M71" s="2"/>
      <c r="N71" s="2"/>
      <c r="O71" s="2"/>
      <c r="P71" s="5"/>
      <c r="Q71" s="5"/>
      <c r="R71" s="5"/>
      <c r="S71" s="5"/>
      <c r="T71" s="5"/>
      <c r="U71" s="2"/>
    </row>
    <row r="72" spans="1:21" ht="21.75" customHeight="1" x14ac:dyDescent="0.35">
      <c r="A72" s="48"/>
      <c r="B72" s="48"/>
      <c r="C72" s="48"/>
      <c r="D72" s="2"/>
      <c r="E72" s="2"/>
      <c r="F72" s="2"/>
      <c r="G72" s="35"/>
      <c r="H72" s="8"/>
      <c r="I72" s="4"/>
      <c r="J72" s="2"/>
      <c r="K72" s="2"/>
      <c r="L72" s="2"/>
      <c r="M72" s="2"/>
      <c r="N72" s="2"/>
      <c r="O72" s="2"/>
      <c r="P72" s="5"/>
      <c r="Q72" s="5"/>
      <c r="R72" s="5"/>
      <c r="S72" s="5"/>
      <c r="T72" s="5"/>
      <c r="U72" s="2"/>
    </row>
    <row r="73" spans="1:21" ht="21.75" customHeight="1" x14ac:dyDescent="0.35">
      <c r="A73" s="48"/>
      <c r="B73" s="48"/>
      <c r="C73" s="48"/>
      <c r="D73" s="2"/>
      <c r="E73" s="2"/>
      <c r="F73" s="2"/>
      <c r="G73" s="35"/>
      <c r="H73" s="8"/>
      <c r="I73" s="4"/>
      <c r="J73" s="2"/>
      <c r="K73" s="2"/>
      <c r="L73" s="2"/>
      <c r="M73" s="2"/>
      <c r="N73" s="2"/>
      <c r="O73" s="2"/>
      <c r="P73" s="5"/>
      <c r="Q73" s="5"/>
      <c r="R73" s="5"/>
      <c r="S73" s="5"/>
      <c r="T73" s="5"/>
      <c r="U73" s="2"/>
    </row>
    <row r="74" spans="1:21" ht="21.75" customHeight="1" x14ac:dyDescent="0.35">
      <c r="A74" s="48"/>
      <c r="B74" s="48"/>
      <c r="C74" s="48"/>
      <c r="D74" s="2"/>
      <c r="E74" s="2"/>
      <c r="F74" s="2"/>
      <c r="G74" s="35"/>
      <c r="H74" s="8"/>
      <c r="I74" s="4"/>
      <c r="J74" s="2"/>
      <c r="K74" s="2"/>
      <c r="L74" s="2"/>
      <c r="M74" s="2"/>
      <c r="N74" s="2"/>
      <c r="O74" s="2"/>
      <c r="P74" s="5"/>
      <c r="Q74" s="5"/>
      <c r="R74" s="5"/>
      <c r="S74" s="5"/>
      <c r="T74" s="5"/>
      <c r="U74" s="2"/>
    </row>
    <row r="75" spans="1:21" ht="21.75" customHeight="1" x14ac:dyDescent="0.35">
      <c r="A75" s="48"/>
      <c r="B75" s="48"/>
      <c r="C75" s="48"/>
      <c r="D75" s="2"/>
      <c r="E75" s="2"/>
      <c r="F75" s="2"/>
      <c r="G75" s="35"/>
      <c r="H75" s="8"/>
      <c r="I75" s="4"/>
      <c r="J75" s="2"/>
      <c r="K75" s="2"/>
      <c r="L75" s="2"/>
      <c r="M75" s="2"/>
      <c r="N75" s="2"/>
      <c r="O75" s="2"/>
      <c r="P75" s="5"/>
      <c r="Q75" s="5"/>
      <c r="R75" s="5"/>
      <c r="S75" s="5"/>
      <c r="T75" s="5"/>
      <c r="U75" s="2"/>
    </row>
    <row r="76" spans="1:21" ht="21.75" customHeight="1" x14ac:dyDescent="0.35">
      <c r="A76" s="48"/>
      <c r="B76" s="48"/>
      <c r="C76" s="48"/>
      <c r="D76" s="2"/>
      <c r="E76" s="2"/>
      <c r="F76" s="2"/>
      <c r="G76" s="35"/>
      <c r="H76" s="8"/>
      <c r="I76" s="4"/>
      <c r="J76" s="2"/>
      <c r="K76" s="2"/>
      <c r="L76" s="2"/>
      <c r="M76" s="2"/>
      <c r="N76" s="2"/>
      <c r="O76" s="2"/>
      <c r="P76" s="5"/>
      <c r="Q76" s="5"/>
      <c r="R76" s="5"/>
      <c r="S76" s="5"/>
      <c r="T76" s="5"/>
      <c r="U76" s="2"/>
    </row>
    <row r="77" spans="1:21" ht="21.75" customHeight="1" x14ac:dyDescent="0.35">
      <c r="A77" s="48"/>
      <c r="B77" s="48"/>
      <c r="C77" s="48"/>
      <c r="D77" s="2"/>
      <c r="E77" s="2"/>
      <c r="F77" s="2"/>
      <c r="G77" s="35"/>
      <c r="H77" s="8"/>
      <c r="I77" s="4"/>
      <c r="J77" s="2"/>
      <c r="K77" s="2"/>
      <c r="L77" s="2"/>
      <c r="M77" s="2"/>
      <c r="N77" s="2"/>
      <c r="O77" s="2"/>
      <c r="P77" s="5"/>
      <c r="Q77" s="5"/>
      <c r="R77" s="5"/>
      <c r="S77" s="5"/>
      <c r="T77" s="5"/>
      <c r="U77" s="2"/>
    </row>
    <row r="78" spans="1:21" ht="21.75" customHeight="1" x14ac:dyDescent="0.35">
      <c r="A78" s="48"/>
      <c r="B78" s="48"/>
      <c r="C78" s="48"/>
      <c r="D78" s="2"/>
      <c r="E78" s="2"/>
      <c r="F78" s="2"/>
      <c r="G78" s="35"/>
      <c r="H78" s="8"/>
      <c r="I78" s="4"/>
      <c r="J78" s="2"/>
      <c r="K78" s="2"/>
      <c r="L78" s="2"/>
      <c r="M78" s="2"/>
      <c r="N78" s="2"/>
      <c r="O78" s="2"/>
      <c r="P78" s="5"/>
      <c r="Q78" s="5"/>
      <c r="R78" s="5"/>
      <c r="S78" s="5"/>
      <c r="T78" s="5"/>
      <c r="U78" s="2"/>
    </row>
    <row r="79" spans="1:21" ht="21.75" customHeight="1" x14ac:dyDescent="0.35">
      <c r="A79" s="48"/>
      <c r="B79" s="48"/>
      <c r="C79" s="48"/>
      <c r="D79" s="2"/>
      <c r="E79" s="2"/>
      <c r="F79" s="2"/>
      <c r="G79" s="35"/>
      <c r="H79" s="8"/>
      <c r="I79" s="4"/>
      <c r="J79" s="2"/>
      <c r="K79" s="2"/>
      <c r="L79" s="2"/>
      <c r="M79" s="2"/>
      <c r="N79" s="2"/>
      <c r="O79" s="2"/>
      <c r="P79" s="5"/>
      <c r="Q79" s="5"/>
      <c r="R79" s="5"/>
      <c r="S79" s="5"/>
      <c r="T79" s="5"/>
      <c r="U79" s="2"/>
    </row>
    <row r="80" spans="1:21" ht="21.75" customHeight="1" x14ac:dyDescent="0.35">
      <c r="A80" s="48"/>
      <c r="B80" s="48"/>
      <c r="C80" s="48"/>
      <c r="D80" s="2"/>
      <c r="E80" s="2"/>
      <c r="F80" s="2"/>
      <c r="G80" s="35"/>
      <c r="H80" s="8"/>
      <c r="I80" s="4"/>
      <c r="J80" s="2"/>
      <c r="K80" s="2"/>
      <c r="L80" s="2"/>
      <c r="M80" s="2"/>
      <c r="N80" s="2"/>
      <c r="O80" s="2"/>
      <c r="P80" s="5"/>
      <c r="Q80" s="5"/>
      <c r="R80" s="5"/>
      <c r="S80" s="5"/>
      <c r="T80" s="5"/>
      <c r="U80" s="2"/>
    </row>
    <row r="81" spans="1:21" ht="21.75" customHeight="1" x14ac:dyDescent="0.35">
      <c r="A81" s="48"/>
      <c r="B81" s="48"/>
      <c r="C81" s="48"/>
      <c r="D81" s="2"/>
      <c r="E81" s="2"/>
      <c r="F81" s="2"/>
      <c r="G81" s="35"/>
      <c r="H81" s="8"/>
      <c r="I81" s="4"/>
      <c r="J81" s="2"/>
      <c r="K81" s="2"/>
      <c r="L81" s="2"/>
      <c r="M81" s="2"/>
      <c r="N81" s="2"/>
      <c r="O81" s="2"/>
      <c r="P81" s="5"/>
      <c r="Q81" s="5"/>
      <c r="R81" s="5"/>
      <c r="S81" s="5"/>
      <c r="T81" s="5"/>
      <c r="U81" s="2"/>
    </row>
    <row r="82" spans="1:21" ht="21.75" customHeight="1" x14ac:dyDescent="0.35">
      <c r="A82" s="48"/>
      <c r="B82" s="48"/>
      <c r="C82" s="48"/>
      <c r="D82" s="2"/>
      <c r="E82" s="2"/>
      <c r="F82" s="2"/>
      <c r="G82" s="35"/>
      <c r="H82" s="8"/>
      <c r="I82" s="4"/>
      <c r="J82" s="2"/>
      <c r="K82" s="2"/>
      <c r="L82" s="2"/>
      <c r="M82" s="2"/>
      <c r="N82" s="2"/>
      <c r="O82" s="2"/>
      <c r="P82" s="5"/>
      <c r="Q82" s="5"/>
      <c r="R82" s="5"/>
      <c r="S82" s="5"/>
      <c r="T82" s="5"/>
      <c r="U82" s="2"/>
    </row>
    <row r="83" spans="1:21" ht="21.75" customHeight="1" x14ac:dyDescent="0.35">
      <c r="A83" s="48"/>
      <c r="B83" s="48"/>
      <c r="C83" s="48"/>
      <c r="D83" s="2"/>
      <c r="E83" s="2"/>
      <c r="F83" s="2"/>
      <c r="G83" s="35"/>
      <c r="H83" s="8"/>
      <c r="I83" s="4"/>
      <c r="J83" s="2"/>
      <c r="K83" s="2"/>
      <c r="L83" s="2"/>
      <c r="M83" s="2"/>
      <c r="N83" s="2"/>
      <c r="O83" s="2"/>
      <c r="P83" s="5"/>
      <c r="Q83" s="5"/>
      <c r="R83" s="5"/>
      <c r="S83" s="5"/>
      <c r="T83" s="5"/>
      <c r="U83" s="2"/>
    </row>
    <row r="84" spans="1:21" ht="21.75" customHeight="1" x14ac:dyDescent="0.35">
      <c r="A84" s="48"/>
      <c r="B84" s="48"/>
      <c r="C84" s="48"/>
      <c r="D84" s="2"/>
      <c r="E84" s="2"/>
      <c r="F84" s="2"/>
      <c r="G84" s="35"/>
      <c r="H84" s="8"/>
      <c r="I84" s="4"/>
      <c r="J84" s="2"/>
      <c r="K84" s="2"/>
      <c r="L84" s="2"/>
      <c r="M84" s="2"/>
      <c r="N84" s="2"/>
      <c r="O84" s="2"/>
      <c r="P84" s="5"/>
      <c r="Q84" s="5"/>
      <c r="R84" s="5"/>
      <c r="S84" s="5"/>
      <c r="T84" s="5"/>
      <c r="U84" s="2"/>
    </row>
    <row r="85" spans="1:21" ht="21.75" customHeight="1" x14ac:dyDescent="0.35">
      <c r="A85" s="48"/>
      <c r="B85" s="48"/>
      <c r="C85" s="48"/>
      <c r="D85" s="2"/>
      <c r="E85" s="2"/>
      <c r="F85" s="2"/>
      <c r="G85" s="35"/>
      <c r="H85" s="8"/>
      <c r="I85" s="4"/>
      <c r="J85" s="2"/>
      <c r="K85" s="2"/>
      <c r="L85" s="2"/>
      <c r="M85" s="2"/>
      <c r="N85" s="2"/>
      <c r="O85" s="2"/>
      <c r="P85" s="5"/>
      <c r="Q85" s="5"/>
      <c r="R85" s="5"/>
      <c r="S85" s="5"/>
      <c r="T85" s="5"/>
      <c r="U85" s="2"/>
    </row>
    <row r="86" spans="1:21" ht="21.75" customHeight="1" x14ac:dyDescent="0.35">
      <c r="A86" s="48"/>
      <c r="B86" s="48"/>
      <c r="C86" s="48"/>
      <c r="D86" s="2"/>
      <c r="E86" s="2"/>
      <c r="F86" s="2"/>
      <c r="G86" s="35"/>
      <c r="H86" s="8"/>
      <c r="I86" s="4"/>
      <c r="J86" s="2"/>
      <c r="K86" s="2"/>
      <c r="L86" s="2"/>
      <c r="M86" s="2"/>
      <c r="N86" s="2"/>
      <c r="O86" s="2"/>
      <c r="P86" s="5"/>
      <c r="Q86" s="5"/>
      <c r="R86" s="5"/>
      <c r="S86" s="5"/>
      <c r="T86" s="5"/>
      <c r="U86" s="2"/>
    </row>
    <row r="87" spans="1:21" ht="21.75" customHeight="1" x14ac:dyDescent="0.35">
      <c r="A87" s="48"/>
      <c r="B87" s="48"/>
      <c r="C87" s="48"/>
      <c r="D87" s="2"/>
      <c r="E87" s="2"/>
      <c r="F87" s="2"/>
      <c r="G87" s="35"/>
      <c r="H87" s="8"/>
      <c r="I87" s="4"/>
      <c r="J87" s="2"/>
      <c r="K87" s="2"/>
      <c r="L87" s="2"/>
      <c r="M87" s="2"/>
      <c r="N87" s="2"/>
      <c r="O87" s="2"/>
      <c r="P87" s="5"/>
      <c r="Q87" s="5"/>
      <c r="R87" s="5"/>
      <c r="S87" s="5"/>
      <c r="T87" s="5"/>
      <c r="U87" s="2"/>
    </row>
    <row r="88" spans="1:21" ht="21.75" customHeight="1" x14ac:dyDescent="0.35">
      <c r="A88" s="48"/>
      <c r="B88" s="48"/>
      <c r="C88" s="48"/>
      <c r="D88" s="2"/>
      <c r="E88" s="2"/>
      <c r="F88" s="2"/>
      <c r="G88" s="35"/>
      <c r="H88" s="8"/>
      <c r="I88" s="4"/>
      <c r="J88" s="2"/>
      <c r="K88" s="2"/>
      <c r="L88" s="2"/>
      <c r="M88" s="2"/>
      <c r="N88" s="2"/>
      <c r="O88" s="2"/>
      <c r="P88" s="5"/>
      <c r="Q88" s="5"/>
      <c r="R88" s="5"/>
      <c r="S88" s="5"/>
      <c r="T88" s="5"/>
      <c r="U88" s="2"/>
    </row>
    <row r="89" spans="1:21" ht="21.75" customHeight="1" x14ac:dyDescent="0.35">
      <c r="A89" s="48"/>
      <c r="B89" s="48"/>
      <c r="C89" s="48"/>
      <c r="D89" s="2"/>
      <c r="E89" s="2"/>
      <c r="F89" s="2"/>
      <c r="G89" s="35"/>
      <c r="H89" s="8"/>
      <c r="I89" s="4"/>
      <c r="J89" s="2"/>
      <c r="K89" s="2"/>
      <c r="L89" s="2"/>
      <c r="M89" s="2"/>
      <c r="N89" s="2"/>
      <c r="O89" s="2"/>
      <c r="P89" s="5"/>
      <c r="Q89" s="5"/>
      <c r="R89" s="5"/>
      <c r="S89" s="5"/>
      <c r="T89" s="5"/>
      <c r="U89" s="2"/>
    </row>
    <row r="90" spans="1:21" ht="21.75" customHeight="1" x14ac:dyDescent="0.35">
      <c r="A90" s="48"/>
      <c r="B90" s="48"/>
      <c r="C90" s="48"/>
      <c r="D90" s="2"/>
      <c r="E90" s="2"/>
      <c r="F90" s="2"/>
      <c r="G90" s="35"/>
      <c r="H90" s="8"/>
      <c r="I90" s="4"/>
      <c r="J90" s="2"/>
      <c r="K90" s="2"/>
      <c r="L90" s="2"/>
      <c r="M90" s="2"/>
      <c r="N90" s="2"/>
      <c r="O90" s="2"/>
      <c r="P90" s="5"/>
      <c r="Q90" s="5"/>
      <c r="R90" s="5"/>
      <c r="S90" s="5"/>
      <c r="T90" s="5"/>
      <c r="U90" s="2"/>
    </row>
    <row r="91" spans="1:21" ht="21.75" customHeight="1" x14ac:dyDescent="0.35">
      <c r="A91" s="48"/>
      <c r="B91" s="48"/>
      <c r="C91" s="48"/>
      <c r="D91" s="2"/>
      <c r="E91" s="2"/>
      <c r="F91" s="2"/>
      <c r="G91" s="35"/>
      <c r="H91" s="8"/>
      <c r="I91" s="4"/>
      <c r="J91" s="2"/>
      <c r="K91" s="2"/>
      <c r="L91" s="2"/>
      <c r="M91" s="2"/>
      <c r="N91" s="2"/>
      <c r="O91" s="2"/>
      <c r="P91" s="5"/>
      <c r="Q91" s="5"/>
      <c r="R91" s="5"/>
      <c r="S91" s="5"/>
      <c r="T91" s="5"/>
      <c r="U91" s="2"/>
    </row>
    <row r="92" spans="1:21" ht="21.75" customHeight="1" x14ac:dyDescent="0.35">
      <c r="A92" s="48"/>
      <c r="B92" s="48"/>
      <c r="C92" s="48"/>
      <c r="D92" s="2"/>
      <c r="E92" s="2"/>
      <c r="F92" s="2"/>
      <c r="G92" s="35"/>
      <c r="H92" s="8"/>
      <c r="I92" s="4"/>
      <c r="J92" s="2"/>
      <c r="K92" s="2"/>
      <c r="L92" s="2"/>
      <c r="M92" s="2"/>
      <c r="N92" s="2"/>
      <c r="O92" s="2"/>
      <c r="P92" s="5"/>
      <c r="Q92" s="5"/>
      <c r="R92" s="5"/>
      <c r="S92" s="5"/>
      <c r="T92" s="5"/>
      <c r="U92" s="2"/>
    </row>
    <row r="93" spans="1:21" ht="21.75" customHeight="1" x14ac:dyDescent="0.35">
      <c r="A93" s="48"/>
      <c r="B93" s="48"/>
      <c r="C93" s="48"/>
      <c r="D93" s="2"/>
      <c r="E93" s="2"/>
      <c r="F93" s="2"/>
      <c r="G93" s="35"/>
      <c r="H93" s="8"/>
      <c r="I93" s="4"/>
      <c r="J93" s="2"/>
      <c r="K93" s="2"/>
      <c r="L93" s="2"/>
      <c r="M93" s="2"/>
      <c r="N93" s="2"/>
      <c r="O93" s="2"/>
      <c r="P93" s="5"/>
      <c r="Q93" s="5"/>
      <c r="R93" s="5"/>
      <c r="S93" s="5"/>
      <c r="T93" s="5"/>
      <c r="U93" s="2"/>
    </row>
    <row r="94" spans="1:21" ht="21.75" customHeight="1" x14ac:dyDescent="0.35">
      <c r="A94" s="48"/>
      <c r="B94" s="48"/>
      <c r="C94" s="48"/>
      <c r="D94" s="2"/>
      <c r="E94" s="2"/>
      <c r="F94" s="2"/>
      <c r="G94" s="35"/>
      <c r="H94" s="8"/>
      <c r="I94" s="4"/>
      <c r="J94" s="2"/>
      <c r="K94" s="2"/>
      <c r="L94" s="2"/>
      <c r="M94" s="2"/>
      <c r="N94" s="2"/>
      <c r="O94" s="2"/>
      <c r="P94" s="5"/>
      <c r="Q94" s="5"/>
      <c r="R94" s="5"/>
      <c r="S94" s="5"/>
      <c r="T94" s="5"/>
      <c r="U94" s="2"/>
    </row>
    <row r="95" spans="1:21" ht="21.75" customHeight="1" x14ac:dyDescent="0.35">
      <c r="A95" s="48"/>
      <c r="B95" s="48"/>
      <c r="C95" s="48"/>
      <c r="D95" s="2"/>
      <c r="E95" s="2"/>
      <c r="F95" s="2"/>
      <c r="G95" s="35"/>
      <c r="H95" s="8"/>
      <c r="I95" s="4"/>
      <c r="J95" s="2"/>
      <c r="K95" s="2"/>
      <c r="L95" s="2"/>
      <c r="M95" s="2"/>
      <c r="N95" s="2"/>
      <c r="O95" s="2"/>
      <c r="P95" s="5"/>
      <c r="Q95" s="5"/>
      <c r="R95" s="5"/>
      <c r="S95" s="5"/>
      <c r="T95" s="5"/>
      <c r="U95" s="2"/>
    </row>
    <row r="96" spans="1:21" ht="21.75" customHeight="1" x14ac:dyDescent="0.35">
      <c r="A96" s="48"/>
      <c r="B96" s="48"/>
      <c r="C96" s="48"/>
      <c r="D96" s="2"/>
      <c r="E96" s="2"/>
      <c r="F96" s="2"/>
      <c r="G96" s="35"/>
      <c r="H96" s="8"/>
      <c r="I96" s="4"/>
      <c r="J96" s="2"/>
      <c r="K96" s="2"/>
      <c r="L96" s="2"/>
      <c r="M96" s="2"/>
      <c r="N96" s="2"/>
      <c r="O96" s="2"/>
      <c r="P96" s="5"/>
      <c r="Q96" s="5"/>
      <c r="R96" s="5"/>
      <c r="S96" s="5"/>
      <c r="T96" s="5"/>
      <c r="U96" s="2"/>
    </row>
    <row r="97" spans="1:21" ht="21.75" customHeight="1" x14ac:dyDescent="0.35">
      <c r="A97" s="48"/>
      <c r="B97" s="48"/>
      <c r="C97" s="48"/>
      <c r="D97" s="2"/>
      <c r="E97" s="2"/>
      <c r="F97" s="2"/>
      <c r="G97" s="35"/>
      <c r="H97" s="8"/>
      <c r="I97" s="4"/>
      <c r="J97" s="2"/>
      <c r="K97" s="2"/>
      <c r="L97" s="2"/>
      <c r="M97" s="2"/>
      <c r="N97" s="2"/>
      <c r="O97" s="2"/>
      <c r="P97" s="5"/>
      <c r="Q97" s="5"/>
      <c r="R97" s="5"/>
      <c r="S97" s="5"/>
      <c r="T97" s="5"/>
      <c r="U97" s="2"/>
    </row>
    <row r="98" spans="1:21" ht="21.75" customHeight="1" x14ac:dyDescent="0.35">
      <c r="A98" s="48"/>
      <c r="B98" s="48"/>
      <c r="C98" s="48"/>
      <c r="D98" s="2"/>
      <c r="E98" s="2"/>
      <c r="F98" s="2"/>
      <c r="G98" s="35"/>
      <c r="H98" s="8"/>
      <c r="I98" s="4"/>
      <c r="J98" s="2"/>
      <c r="K98" s="2"/>
      <c r="L98" s="2"/>
      <c r="M98" s="2"/>
      <c r="N98" s="2"/>
      <c r="O98" s="2"/>
      <c r="P98" s="5"/>
      <c r="Q98" s="5"/>
      <c r="R98" s="5"/>
      <c r="S98" s="5"/>
      <c r="T98" s="5"/>
      <c r="U98" s="2"/>
    </row>
    <row r="99" spans="1:21" ht="21.75" customHeight="1" x14ac:dyDescent="0.35">
      <c r="A99" s="48"/>
      <c r="B99" s="48"/>
      <c r="C99" s="48"/>
      <c r="D99" s="2"/>
      <c r="E99" s="2"/>
      <c r="F99" s="2"/>
      <c r="G99" s="35"/>
      <c r="H99" s="8"/>
      <c r="I99" s="4"/>
      <c r="J99" s="2"/>
      <c r="K99" s="2"/>
      <c r="L99" s="2"/>
      <c r="M99" s="2"/>
      <c r="N99" s="2"/>
      <c r="O99" s="2"/>
      <c r="P99" s="5"/>
      <c r="Q99" s="5"/>
      <c r="R99" s="5"/>
      <c r="S99" s="5"/>
      <c r="T99" s="5"/>
      <c r="U99" s="2"/>
    </row>
    <row r="100" spans="1:21" ht="21.75" customHeight="1" x14ac:dyDescent="0.35">
      <c r="A100" s="48"/>
      <c r="B100" s="48"/>
      <c r="C100" s="48"/>
      <c r="D100" s="2"/>
      <c r="E100" s="2"/>
      <c r="F100" s="2"/>
      <c r="G100" s="35"/>
      <c r="H100" s="8"/>
      <c r="I100" s="4"/>
      <c r="J100" s="2"/>
      <c r="K100" s="2"/>
      <c r="L100" s="2"/>
      <c r="M100" s="2"/>
      <c r="N100" s="2"/>
      <c r="O100" s="2"/>
      <c r="P100" s="5"/>
      <c r="Q100" s="5"/>
      <c r="R100" s="5"/>
      <c r="S100" s="5"/>
      <c r="T100" s="5"/>
      <c r="U100" s="2"/>
    </row>
    <row r="101" spans="1:21" ht="21.75" customHeight="1" x14ac:dyDescent="0.35">
      <c r="A101" s="48"/>
      <c r="B101" s="48"/>
      <c r="C101" s="48"/>
      <c r="D101" s="2"/>
      <c r="E101" s="2"/>
      <c r="F101" s="2"/>
      <c r="G101" s="35"/>
      <c r="H101" s="8"/>
      <c r="I101" s="4"/>
      <c r="J101" s="2"/>
      <c r="K101" s="2"/>
      <c r="L101" s="2"/>
      <c r="M101" s="2"/>
      <c r="N101" s="2"/>
      <c r="O101" s="2"/>
      <c r="P101" s="5"/>
      <c r="Q101" s="5"/>
      <c r="R101" s="5"/>
      <c r="S101" s="5"/>
      <c r="T101" s="5"/>
      <c r="U101" s="2"/>
    </row>
    <row r="102" spans="1:21" ht="21.75" customHeight="1" x14ac:dyDescent="0.35">
      <c r="A102" s="48"/>
      <c r="B102" s="48"/>
      <c r="C102" s="48"/>
      <c r="D102" s="2"/>
      <c r="E102" s="2"/>
      <c r="F102" s="2"/>
      <c r="G102" s="35"/>
      <c r="H102" s="8"/>
      <c r="I102" s="4"/>
      <c r="J102" s="2"/>
      <c r="K102" s="2"/>
      <c r="L102" s="2"/>
      <c r="M102" s="2"/>
      <c r="N102" s="2"/>
      <c r="O102" s="2"/>
      <c r="P102" s="5"/>
      <c r="Q102" s="5"/>
      <c r="R102" s="5"/>
      <c r="S102" s="5"/>
      <c r="T102" s="5"/>
      <c r="U102" s="2"/>
    </row>
    <row r="103" spans="1:21" ht="21.75" customHeight="1" x14ac:dyDescent="0.35">
      <c r="A103" s="48"/>
      <c r="B103" s="48"/>
      <c r="C103" s="48"/>
      <c r="D103" s="2"/>
      <c r="E103" s="2"/>
      <c r="F103" s="2"/>
      <c r="G103" s="35"/>
      <c r="H103" s="8"/>
      <c r="I103" s="4"/>
      <c r="J103" s="2"/>
      <c r="K103" s="2"/>
      <c r="L103" s="2"/>
      <c r="M103" s="2"/>
      <c r="N103" s="2"/>
      <c r="O103" s="2"/>
      <c r="P103" s="5"/>
      <c r="Q103" s="5"/>
      <c r="R103" s="5"/>
      <c r="S103" s="5"/>
      <c r="T103" s="5"/>
      <c r="U103" s="2"/>
    </row>
    <row r="104" spans="1:21" ht="21.75" customHeight="1" x14ac:dyDescent="0.35">
      <c r="A104" s="48"/>
      <c r="B104" s="48"/>
      <c r="C104" s="48"/>
      <c r="D104" s="2"/>
      <c r="E104" s="2"/>
      <c r="F104" s="2"/>
      <c r="G104" s="35"/>
      <c r="H104" s="8"/>
      <c r="I104" s="4"/>
      <c r="J104" s="2"/>
      <c r="K104" s="2"/>
      <c r="L104" s="2"/>
      <c r="M104" s="2"/>
      <c r="N104" s="2"/>
      <c r="O104" s="2"/>
      <c r="P104" s="5"/>
      <c r="Q104" s="5"/>
      <c r="R104" s="5"/>
      <c r="S104" s="5"/>
      <c r="T104" s="5"/>
      <c r="U104" s="2"/>
    </row>
    <row r="105" spans="1:21" ht="21.75" customHeight="1" x14ac:dyDescent="0.35">
      <c r="A105" s="48"/>
      <c r="B105" s="48"/>
      <c r="C105" s="48"/>
      <c r="D105" s="2"/>
      <c r="E105" s="2"/>
      <c r="F105" s="2"/>
      <c r="G105" s="35"/>
      <c r="H105" s="8"/>
      <c r="I105" s="4"/>
      <c r="J105" s="2"/>
      <c r="K105" s="2"/>
      <c r="L105" s="2"/>
      <c r="M105" s="2"/>
      <c r="N105" s="2"/>
      <c r="O105" s="2"/>
      <c r="P105" s="5"/>
      <c r="Q105" s="5"/>
      <c r="R105" s="5"/>
      <c r="S105" s="5"/>
      <c r="T105" s="5"/>
      <c r="U105" s="2"/>
    </row>
    <row r="106" spans="1:21" ht="21.75" customHeight="1" x14ac:dyDescent="0.35">
      <c r="A106" s="48"/>
      <c r="B106" s="48"/>
      <c r="C106" s="48"/>
      <c r="D106" s="2"/>
      <c r="E106" s="2"/>
      <c r="F106" s="2"/>
      <c r="G106" s="35"/>
      <c r="H106" s="8"/>
      <c r="I106" s="4"/>
      <c r="J106" s="2"/>
      <c r="K106" s="2"/>
      <c r="L106" s="2"/>
      <c r="M106" s="2"/>
      <c r="N106" s="2"/>
      <c r="O106" s="2"/>
      <c r="P106" s="5"/>
      <c r="Q106" s="5"/>
      <c r="R106" s="5"/>
      <c r="S106" s="5"/>
      <c r="T106" s="5"/>
      <c r="U106" s="2"/>
    </row>
    <row r="107" spans="1:21" ht="21.75" customHeight="1" x14ac:dyDescent="0.35">
      <c r="A107" s="48"/>
      <c r="B107" s="49" t="s">
        <v>80</v>
      </c>
      <c r="C107" s="50" t="s">
        <v>82</v>
      </c>
      <c r="D107" s="50" t="s">
        <v>83</v>
      </c>
      <c r="E107" s="50" t="s">
        <v>85</v>
      </c>
      <c r="F107" s="50" t="s">
        <v>85</v>
      </c>
      <c r="G107" s="35"/>
      <c r="H107" s="8"/>
      <c r="I107" s="4"/>
      <c r="J107" s="2"/>
      <c r="K107" s="2"/>
      <c r="L107" s="2" t="s">
        <v>86</v>
      </c>
      <c r="M107" s="2" t="s">
        <v>86</v>
      </c>
      <c r="N107" s="2"/>
      <c r="O107" s="2"/>
      <c r="P107" s="5"/>
      <c r="Q107" s="5"/>
      <c r="R107" s="5" t="s">
        <v>88</v>
      </c>
      <c r="S107" s="5"/>
      <c r="T107" s="51" t="s">
        <v>89</v>
      </c>
      <c r="U107" s="2"/>
    </row>
    <row r="108" spans="1:21" ht="21.75" customHeight="1" x14ac:dyDescent="0.35">
      <c r="A108" s="48"/>
      <c r="B108" s="49" t="s">
        <v>81</v>
      </c>
      <c r="C108" s="50" t="s">
        <v>81</v>
      </c>
      <c r="D108" s="50" t="s">
        <v>81</v>
      </c>
      <c r="E108" s="50" t="s">
        <v>84</v>
      </c>
      <c r="F108" s="50" t="s">
        <v>84</v>
      </c>
      <c r="G108" s="50" t="s">
        <v>84</v>
      </c>
      <c r="H108" s="50" t="s">
        <v>81</v>
      </c>
      <c r="I108" s="50" t="s">
        <v>81</v>
      </c>
      <c r="J108" s="50" t="s">
        <v>81</v>
      </c>
      <c r="K108" s="50" t="s">
        <v>81</v>
      </c>
      <c r="L108" s="50" t="s">
        <v>81</v>
      </c>
      <c r="M108" s="50" t="s">
        <v>81</v>
      </c>
      <c r="N108" s="50" t="s">
        <v>81</v>
      </c>
      <c r="O108" s="50" t="s">
        <v>81</v>
      </c>
      <c r="P108" s="50" t="s">
        <v>87</v>
      </c>
      <c r="Q108" s="50" t="s">
        <v>87</v>
      </c>
      <c r="R108" s="50" t="s">
        <v>81</v>
      </c>
      <c r="S108" s="50" t="s">
        <v>81</v>
      </c>
      <c r="T108" s="50" t="s">
        <v>81</v>
      </c>
      <c r="U108" s="2"/>
    </row>
    <row r="109" spans="1:21" ht="21.75" customHeight="1" x14ac:dyDescent="0.35">
      <c r="A109" s="48"/>
      <c r="B109" s="48"/>
      <c r="C109" s="48"/>
      <c r="D109" s="48"/>
      <c r="E109" s="2"/>
      <c r="F109" s="2"/>
      <c r="G109" s="35"/>
      <c r="H109" s="8"/>
      <c r="I109" s="4"/>
      <c r="J109" s="2"/>
      <c r="K109" s="2"/>
      <c r="L109" s="2"/>
      <c r="M109" s="2"/>
      <c r="N109" s="2"/>
      <c r="O109" s="2"/>
      <c r="P109" s="5"/>
      <c r="Q109" s="5"/>
      <c r="R109" s="5"/>
      <c r="S109" s="5"/>
      <c r="T109" s="5"/>
      <c r="U109" s="2"/>
    </row>
    <row r="110" spans="1:21" ht="21.75" customHeight="1" x14ac:dyDescent="0.35">
      <c r="A110" s="57" t="s">
        <v>51</v>
      </c>
      <c r="B110" s="57"/>
      <c r="C110" s="39"/>
      <c r="D110" s="39"/>
      <c r="E110" s="36"/>
      <c r="F110" s="37">
        <f>SUM(G4:G8)</f>
        <v>580.75</v>
      </c>
      <c r="G110" s="37">
        <f>SUM(G4:G8)</f>
        <v>580.75</v>
      </c>
      <c r="H110" s="36"/>
      <c r="I110" s="38">
        <f>AVERAGE(I4:I8)</f>
        <v>0.57780462207773053</v>
      </c>
      <c r="J110" s="9">
        <f>SUM(J4:J8)</f>
        <v>25.4</v>
      </c>
      <c r="K110" s="9"/>
      <c r="L110" s="9"/>
      <c r="M110" s="9"/>
      <c r="N110" s="9"/>
      <c r="O110" s="9"/>
      <c r="P110" s="36"/>
      <c r="Q110" s="36"/>
      <c r="R110" s="36"/>
      <c r="S110" s="36"/>
      <c r="T110" s="36"/>
      <c r="U110" s="36"/>
    </row>
    <row r="112" spans="1:21" x14ac:dyDescent="0.35">
      <c r="A112" s="10" t="s">
        <v>52</v>
      </c>
    </row>
    <row r="113" spans="1:5" x14ac:dyDescent="0.35">
      <c r="A113" s="11" t="s">
        <v>6</v>
      </c>
      <c r="B113" s="12" t="s">
        <v>7</v>
      </c>
      <c r="C113" s="12"/>
      <c r="D113" s="12"/>
      <c r="E113" s="13" t="s">
        <v>8</v>
      </c>
    </row>
    <row r="117" spans="1:5" hidden="1" x14ac:dyDescent="0.35">
      <c r="B117" t="s">
        <v>53</v>
      </c>
    </row>
    <row r="118" spans="1:5" hidden="1" x14ac:dyDescent="0.35">
      <c r="B118" t="s">
        <v>54</v>
      </c>
    </row>
    <row r="119" spans="1:5" hidden="1" x14ac:dyDescent="0.35">
      <c r="B119" t="s">
        <v>55</v>
      </c>
    </row>
    <row r="120" spans="1:5" hidden="1" x14ac:dyDescent="0.35">
      <c r="B120" t="s">
        <v>56</v>
      </c>
    </row>
  </sheetData>
  <mergeCells count="3">
    <mergeCell ref="A1:U1"/>
    <mergeCell ref="A2:U2"/>
    <mergeCell ref="A110:B110"/>
  </mergeCells>
  <dataValidations disablePrompts="1" count="3">
    <dataValidation type="list" allowBlank="1" showInputMessage="1" showErrorMessage="1" sqref="N109 N66:N107" xr:uid="{F4423226-3F8A-4C12-B724-8635E2E436CC}">
      <formula1>$X$4:$X$5</formula1>
    </dataValidation>
    <dataValidation type="list" allowBlank="1" showInputMessage="1" showErrorMessage="1" sqref="C109:D109 C4:C106" xr:uid="{8E9A7ED2-A97F-4057-A7C8-45886F73C0AC}">
      <formula1>$B$117:$B$120</formula1>
    </dataValidation>
    <dataValidation type="list" allowBlank="1" showInputMessage="1" showErrorMessage="1" sqref="O52 O49 O47 O24 O17 N4:N65" xr:uid="{D6879882-2DCA-422C-92ED-671BDC6450F0}">
      <formula1>$X$4:$X$60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20CE-B4D1-4126-AD20-C6348C2892C8}">
  <dimension ref="A1:W53"/>
  <sheetViews>
    <sheetView topLeftCell="P1" workbookViewId="0">
      <selection activeCell="X3" sqref="X3"/>
    </sheetView>
  </sheetViews>
  <sheetFormatPr defaultRowHeight="14.5" x14ac:dyDescent="0.35"/>
  <cols>
    <col min="1" max="1" width="11.1796875" bestFit="1" customWidth="1"/>
    <col min="2" max="2" width="17.7265625" bestFit="1" customWidth="1"/>
    <col min="3" max="3" width="15" bestFit="1" customWidth="1"/>
    <col min="4" max="4" width="10.54296875" bestFit="1" customWidth="1"/>
    <col min="5" max="5" width="15.453125" bestFit="1" customWidth="1"/>
    <col min="6" max="6" width="15.7265625" bestFit="1" customWidth="1"/>
    <col min="7" max="7" width="21" bestFit="1" customWidth="1"/>
    <col min="8" max="8" width="20.1796875" bestFit="1" customWidth="1"/>
    <col min="9" max="9" width="19.81640625" bestFit="1" customWidth="1"/>
    <col min="10" max="10" width="26" bestFit="1" customWidth="1"/>
    <col min="11" max="11" width="15.26953125" bestFit="1" customWidth="1"/>
    <col min="12" max="12" width="22.7265625" bestFit="1" customWidth="1"/>
    <col min="13" max="13" width="22.54296875" bestFit="1" customWidth="1"/>
    <col min="14" max="14" width="17.26953125" bestFit="1" customWidth="1"/>
    <col min="15" max="15" width="18.453125" bestFit="1" customWidth="1"/>
    <col min="16" max="16" width="23.1796875" bestFit="1" customWidth="1"/>
    <col min="17" max="17" width="23" bestFit="1" customWidth="1"/>
    <col min="18" max="19" width="17.1796875" bestFit="1" customWidth="1"/>
    <col min="20" max="20" width="25.1796875" bestFit="1" customWidth="1"/>
    <col min="21" max="21" width="26.7265625" bestFit="1" customWidth="1"/>
    <col min="22" max="22" width="18" bestFit="1" customWidth="1"/>
    <col min="23" max="23" width="30.81640625" bestFit="1" customWidth="1"/>
  </cols>
  <sheetData>
    <row r="1" spans="1:23" ht="18" x14ac:dyDescent="0.4">
      <c r="A1" s="86" t="s">
        <v>57</v>
      </c>
      <c r="B1" s="86"/>
      <c r="C1" s="86"/>
      <c r="D1" s="86"/>
      <c r="E1" s="86"/>
      <c r="F1" s="86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 spans="1:23" x14ac:dyDescent="0.3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</row>
    <row r="3" spans="1:23" x14ac:dyDescent="0.35">
      <c r="A3" s="45" t="s">
        <v>58</v>
      </c>
      <c r="B3" s="46" t="s">
        <v>59</v>
      </c>
      <c r="C3" s="46" t="s">
        <v>60</v>
      </c>
      <c r="D3" s="46" t="s">
        <v>61</v>
      </c>
      <c r="E3" s="46" t="s">
        <v>62</v>
      </c>
      <c r="F3" s="46" t="s">
        <v>63</v>
      </c>
      <c r="G3" s="46" t="s">
        <v>64</v>
      </c>
      <c r="H3" s="46" t="s">
        <v>65</v>
      </c>
      <c r="I3" s="46" t="s">
        <v>66</v>
      </c>
      <c r="J3" s="46" t="s">
        <v>67</v>
      </c>
      <c r="K3" s="46" t="s">
        <v>38</v>
      </c>
      <c r="L3" s="46" t="s">
        <v>68</v>
      </c>
      <c r="M3" s="46" t="s">
        <v>69</v>
      </c>
      <c r="N3" s="46" t="s">
        <v>37</v>
      </c>
      <c r="O3" s="46" t="s">
        <v>70</v>
      </c>
      <c r="P3" s="46" t="s">
        <v>71</v>
      </c>
      <c r="Q3" s="46" t="s">
        <v>72</v>
      </c>
      <c r="R3" s="46" t="s">
        <v>73</v>
      </c>
      <c r="S3" s="46" t="s">
        <v>74</v>
      </c>
      <c r="T3" s="46" t="s">
        <v>75</v>
      </c>
      <c r="U3" s="46" t="s">
        <v>76</v>
      </c>
      <c r="V3" s="46" t="s">
        <v>77</v>
      </c>
      <c r="W3" s="46" t="s">
        <v>78</v>
      </c>
    </row>
    <row r="4" spans="1:23" x14ac:dyDescent="0.35">
      <c r="A4" s="42" t="s">
        <v>79</v>
      </c>
      <c r="B4" s="43" t="s">
        <v>79</v>
      </c>
      <c r="C4" s="43" t="s">
        <v>79</v>
      </c>
      <c r="D4" s="43" t="s">
        <v>79</v>
      </c>
      <c r="E4" s="43" t="s">
        <v>79</v>
      </c>
      <c r="F4" s="43" t="s">
        <v>79</v>
      </c>
      <c r="G4" s="43" t="s">
        <v>79</v>
      </c>
      <c r="H4" s="43" t="s">
        <v>79</v>
      </c>
      <c r="I4" s="43" t="s">
        <v>79</v>
      </c>
      <c r="J4" s="43" t="s">
        <v>79</v>
      </c>
      <c r="K4" s="43" t="s">
        <v>79</v>
      </c>
      <c r="L4" s="43" t="s">
        <v>79</v>
      </c>
      <c r="M4" s="43" t="s">
        <v>79</v>
      </c>
      <c r="N4" s="43" t="s">
        <v>79</v>
      </c>
      <c r="O4" s="43" t="s">
        <v>79</v>
      </c>
      <c r="P4" s="43" t="s">
        <v>79</v>
      </c>
      <c r="Q4" s="43" t="s">
        <v>79</v>
      </c>
      <c r="R4" s="43" t="s">
        <v>79</v>
      </c>
      <c r="S4" s="43" t="s">
        <v>79</v>
      </c>
      <c r="T4" s="43" t="s">
        <v>79</v>
      </c>
      <c r="U4" s="43" t="s">
        <v>79</v>
      </c>
      <c r="V4" s="43" t="s">
        <v>79</v>
      </c>
      <c r="W4" s="43" t="s">
        <v>79</v>
      </c>
    </row>
    <row r="5" spans="1:23" x14ac:dyDescent="0.35">
      <c r="A5" s="44" t="s">
        <v>79</v>
      </c>
      <c r="B5" s="41" t="s">
        <v>79</v>
      </c>
      <c r="C5" s="41" t="s">
        <v>79</v>
      </c>
      <c r="D5" s="41" t="s">
        <v>79</v>
      </c>
      <c r="E5" s="41" t="s">
        <v>79</v>
      </c>
      <c r="F5" s="41" t="s">
        <v>79</v>
      </c>
      <c r="G5" s="41" t="s">
        <v>79</v>
      </c>
      <c r="H5" s="41" t="s">
        <v>79</v>
      </c>
      <c r="I5" s="41" t="s">
        <v>79</v>
      </c>
      <c r="J5" s="41" t="s">
        <v>79</v>
      </c>
      <c r="K5" s="41" t="s">
        <v>79</v>
      </c>
      <c r="L5" s="41" t="s">
        <v>79</v>
      </c>
      <c r="M5" s="41" t="s">
        <v>79</v>
      </c>
      <c r="N5" s="41" t="s">
        <v>79</v>
      </c>
      <c r="O5" s="41" t="s">
        <v>79</v>
      </c>
      <c r="P5" s="41" t="s">
        <v>79</v>
      </c>
      <c r="Q5" s="41" t="s">
        <v>79</v>
      </c>
      <c r="R5" s="41" t="s">
        <v>79</v>
      </c>
      <c r="S5" s="41" t="s">
        <v>79</v>
      </c>
      <c r="T5" s="41" t="s">
        <v>79</v>
      </c>
      <c r="U5" s="41" t="s">
        <v>79</v>
      </c>
      <c r="V5" s="41" t="s">
        <v>79</v>
      </c>
      <c r="W5" s="41" t="s">
        <v>79</v>
      </c>
    </row>
    <row r="6" spans="1:23" x14ac:dyDescent="0.35">
      <c r="A6" s="42" t="s">
        <v>79</v>
      </c>
      <c r="B6" s="43" t="s">
        <v>79</v>
      </c>
      <c r="C6" s="43" t="s">
        <v>79</v>
      </c>
      <c r="D6" s="43" t="s">
        <v>79</v>
      </c>
      <c r="E6" s="43" t="s">
        <v>79</v>
      </c>
      <c r="F6" s="43" t="s">
        <v>79</v>
      </c>
      <c r="G6" s="43" t="s">
        <v>79</v>
      </c>
      <c r="H6" s="43" t="s">
        <v>79</v>
      </c>
      <c r="I6" s="43" t="s">
        <v>79</v>
      </c>
      <c r="J6" s="43" t="s">
        <v>79</v>
      </c>
      <c r="K6" s="43" t="s">
        <v>79</v>
      </c>
      <c r="L6" s="43" t="s">
        <v>79</v>
      </c>
      <c r="M6" s="43" t="s">
        <v>79</v>
      </c>
      <c r="N6" s="43" t="s">
        <v>79</v>
      </c>
      <c r="O6" s="43" t="s">
        <v>79</v>
      </c>
      <c r="P6" s="43" t="s">
        <v>79</v>
      </c>
      <c r="Q6" s="43" t="s">
        <v>79</v>
      </c>
      <c r="R6" s="43" t="s">
        <v>79</v>
      </c>
      <c r="S6" s="43" t="s">
        <v>79</v>
      </c>
      <c r="T6" s="43" t="s">
        <v>79</v>
      </c>
      <c r="U6" s="43" t="s">
        <v>79</v>
      </c>
      <c r="V6" s="43" t="s">
        <v>79</v>
      </c>
      <c r="W6" s="43" t="s">
        <v>79</v>
      </c>
    </row>
    <row r="7" spans="1:23" x14ac:dyDescent="0.35">
      <c r="A7" s="44" t="s">
        <v>79</v>
      </c>
      <c r="B7" s="41" t="s">
        <v>79</v>
      </c>
      <c r="C7" s="41" t="s">
        <v>79</v>
      </c>
      <c r="D7" s="41" t="s">
        <v>79</v>
      </c>
      <c r="E7" s="41" t="s">
        <v>79</v>
      </c>
      <c r="F7" s="41" t="s">
        <v>79</v>
      </c>
      <c r="G7" s="41" t="s">
        <v>79</v>
      </c>
      <c r="H7" s="41" t="s">
        <v>79</v>
      </c>
      <c r="I7" s="41" t="s">
        <v>79</v>
      </c>
      <c r="J7" s="41" t="s">
        <v>79</v>
      </c>
      <c r="K7" s="41" t="s">
        <v>79</v>
      </c>
      <c r="L7" s="41" t="s">
        <v>79</v>
      </c>
      <c r="M7" s="41" t="s">
        <v>79</v>
      </c>
      <c r="N7" s="41" t="s">
        <v>79</v>
      </c>
      <c r="O7" s="41" t="s">
        <v>79</v>
      </c>
      <c r="P7" s="41" t="s">
        <v>79</v>
      </c>
      <c r="Q7" s="41" t="s">
        <v>79</v>
      </c>
      <c r="R7" s="41" t="s">
        <v>79</v>
      </c>
      <c r="S7" s="41" t="s">
        <v>79</v>
      </c>
      <c r="T7" s="41" t="s">
        <v>79</v>
      </c>
      <c r="U7" s="41" t="s">
        <v>79</v>
      </c>
      <c r="V7" s="41" t="s">
        <v>79</v>
      </c>
      <c r="W7" s="41" t="s">
        <v>79</v>
      </c>
    </row>
    <row r="8" spans="1:23" x14ac:dyDescent="0.35">
      <c r="A8" s="42" t="s">
        <v>79</v>
      </c>
      <c r="B8" s="43" t="s">
        <v>79</v>
      </c>
      <c r="C8" s="43" t="s">
        <v>79</v>
      </c>
      <c r="D8" s="43" t="s">
        <v>79</v>
      </c>
      <c r="E8" s="43" t="s">
        <v>79</v>
      </c>
      <c r="F8" s="43" t="s">
        <v>79</v>
      </c>
      <c r="G8" s="43" t="s">
        <v>79</v>
      </c>
      <c r="H8" s="43" t="s">
        <v>79</v>
      </c>
      <c r="I8" s="43" t="s">
        <v>79</v>
      </c>
      <c r="J8" s="43" t="s">
        <v>79</v>
      </c>
      <c r="K8" s="43" t="s">
        <v>79</v>
      </c>
      <c r="L8" s="43" t="s">
        <v>79</v>
      </c>
      <c r="M8" s="43" t="s">
        <v>79</v>
      </c>
      <c r="N8" s="43" t="s">
        <v>79</v>
      </c>
      <c r="O8" s="43" t="s">
        <v>79</v>
      </c>
      <c r="P8" s="43" t="s">
        <v>79</v>
      </c>
      <c r="Q8" s="43" t="s">
        <v>79</v>
      </c>
      <c r="R8" s="43" t="s">
        <v>79</v>
      </c>
      <c r="S8" s="43" t="s">
        <v>79</v>
      </c>
      <c r="T8" s="43" t="s">
        <v>79</v>
      </c>
      <c r="U8" s="43" t="s">
        <v>79</v>
      </c>
      <c r="V8" s="43" t="s">
        <v>79</v>
      </c>
      <c r="W8" s="43" t="s">
        <v>79</v>
      </c>
    </row>
    <row r="9" spans="1:23" x14ac:dyDescent="0.35">
      <c r="A9" s="44" t="s">
        <v>79</v>
      </c>
      <c r="B9" s="41" t="s">
        <v>79</v>
      </c>
      <c r="C9" s="41" t="s">
        <v>79</v>
      </c>
      <c r="D9" s="41" t="s">
        <v>79</v>
      </c>
      <c r="E9" s="41" t="s">
        <v>79</v>
      </c>
      <c r="F9" s="41" t="s">
        <v>79</v>
      </c>
      <c r="G9" s="41" t="s">
        <v>79</v>
      </c>
      <c r="H9" s="41" t="s">
        <v>79</v>
      </c>
      <c r="I9" s="41" t="s">
        <v>79</v>
      </c>
      <c r="J9" s="41" t="s">
        <v>79</v>
      </c>
      <c r="K9" s="41" t="s">
        <v>79</v>
      </c>
      <c r="L9" s="41" t="s">
        <v>79</v>
      </c>
      <c r="M9" s="41" t="s">
        <v>79</v>
      </c>
      <c r="N9" s="41" t="s">
        <v>79</v>
      </c>
      <c r="O9" s="41" t="s">
        <v>79</v>
      </c>
      <c r="P9" s="41" t="s">
        <v>79</v>
      </c>
      <c r="Q9" s="41" t="s">
        <v>79</v>
      </c>
      <c r="R9" s="41" t="s">
        <v>79</v>
      </c>
      <c r="S9" s="41" t="s">
        <v>79</v>
      </c>
      <c r="T9" s="41" t="s">
        <v>79</v>
      </c>
      <c r="U9" s="41" t="s">
        <v>79</v>
      </c>
      <c r="V9" s="41" t="s">
        <v>79</v>
      </c>
      <c r="W9" s="41" t="s">
        <v>79</v>
      </c>
    </row>
    <row r="10" spans="1:23" x14ac:dyDescent="0.35">
      <c r="A10" s="42" t="s">
        <v>79</v>
      </c>
      <c r="B10" s="43" t="s">
        <v>79</v>
      </c>
      <c r="C10" s="43" t="s">
        <v>79</v>
      </c>
      <c r="D10" s="43" t="s">
        <v>79</v>
      </c>
      <c r="E10" s="43" t="s">
        <v>79</v>
      </c>
      <c r="F10" s="43" t="s">
        <v>79</v>
      </c>
      <c r="G10" s="43" t="s">
        <v>79</v>
      </c>
      <c r="H10" s="43" t="s">
        <v>79</v>
      </c>
      <c r="I10" s="43" t="s">
        <v>79</v>
      </c>
      <c r="J10" s="43" t="s">
        <v>79</v>
      </c>
      <c r="K10" s="43" t="s">
        <v>79</v>
      </c>
      <c r="L10" s="43" t="s">
        <v>79</v>
      </c>
      <c r="M10" s="43" t="s">
        <v>79</v>
      </c>
      <c r="N10" s="43" t="s">
        <v>79</v>
      </c>
      <c r="O10" s="43" t="s">
        <v>79</v>
      </c>
      <c r="P10" s="43" t="s">
        <v>79</v>
      </c>
      <c r="Q10" s="43" t="s">
        <v>79</v>
      </c>
      <c r="R10" s="43" t="s">
        <v>79</v>
      </c>
      <c r="S10" s="43" t="s">
        <v>79</v>
      </c>
      <c r="T10" s="43" t="s">
        <v>79</v>
      </c>
      <c r="U10" s="43" t="s">
        <v>79</v>
      </c>
      <c r="V10" s="43" t="s">
        <v>79</v>
      </c>
      <c r="W10" s="43" t="s">
        <v>79</v>
      </c>
    </row>
    <row r="11" spans="1:23" x14ac:dyDescent="0.35">
      <c r="A11" s="44" t="s">
        <v>79</v>
      </c>
      <c r="B11" s="41" t="s">
        <v>79</v>
      </c>
      <c r="C11" s="41" t="s">
        <v>79</v>
      </c>
      <c r="D11" s="41" t="s">
        <v>79</v>
      </c>
      <c r="E11" s="41" t="s">
        <v>79</v>
      </c>
      <c r="F11" s="41" t="s">
        <v>79</v>
      </c>
      <c r="G11" s="41" t="s">
        <v>79</v>
      </c>
      <c r="H11" s="41" t="s">
        <v>79</v>
      </c>
      <c r="I11" s="41" t="s">
        <v>79</v>
      </c>
      <c r="J11" s="41" t="s">
        <v>79</v>
      </c>
      <c r="K11" s="41" t="s">
        <v>79</v>
      </c>
      <c r="L11" s="41" t="s">
        <v>79</v>
      </c>
      <c r="M11" s="41" t="s">
        <v>79</v>
      </c>
      <c r="N11" s="41" t="s">
        <v>79</v>
      </c>
      <c r="O11" s="41" t="s">
        <v>79</v>
      </c>
      <c r="P11" s="41" t="s">
        <v>79</v>
      </c>
      <c r="Q11" s="41" t="s">
        <v>79</v>
      </c>
      <c r="R11" s="41" t="s">
        <v>79</v>
      </c>
      <c r="S11" s="41" t="s">
        <v>79</v>
      </c>
      <c r="T11" s="41" t="s">
        <v>79</v>
      </c>
      <c r="U11" s="41" t="s">
        <v>79</v>
      </c>
      <c r="V11" s="41" t="s">
        <v>79</v>
      </c>
      <c r="W11" s="41" t="s">
        <v>79</v>
      </c>
    </row>
    <row r="12" spans="1:23" x14ac:dyDescent="0.35">
      <c r="A12" s="42" t="s">
        <v>79</v>
      </c>
      <c r="B12" s="43" t="s">
        <v>79</v>
      </c>
      <c r="C12" s="43" t="s">
        <v>79</v>
      </c>
      <c r="D12" s="43" t="s">
        <v>79</v>
      </c>
      <c r="E12" s="43" t="s">
        <v>79</v>
      </c>
      <c r="F12" s="43" t="s">
        <v>79</v>
      </c>
      <c r="G12" s="43" t="s">
        <v>79</v>
      </c>
      <c r="H12" s="43" t="s">
        <v>79</v>
      </c>
      <c r="I12" s="43" t="s">
        <v>79</v>
      </c>
      <c r="J12" s="43" t="s">
        <v>79</v>
      </c>
      <c r="K12" s="43" t="s">
        <v>79</v>
      </c>
      <c r="L12" s="43" t="s">
        <v>79</v>
      </c>
      <c r="M12" s="43" t="s">
        <v>79</v>
      </c>
      <c r="N12" s="43" t="s">
        <v>79</v>
      </c>
      <c r="O12" s="43" t="s">
        <v>79</v>
      </c>
      <c r="P12" s="43" t="s">
        <v>79</v>
      </c>
      <c r="Q12" s="43" t="s">
        <v>79</v>
      </c>
      <c r="R12" s="43" t="s">
        <v>79</v>
      </c>
      <c r="S12" s="43" t="s">
        <v>79</v>
      </c>
      <c r="T12" s="43" t="s">
        <v>79</v>
      </c>
      <c r="U12" s="43" t="s">
        <v>79</v>
      </c>
      <c r="V12" s="43" t="s">
        <v>79</v>
      </c>
      <c r="W12" s="43" t="s">
        <v>79</v>
      </c>
    </row>
    <row r="13" spans="1:23" x14ac:dyDescent="0.35">
      <c r="A13" s="44" t="s">
        <v>79</v>
      </c>
      <c r="B13" s="41" t="s">
        <v>79</v>
      </c>
      <c r="C13" s="41" t="s">
        <v>79</v>
      </c>
      <c r="D13" s="41" t="s">
        <v>79</v>
      </c>
      <c r="E13" s="41" t="s">
        <v>79</v>
      </c>
      <c r="F13" s="41" t="s">
        <v>79</v>
      </c>
      <c r="G13" s="41" t="s">
        <v>79</v>
      </c>
      <c r="H13" s="41" t="s">
        <v>79</v>
      </c>
      <c r="I13" s="41" t="s">
        <v>79</v>
      </c>
      <c r="J13" s="41" t="s">
        <v>79</v>
      </c>
      <c r="K13" s="41" t="s">
        <v>79</v>
      </c>
      <c r="L13" s="41" t="s">
        <v>79</v>
      </c>
      <c r="M13" s="41" t="s">
        <v>79</v>
      </c>
      <c r="N13" s="41" t="s">
        <v>79</v>
      </c>
      <c r="O13" s="41" t="s">
        <v>79</v>
      </c>
      <c r="P13" s="41" t="s">
        <v>79</v>
      </c>
      <c r="Q13" s="41" t="s">
        <v>79</v>
      </c>
      <c r="R13" s="41" t="s">
        <v>79</v>
      </c>
      <c r="S13" s="41" t="s">
        <v>79</v>
      </c>
      <c r="T13" s="41" t="s">
        <v>79</v>
      </c>
      <c r="U13" s="41" t="s">
        <v>79</v>
      </c>
      <c r="V13" s="41" t="s">
        <v>79</v>
      </c>
      <c r="W13" s="41" t="s">
        <v>79</v>
      </c>
    </row>
    <row r="14" spans="1:23" x14ac:dyDescent="0.35">
      <c r="A14" s="42" t="s">
        <v>79</v>
      </c>
      <c r="B14" s="43" t="s">
        <v>79</v>
      </c>
      <c r="C14" s="43" t="s">
        <v>79</v>
      </c>
      <c r="D14" s="43" t="s">
        <v>79</v>
      </c>
      <c r="E14" s="43" t="s">
        <v>79</v>
      </c>
      <c r="F14" s="43" t="s">
        <v>79</v>
      </c>
      <c r="G14" s="43" t="s">
        <v>79</v>
      </c>
      <c r="H14" s="43" t="s">
        <v>79</v>
      </c>
      <c r="I14" s="43" t="s">
        <v>79</v>
      </c>
      <c r="J14" s="43" t="s">
        <v>79</v>
      </c>
      <c r="K14" s="43" t="s">
        <v>79</v>
      </c>
      <c r="L14" s="43" t="s">
        <v>79</v>
      </c>
      <c r="M14" s="43" t="s">
        <v>79</v>
      </c>
      <c r="N14" s="43" t="s">
        <v>79</v>
      </c>
      <c r="O14" s="43" t="s">
        <v>79</v>
      </c>
      <c r="P14" s="43" t="s">
        <v>79</v>
      </c>
      <c r="Q14" s="43" t="s">
        <v>79</v>
      </c>
      <c r="R14" s="43" t="s">
        <v>79</v>
      </c>
      <c r="S14" s="43" t="s">
        <v>79</v>
      </c>
      <c r="T14" s="43" t="s">
        <v>79</v>
      </c>
      <c r="U14" s="43" t="s">
        <v>79</v>
      </c>
      <c r="V14" s="43" t="s">
        <v>79</v>
      </c>
      <c r="W14" s="43" t="s">
        <v>79</v>
      </c>
    </row>
    <row r="15" spans="1:23" x14ac:dyDescent="0.35">
      <c r="A15" s="44" t="s">
        <v>79</v>
      </c>
      <c r="B15" s="41" t="s">
        <v>79</v>
      </c>
      <c r="C15" s="41" t="s">
        <v>79</v>
      </c>
      <c r="D15" s="41" t="s">
        <v>79</v>
      </c>
      <c r="E15" s="41" t="s">
        <v>79</v>
      </c>
      <c r="F15" s="41" t="s">
        <v>79</v>
      </c>
      <c r="G15" s="41" t="s">
        <v>79</v>
      </c>
      <c r="H15" s="41" t="s">
        <v>79</v>
      </c>
      <c r="I15" s="41" t="s">
        <v>79</v>
      </c>
      <c r="J15" s="41" t="s">
        <v>79</v>
      </c>
      <c r="K15" s="41" t="s">
        <v>79</v>
      </c>
      <c r="L15" s="41" t="s">
        <v>79</v>
      </c>
      <c r="M15" s="41" t="s">
        <v>79</v>
      </c>
      <c r="N15" s="41" t="s">
        <v>79</v>
      </c>
      <c r="O15" s="41" t="s">
        <v>79</v>
      </c>
      <c r="P15" s="41" t="s">
        <v>79</v>
      </c>
      <c r="Q15" s="41" t="s">
        <v>79</v>
      </c>
      <c r="R15" s="41" t="s">
        <v>79</v>
      </c>
      <c r="S15" s="41" t="s">
        <v>79</v>
      </c>
      <c r="T15" s="41" t="s">
        <v>79</v>
      </c>
      <c r="U15" s="41" t="s">
        <v>79</v>
      </c>
      <c r="V15" s="41" t="s">
        <v>79</v>
      </c>
      <c r="W15" s="41" t="s">
        <v>79</v>
      </c>
    </row>
    <row r="16" spans="1:23" x14ac:dyDescent="0.35">
      <c r="A16" s="42" t="s">
        <v>79</v>
      </c>
      <c r="B16" s="43" t="s">
        <v>79</v>
      </c>
      <c r="C16" s="43" t="s">
        <v>79</v>
      </c>
      <c r="D16" s="43" t="s">
        <v>79</v>
      </c>
      <c r="E16" s="43" t="s">
        <v>79</v>
      </c>
      <c r="F16" s="43" t="s">
        <v>79</v>
      </c>
      <c r="G16" s="43" t="s">
        <v>79</v>
      </c>
      <c r="H16" s="43" t="s">
        <v>79</v>
      </c>
      <c r="I16" s="43" t="s">
        <v>79</v>
      </c>
      <c r="J16" s="43" t="s">
        <v>79</v>
      </c>
      <c r="K16" s="43" t="s">
        <v>79</v>
      </c>
      <c r="L16" s="43" t="s">
        <v>79</v>
      </c>
      <c r="M16" s="43" t="s">
        <v>79</v>
      </c>
      <c r="N16" s="43" t="s">
        <v>79</v>
      </c>
      <c r="O16" s="43" t="s">
        <v>79</v>
      </c>
      <c r="P16" s="43" t="s">
        <v>79</v>
      </c>
      <c r="Q16" s="43" t="s">
        <v>79</v>
      </c>
      <c r="R16" s="43" t="s">
        <v>79</v>
      </c>
      <c r="S16" s="43" t="s">
        <v>79</v>
      </c>
      <c r="T16" s="43" t="s">
        <v>79</v>
      </c>
      <c r="U16" s="43" t="s">
        <v>79</v>
      </c>
      <c r="V16" s="43" t="s">
        <v>79</v>
      </c>
      <c r="W16" s="43" t="s">
        <v>79</v>
      </c>
    </row>
    <row r="17" spans="1:23" x14ac:dyDescent="0.35">
      <c r="A17" s="44" t="s">
        <v>79</v>
      </c>
      <c r="B17" s="41" t="s">
        <v>79</v>
      </c>
      <c r="C17" s="41" t="s">
        <v>79</v>
      </c>
      <c r="D17" s="41" t="s">
        <v>79</v>
      </c>
      <c r="E17" s="41" t="s">
        <v>79</v>
      </c>
      <c r="F17" s="41" t="s">
        <v>79</v>
      </c>
      <c r="G17" s="41" t="s">
        <v>79</v>
      </c>
      <c r="H17" s="41" t="s">
        <v>79</v>
      </c>
      <c r="I17" s="41" t="s">
        <v>79</v>
      </c>
      <c r="J17" s="41" t="s">
        <v>79</v>
      </c>
      <c r="K17" s="41" t="s">
        <v>79</v>
      </c>
      <c r="L17" s="41" t="s">
        <v>79</v>
      </c>
      <c r="M17" s="41" t="s">
        <v>79</v>
      </c>
      <c r="N17" s="41" t="s">
        <v>79</v>
      </c>
      <c r="O17" s="41" t="s">
        <v>79</v>
      </c>
      <c r="P17" s="41" t="s">
        <v>79</v>
      </c>
      <c r="Q17" s="41" t="s">
        <v>79</v>
      </c>
      <c r="R17" s="41" t="s">
        <v>79</v>
      </c>
      <c r="S17" s="41" t="s">
        <v>79</v>
      </c>
      <c r="T17" s="41" t="s">
        <v>79</v>
      </c>
      <c r="U17" s="41" t="s">
        <v>79</v>
      </c>
      <c r="V17" s="41" t="s">
        <v>79</v>
      </c>
      <c r="W17" s="41" t="s">
        <v>79</v>
      </c>
    </row>
    <row r="18" spans="1:23" x14ac:dyDescent="0.35">
      <c r="A18" s="42" t="s">
        <v>79</v>
      </c>
      <c r="B18" s="43" t="s">
        <v>79</v>
      </c>
      <c r="C18" s="43" t="s">
        <v>79</v>
      </c>
      <c r="D18" s="43" t="s">
        <v>79</v>
      </c>
      <c r="E18" s="43" t="s">
        <v>79</v>
      </c>
      <c r="F18" s="43" t="s">
        <v>79</v>
      </c>
      <c r="G18" s="43" t="s">
        <v>79</v>
      </c>
      <c r="H18" s="43" t="s">
        <v>79</v>
      </c>
      <c r="I18" s="43" t="s">
        <v>79</v>
      </c>
      <c r="J18" s="43" t="s">
        <v>79</v>
      </c>
      <c r="K18" s="43" t="s">
        <v>79</v>
      </c>
      <c r="L18" s="43" t="s">
        <v>79</v>
      </c>
      <c r="M18" s="43" t="s">
        <v>79</v>
      </c>
      <c r="N18" s="43" t="s">
        <v>79</v>
      </c>
      <c r="O18" s="43" t="s">
        <v>79</v>
      </c>
      <c r="P18" s="43" t="s">
        <v>79</v>
      </c>
      <c r="Q18" s="43" t="s">
        <v>79</v>
      </c>
      <c r="R18" s="43" t="s">
        <v>79</v>
      </c>
      <c r="S18" s="43" t="s">
        <v>79</v>
      </c>
      <c r="T18" s="43" t="s">
        <v>79</v>
      </c>
      <c r="U18" s="43" t="s">
        <v>79</v>
      </c>
      <c r="V18" s="43" t="s">
        <v>79</v>
      </c>
      <c r="W18" s="43" t="s">
        <v>79</v>
      </c>
    </row>
    <row r="19" spans="1:23" x14ac:dyDescent="0.35">
      <c r="A19" s="44" t="s">
        <v>79</v>
      </c>
      <c r="B19" s="41" t="s">
        <v>79</v>
      </c>
      <c r="C19" s="41" t="s">
        <v>79</v>
      </c>
      <c r="D19" s="41" t="s">
        <v>79</v>
      </c>
      <c r="E19" s="41" t="s">
        <v>79</v>
      </c>
      <c r="F19" s="41" t="s">
        <v>79</v>
      </c>
      <c r="G19" s="41" t="s">
        <v>79</v>
      </c>
      <c r="H19" s="41" t="s">
        <v>79</v>
      </c>
      <c r="I19" s="41" t="s">
        <v>79</v>
      </c>
      <c r="J19" s="41" t="s">
        <v>79</v>
      </c>
      <c r="K19" s="41" t="s">
        <v>79</v>
      </c>
      <c r="L19" s="41" t="s">
        <v>79</v>
      </c>
      <c r="M19" s="41" t="s">
        <v>79</v>
      </c>
      <c r="N19" s="41" t="s">
        <v>79</v>
      </c>
      <c r="O19" s="41" t="s">
        <v>79</v>
      </c>
      <c r="P19" s="41" t="s">
        <v>79</v>
      </c>
      <c r="Q19" s="41" t="s">
        <v>79</v>
      </c>
      <c r="R19" s="41" t="s">
        <v>79</v>
      </c>
      <c r="S19" s="41" t="s">
        <v>79</v>
      </c>
      <c r="T19" s="41" t="s">
        <v>79</v>
      </c>
      <c r="U19" s="41" t="s">
        <v>79</v>
      </c>
      <c r="V19" s="41" t="s">
        <v>79</v>
      </c>
      <c r="W19" s="41" t="s">
        <v>79</v>
      </c>
    </row>
    <row r="20" spans="1:23" x14ac:dyDescent="0.35">
      <c r="A20" s="42" t="s">
        <v>79</v>
      </c>
      <c r="B20" s="43" t="s">
        <v>79</v>
      </c>
      <c r="C20" s="43" t="s">
        <v>79</v>
      </c>
      <c r="D20" s="43" t="s">
        <v>79</v>
      </c>
      <c r="E20" s="43" t="s">
        <v>79</v>
      </c>
      <c r="F20" s="43" t="s">
        <v>79</v>
      </c>
      <c r="G20" s="43" t="s">
        <v>79</v>
      </c>
      <c r="H20" s="43" t="s">
        <v>79</v>
      </c>
      <c r="I20" s="43" t="s">
        <v>79</v>
      </c>
      <c r="J20" s="43" t="s">
        <v>79</v>
      </c>
      <c r="K20" s="43" t="s">
        <v>79</v>
      </c>
      <c r="L20" s="43" t="s">
        <v>79</v>
      </c>
      <c r="M20" s="43" t="s">
        <v>79</v>
      </c>
      <c r="N20" s="43" t="s">
        <v>79</v>
      </c>
      <c r="O20" s="43" t="s">
        <v>79</v>
      </c>
      <c r="P20" s="43" t="s">
        <v>79</v>
      </c>
      <c r="Q20" s="43" t="s">
        <v>79</v>
      </c>
      <c r="R20" s="43" t="s">
        <v>79</v>
      </c>
      <c r="S20" s="43" t="s">
        <v>79</v>
      </c>
      <c r="T20" s="43" t="s">
        <v>79</v>
      </c>
      <c r="U20" s="43" t="s">
        <v>79</v>
      </c>
      <c r="V20" s="43" t="s">
        <v>79</v>
      </c>
      <c r="W20" s="43" t="s">
        <v>79</v>
      </c>
    </row>
    <row r="21" spans="1:23" x14ac:dyDescent="0.35">
      <c r="A21" s="44" t="s">
        <v>79</v>
      </c>
      <c r="B21" s="41" t="s">
        <v>79</v>
      </c>
      <c r="C21" s="41" t="s">
        <v>79</v>
      </c>
      <c r="D21" s="41" t="s">
        <v>79</v>
      </c>
      <c r="E21" s="41" t="s">
        <v>79</v>
      </c>
      <c r="F21" s="41" t="s">
        <v>79</v>
      </c>
      <c r="G21" s="41" t="s">
        <v>79</v>
      </c>
      <c r="H21" s="41" t="s">
        <v>79</v>
      </c>
      <c r="I21" s="41" t="s">
        <v>79</v>
      </c>
      <c r="J21" s="41" t="s">
        <v>79</v>
      </c>
      <c r="K21" s="41" t="s">
        <v>79</v>
      </c>
      <c r="L21" s="41" t="s">
        <v>79</v>
      </c>
      <c r="M21" s="41" t="s">
        <v>79</v>
      </c>
      <c r="N21" s="41" t="s">
        <v>79</v>
      </c>
      <c r="O21" s="41" t="s">
        <v>79</v>
      </c>
      <c r="P21" s="41" t="s">
        <v>79</v>
      </c>
      <c r="Q21" s="41" t="s">
        <v>79</v>
      </c>
      <c r="R21" s="41" t="s">
        <v>79</v>
      </c>
      <c r="S21" s="41" t="s">
        <v>79</v>
      </c>
      <c r="T21" s="41" t="s">
        <v>79</v>
      </c>
      <c r="U21" s="41" t="s">
        <v>79</v>
      </c>
      <c r="V21" s="41" t="s">
        <v>79</v>
      </c>
      <c r="W21" s="41" t="s">
        <v>79</v>
      </c>
    </row>
    <row r="22" spans="1:23" x14ac:dyDescent="0.35">
      <c r="A22" s="42" t="s">
        <v>79</v>
      </c>
      <c r="B22" s="43" t="s">
        <v>79</v>
      </c>
      <c r="C22" s="43" t="s">
        <v>79</v>
      </c>
      <c r="D22" s="43" t="s">
        <v>79</v>
      </c>
      <c r="E22" s="43" t="s">
        <v>79</v>
      </c>
      <c r="F22" s="43" t="s">
        <v>79</v>
      </c>
      <c r="G22" s="43" t="s">
        <v>79</v>
      </c>
      <c r="H22" s="43" t="s">
        <v>79</v>
      </c>
      <c r="I22" s="43" t="s">
        <v>79</v>
      </c>
      <c r="J22" s="43" t="s">
        <v>79</v>
      </c>
      <c r="K22" s="43" t="s">
        <v>79</v>
      </c>
      <c r="L22" s="43" t="s">
        <v>79</v>
      </c>
      <c r="M22" s="43" t="s">
        <v>79</v>
      </c>
      <c r="N22" s="43" t="s">
        <v>79</v>
      </c>
      <c r="O22" s="43" t="s">
        <v>79</v>
      </c>
      <c r="P22" s="43" t="s">
        <v>79</v>
      </c>
      <c r="Q22" s="43" t="s">
        <v>79</v>
      </c>
      <c r="R22" s="43" t="s">
        <v>79</v>
      </c>
      <c r="S22" s="43" t="s">
        <v>79</v>
      </c>
      <c r="T22" s="43" t="s">
        <v>79</v>
      </c>
      <c r="U22" s="43" t="s">
        <v>79</v>
      </c>
      <c r="V22" s="43" t="s">
        <v>79</v>
      </c>
      <c r="W22" s="43" t="s">
        <v>79</v>
      </c>
    </row>
    <row r="23" spans="1:23" x14ac:dyDescent="0.35">
      <c r="A23" s="44" t="s">
        <v>79</v>
      </c>
      <c r="B23" s="41" t="s">
        <v>79</v>
      </c>
      <c r="C23" s="41" t="s">
        <v>79</v>
      </c>
      <c r="D23" s="41" t="s">
        <v>79</v>
      </c>
      <c r="E23" s="41" t="s">
        <v>79</v>
      </c>
      <c r="F23" s="41" t="s">
        <v>79</v>
      </c>
      <c r="G23" s="41" t="s">
        <v>79</v>
      </c>
      <c r="H23" s="41" t="s">
        <v>79</v>
      </c>
      <c r="I23" s="41" t="s">
        <v>79</v>
      </c>
      <c r="J23" s="41" t="s">
        <v>79</v>
      </c>
      <c r="K23" s="41" t="s">
        <v>79</v>
      </c>
      <c r="L23" s="41" t="s">
        <v>79</v>
      </c>
      <c r="M23" s="41" t="s">
        <v>79</v>
      </c>
      <c r="N23" s="41" t="s">
        <v>79</v>
      </c>
      <c r="O23" s="41" t="s">
        <v>79</v>
      </c>
      <c r="P23" s="41" t="s">
        <v>79</v>
      </c>
      <c r="Q23" s="41" t="s">
        <v>79</v>
      </c>
      <c r="R23" s="41" t="s">
        <v>79</v>
      </c>
      <c r="S23" s="41" t="s">
        <v>79</v>
      </c>
      <c r="T23" s="41" t="s">
        <v>79</v>
      </c>
      <c r="U23" s="41" t="s">
        <v>79</v>
      </c>
      <c r="V23" s="41" t="s">
        <v>79</v>
      </c>
      <c r="W23" s="41" t="s">
        <v>79</v>
      </c>
    </row>
    <row r="24" spans="1:23" x14ac:dyDescent="0.35">
      <c r="A24" s="42" t="s">
        <v>79</v>
      </c>
      <c r="B24" s="43" t="s">
        <v>79</v>
      </c>
      <c r="C24" s="43" t="s">
        <v>79</v>
      </c>
      <c r="D24" s="43" t="s">
        <v>79</v>
      </c>
      <c r="E24" s="43" t="s">
        <v>79</v>
      </c>
      <c r="F24" s="43" t="s">
        <v>79</v>
      </c>
      <c r="G24" s="43" t="s">
        <v>79</v>
      </c>
      <c r="H24" s="43" t="s">
        <v>79</v>
      </c>
      <c r="I24" s="43" t="s">
        <v>79</v>
      </c>
      <c r="J24" s="43" t="s">
        <v>79</v>
      </c>
      <c r="K24" s="43" t="s">
        <v>79</v>
      </c>
      <c r="L24" s="43" t="s">
        <v>79</v>
      </c>
      <c r="M24" s="43" t="s">
        <v>79</v>
      </c>
      <c r="N24" s="43" t="s">
        <v>79</v>
      </c>
      <c r="O24" s="43" t="s">
        <v>79</v>
      </c>
      <c r="P24" s="43" t="s">
        <v>79</v>
      </c>
      <c r="Q24" s="43" t="s">
        <v>79</v>
      </c>
      <c r="R24" s="43" t="s">
        <v>79</v>
      </c>
      <c r="S24" s="43" t="s">
        <v>79</v>
      </c>
      <c r="T24" s="43" t="s">
        <v>79</v>
      </c>
      <c r="U24" s="43" t="s">
        <v>79</v>
      </c>
      <c r="V24" s="43" t="s">
        <v>79</v>
      </c>
      <c r="W24" s="43" t="s">
        <v>79</v>
      </c>
    </row>
    <row r="25" spans="1:23" x14ac:dyDescent="0.35">
      <c r="A25" s="44" t="s">
        <v>79</v>
      </c>
      <c r="B25" s="41" t="s">
        <v>79</v>
      </c>
      <c r="C25" s="41" t="s">
        <v>79</v>
      </c>
      <c r="D25" s="41" t="s">
        <v>79</v>
      </c>
      <c r="E25" s="41" t="s">
        <v>79</v>
      </c>
      <c r="F25" s="41" t="s">
        <v>79</v>
      </c>
      <c r="G25" s="41" t="s">
        <v>79</v>
      </c>
      <c r="H25" s="41" t="s">
        <v>79</v>
      </c>
      <c r="I25" s="41" t="s">
        <v>79</v>
      </c>
      <c r="J25" s="41" t="s">
        <v>79</v>
      </c>
      <c r="K25" s="41" t="s">
        <v>79</v>
      </c>
      <c r="L25" s="41" t="s">
        <v>79</v>
      </c>
      <c r="M25" s="41" t="s">
        <v>79</v>
      </c>
      <c r="N25" s="41" t="s">
        <v>79</v>
      </c>
      <c r="O25" s="41" t="s">
        <v>79</v>
      </c>
      <c r="P25" s="41" t="s">
        <v>79</v>
      </c>
      <c r="Q25" s="41" t="s">
        <v>79</v>
      </c>
      <c r="R25" s="41" t="s">
        <v>79</v>
      </c>
      <c r="S25" s="41" t="s">
        <v>79</v>
      </c>
      <c r="T25" s="41" t="s">
        <v>79</v>
      </c>
      <c r="U25" s="41" t="s">
        <v>79</v>
      </c>
      <c r="V25" s="41" t="s">
        <v>79</v>
      </c>
      <c r="W25" s="41" t="s">
        <v>79</v>
      </c>
    </row>
    <row r="26" spans="1:23" x14ac:dyDescent="0.35">
      <c r="A26" s="42" t="s">
        <v>79</v>
      </c>
      <c r="B26" s="43" t="s">
        <v>79</v>
      </c>
      <c r="C26" s="43" t="s">
        <v>79</v>
      </c>
      <c r="D26" s="43" t="s">
        <v>79</v>
      </c>
      <c r="E26" s="43" t="s">
        <v>79</v>
      </c>
      <c r="F26" s="43" t="s">
        <v>79</v>
      </c>
      <c r="G26" s="43" t="s">
        <v>79</v>
      </c>
      <c r="H26" s="43" t="s">
        <v>79</v>
      </c>
      <c r="I26" s="43" t="s">
        <v>79</v>
      </c>
      <c r="J26" s="43" t="s">
        <v>79</v>
      </c>
      <c r="K26" s="43" t="s">
        <v>79</v>
      </c>
      <c r="L26" s="43" t="s">
        <v>79</v>
      </c>
      <c r="M26" s="43" t="s">
        <v>79</v>
      </c>
      <c r="N26" s="43" t="s">
        <v>79</v>
      </c>
      <c r="O26" s="43" t="s">
        <v>79</v>
      </c>
      <c r="P26" s="43" t="s">
        <v>79</v>
      </c>
      <c r="Q26" s="43" t="s">
        <v>79</v>
      </c>
      <c r="R26" s="43" t="s">
        <v>79</v>
      </c>
      <c r="S26" s="43" t="s">
        <v>79</v>
      </c>
      <c r="T26" s="43" t="s">
        <v>79</v>
      </c>
      <c r="U26" s="43" t="s">
        <v>79</v>
      </c>
      <c r="V26" s="43" t="s">
        <v>79</v>
      </c>
      <c r="W26" s="43" t="s">
        <v>79</v>
      </c>
    </row>
    <row r="27" spans="1:23" x14ac:dyDescent="0.35">
      <c r="A27" s="44" t="s">
        <v>79</v>
      </c>
      <c r="B27" s="41" t="s">
        <v>79</v>
      </c>
      <c r="C27" s="41" t="s">
        <v>79</v>
      </c>
      <c r="D27" s="41" t="s">
        <v>79</v>
      </c>
      <c r="E27" s="41" t="s">
        <v>79</v>
      </c>
      <c r="F27" s="41" t="s">
        <v>79</v>
      </c>
      <c r="G27" s="41" t="s">
        <v>79</v>
      </c>
      <c r="H27" s="41" t="s">
        <v>79</v>
      </c>
      <c r="I27" s="41" t="s">
        <v>79</v>
      </c>
      <c r="J27" s="41" t="s">
        <v>79</v>
      </c>
      <c r="K27" s="41" t="s">
        <v>79</v>
      </c>
      <c r="L27" s="41" t="s">
        <v>79</v>
      </c>
      <c r="M27" s="41" t="s">
        <v>79</v>
      </c>
      <c r="N27" s="41" t="s">
        <v>79</v>
      </c>
      <c r="O27" s="41" t="s">
        <v>79</v>
      </c>
      <c r="P27" s="41" t="s">
        <v>79</v>
      </c>
      <c r="Q27" s="41" t="s">
        <v>79</v>
      </c>
      <c r="R27" s="41" t="s">
        <v>79</v>
      </c>
      <c r="S27" s="41" t="s">
        <v>79</v>
      </c>
      <c r="T27" s="41" t="s">
        <v>79</v>
      </c>
      <c r="U27" s="41" t="s">
        <v>79</v>
      </c>
      <c r="V27" s="41" t="s">
        <v>79</v>
      </c>
      <c r="W27" s="41" t="s">
        <v>79</v>
      </c>
    </row>
    <row r="28" spans="1:23" x14ac:dyDescent="0.35">
      <c r="A28" s="42" t="s">
        <v>79</v>
      </c>
      <c r="B28" s="43" t="s">
        <v>79</v>
      </c>
      <c r="C28" s="43" t="s">
        <v>79</v>
      </c>
      <c r="D28" s="43" t="s">
        <v>79</v>
      </c>
      <c r="E28" s="43" t="s">
        <v>79</v>
      </c>
      <c r="F28" s="43" t="s">
        <v>79</v>
      </c>
      <c r="G28" s="43" t="s">
        <v>79</v>
      </c>
      <c r="H28" s="43" t="s">
        <v>79</v>
      </c>
      <c r="I28" s="43" t="s">
        <v>79</v>
      </c>
      <c r="J28" s="43" t="s">
        <v>79</v>
      </c>
      <c r="K28" s="43" t="s">
        <v>79</v>
      </c>
      <c r="L28" s="43" t="s">
        <v>79</v>
      </c>
      <c r="M28" s="43" t="s">
        <v>79</v>
      </c>
      <c r="N28" s="43" t="s">
        <v>79</v>
      </c>
      <c r="O28" s="43" t="s">
        <v>79</v>
      </c>
      <c r="P28" s="43" t="s">
        <v>79</v>
      </c>
      <c r="Q28" s="43" t="s">
        <v>79</v>
      </c>
      <c r="R28" s="43" t="s">
        <v>79</v>
      </c>
      <c r="S28" s="43" t="s">
        <v>79</v>
      </c>
      <c r="T28" s="43" t="s">
        <v>79</v>
      </c>
      <c r="U28" s="43" t="s">
        <v>79</v>
      </c>
      <c r="V28" s="43" t="s">
        <v>79</v>
      </c>
      <c r="W28" s="43" t="s">
        <v>79</v>
      </c>
    </row>
    <row r="29" spans="1:23" x14ac:dyDescent="0.35">
      <c r="A29" s="44" t="s">
        <v>79</v>
      </c>
      <c r="B29" s="41" t="s">
        <v>79</v>
      </c>
      <c r="C29" s="41" t="s">
        <v>79</v>
      </c>
      <c r="D29" s="41" t="s">
        <v>79</v>
      </c>
      <c r="E29" s="41" t="s">
        <v>79</v>
      </c>
      <c r="F29" s="41" t="s">
        <v>79</v>
      </c>
      <c r="G29" s="41" t="s">
        <v>79</v>
      </c>
      <c r="H29" s="41" t="s">
        <v>79</v>
      </c>
      <c r="I29" s="41" t="s">
        <v>79</v>
      </c>
      <c r="J29" s="41" t="s">
        <v>79</v>
      </c>
      <c r="K29" s="41" t="s">
        <v>79</v>
      </c>
      <c r="L29" s="41" t="s">
        <v>79</v>
      </c>
      <c r="M29" s="41" t="s">
        <v>79</v>
      </c>
      <c r="N29" s="41" t="s">
        <v>79</v>
      </c>
      <c r="O29" s="41" t="s">
        <v>79</v>
      </c>
      <c r="P29" s="41" t="s">
        <v>79</v>
      </c>
      <c r="Q29" s="41" t="s">
        <v>79</v>
      </c>
      <c r="R29" s="41" t="s">
        <v>79</v>
      </c>
      <c r="S29" s="41" t="s">
        <v>79</v>
      </c>
      <c r="T29" s="41" t="s">
        <v>79</v>
      </c>
      <c r="U29" s="41" t="s">
        <v>79</v>
      </c>
      <c r="V29" s="41" t="s">
        <v>79</v>
      </c>
      <c r="W29" s="41" t="s">
        <v>79</v>
      </c>
    </row>
    <row r="30" spans="1:23" x14ac:dyDescent="0.35">
      <c r="A30" s="42" t="s">
        <v>79</v>
      </c>
      <c r="B30" s="43" t="s">
        <v>79</v>
      </c>
      <c r="C30" s="43" t="s">
        <v>79</v>
      </c>
      <c r="D30" s="43" t="s">
        <v>79</v>
      </c>
      <c r="E30" s="43" t="s">
        <v>79</v>
      </c>
      <c r="F30" s="43" t="s">
        <v>79</v>
      </c>
      <c r="G30" s="43" t="s">
        <v>79</v>
      </c>
      <c r="H30" s="43" t="s">
        <v>79</v>
      </c>
      <c r="I30" s="43" t="s">
        <v>79</v>
      </c>
      <c r="J30" s="43" t="s">
        <v>79</v>
      </c>
      <c r="K30" s="43" t="s">
        <v>79</v>
      </c>
      <c r="L30" s="43" t="s">
        <v>79</v>
      </c>
      <c r="M30" s="43" t="s">
        <v>79</v>
      </c>
      <c r="N30" s="43" t="s">
        <v>79</v>
      </c>
      <c r="O30" s="43" t="s">
        <v>79</v>
      </c>
      <c r="P30" s="43" t="s">
        <v>79</v>
      </c>
      <c r="Q30" s="43" t="s">
        <v>79</v>
      </c>
      <c r="R30" s="43" t="s">
        <v>79</v>
      </c>
      <c r="S30" s="43" t="s">
        <v>79</v>
      </c>
      <c r="T30" s="43" t="s">
        <v>79</v>
      </c>
      <c r="U30" s="43" t="s">
        <v>79</v>
      </c>
      <c r="V30" s="43" t="s">
        <v>79</v>
      </c>
      <c r="W30" s="43" t="s">
        <v>79</v>
      </c>
    </row>
    <row r="31" spans="1:23" x14ac:dyDescent="0.35">
      <c r="A31" s="44" t="s">
        <v>79</v>
      </c>
      <c r="B31" s="41" t="s">
        <v>79</v>
      </c>
      <c r="C31" s="41" t="s">
        <v>79</v>
      </c>
      <c r="D31" s="41" t="s">
        <v>79</v>
      </c>
      <c r="E31" s="41" t="s">
        <v>79</v>
      </c>
      <c r="F31" s="41" t="s">
        <v>79</v>
      </c>
      <c r="G31" s="41" t="s">
        <v>79</v>
      </c>
      <c r="H31" s="41" t="s">
        <v>79</v>
      </c>
      <c r="I31" s="41" t="s">
        <v>79</v>
      </c>
      <c r="J31" s="41" t="s">
        <v>79</v>
      </c>
      <c r="K31" s="41" t="s">
        <v>79</v>
      </c>
      <c r="L31" s="41" t="s">
        <v>79</v>
      </c>
      <c r="M31" s="41" t="s">
        <v>79</v>
      </c>
      <c r="N31" s="41" t="s">
        <v>79</v>
      </c>
      <c r="O31" s="41" t="s">
        <v>79</v>
      </c>
      <c r="P31" s="41" t="s">
        <v>79</v>
      </c>
      <c r="Q31" s="41" t="s">
        <v>79</v>
      </c>
      <c r="R31" s="41" t="s">
        <v>79</v>
      </c>
      <c r="S31" s="41" t="s">
        <v>79</v>
      </c>
      <c r="T31" s="41" t="s">
        <v>79</v>
      </c>
      <c r="U31" s="41" t="s">
        <v>79</v>
      </c>
      <c r="V31" s="41" t="s">
        <v>79</v>
      </c>
      <c r="W31" s="41" t="s">
        <v>79</v>
      </c>
    </row>
    <row r="32" spans="1:23" x14ac:dyDescent="0.35">
      <c r="A32" s="42" t="s">
        <v>79</v>
      </c>
      <c r="B32" s="43" t="s">
        <v>79</v>
      </c>
      <c r="C32" s="43" t="s">
        <v>79</v>
      </c>
      <c r="D32" s="43" t="s">
        <v>79</v>
      </c>
      <c r="E32" s="43" t="s">
        <v>79</v>
      </c>
      <c r="F32" s="43" t="s">
        <v>79</v>
      </c>
      <c r="G32" s="43" t="s">
        <v>79</v>
      </c>
      <c r="H32" s="43" t="s">
        <v>79</v>
      </c>
      <c r="I32" s="43" t="s">
        <v>79</v>
      </c>
      <c r="J32" s="43" t="s">
        <v>79</v>
      </c>
      <c r="K32" s="43" t="s">
        <v>79</v>
      </c>
      <c r="L32" s="43" t="s">
        <v>79</v>
      </c>
      <c r="M32" s="43" t="s">
        <v>79</v>
      </c>
      <c r="N32" s="43" t="s">
        <v>79</v>
      </c>
      <c r="O32" s="43" t="s">
        <v>79</v>
      </c>
      <c r="P32" s="43" t="s">
        <v>79</v>
      </c>
      <c r="Q32" s="43" t="s">
        <v>79</v>
      </c>
      <c r="R32" s="43" t="s">
        <v>79</v>
      </c>
      <c r="S32" s="43" t="s">
        <v>79</v>
      </c>
      <c r="T32" s="43" t="s">
        <v>79</v>
      </c>
      <c r="U32" s="43" t="s">
        <v>79</v>
      </c>
      <c r="V32" s="43" t="s">
        <v>79</v>
      </c>
      <c r="W32" s="43" t="s">
        <v>79</v>
      </c>
    </row>
    <row r="33" spans="1:23" x14ac:dyDescent="0.35">
      <c r="A33" s="44" t="s">
        <v>79</v>
      </c>
      <c r="B33" s="41" t="s">
        <v>79</v>
      </c>
      <c r="C33" s="41" t="s">
        <v>79</v>
      </c>
      <c r="D33" s="41" t="s">
        <v>79</v>
      </c>
      <c r="E33" s="41" t="s">
        <v>79</v>
      </c>
      <c r="F33" s="41" t="s">
        <v>79</v>
      </c>
      <c r="G33" s="41" t="s">
        <v>79</v>
      </c>
      <c r="H33" s="41" t="s">
        <v>79</v>
      </c>
      <c r="I33" s="41" t="s">
        <v>79</v>
      </c>
      <c r="J33" s="41" t="s">
        <v>79</v>
      </c>
      <c r="K33" s="41" t="s">
        <v>79</v>
      </c>
      <c r="L33" s="41" t="s">
        <v>79</v>
      </c>
      <c r="M33" s="41" t="s">
        <v>79</v>
      </c>
      <c r="N33" s="41" t="s">
        <v>79</v>
      </c>
      <c r="O33" s="41" t="s">
        <v>79</v>
      </c>
      <c r="P33" s="41" t="s">
        <v>79</v>
      </c>
      <c r="Q33" s="41" t="s">
        <v>79</v>
      </c>
      <c r="R33" s="41" t="s">
        <v>79</v>
      </c>
      <c r="S33" s="41" t="s">
        <v>79</v>
      </c>
      <c r="T33" s="41" t="s">
        <v>79</v>
      </c>
      <c r="U33" s="41" t="s">
        <v>79</v>
      </c>
      <c r="V33" s="41" t="s">
        <v>79</v>
      </c>
      <c r="W33" s="41" t="s">
        <v>79</v>
      </c>
    </row>
    <row r="34" spans="1:23" x14ac:dyDescent="0.35">
      <c r="A34" s="42" t="s">
        <v>79</v>
      </c>
      <c r="B34" s="43" t="s">
        <v>79</v>
      </c>
      <c r="C34" s="43" t="s">
        <v>79</v>
      </c>
      <c r="D34" s="43" t="s">
        <v>79</v>
      </c>
      <c r="E34" s="43" t="s">
        <v>79</v>
      </c>
      <c r="F34" s="43" t="s">
        <v>79</v>
      </c>
      <c r="G34" s="43" t="s">
        <v>79</v>
      </c>
      <c r="H34" s="43" t="s">
        <v>79</v>
      </c>
      <c r="I34" s="43" t="s">
        <v>79</v>
      </c>
      <c r="J34" s="43" t="s">
        <v>79</v>
      </c>
      <c r="K34" s="43" t="s">
        <v>79</v>
      </c>
      <c r="L34" s="43" t="s">
        <v>79</v>
      </c>
      <c r="M34" s="43" t="s">
        <v>79</v>
      </c>
      <c r="N34" s="43" t="s">
        <v>79</v>
      </c>
      <c r="O34" s="43" t="s">
        <v>79</v>
      </c>
      <c r="P34" s="43" t="s">
        <v>79</v>
      </c>
      <c r="Q34" s="43" t="s">
        <v>79</v>
      </c>
      <c r="R34" s="43" t="s">
        <v>79</v>
      </c>
      <c r="S34" s="43" t="s">
        <v>79</v>
      </c>
      <c r="T34" s="43" t="s">
        <v>79</v>
      </c>
      <c r="U34" s="43" t="s">
        <v>79</v>
      </c>
      <c r="V34" s="43" t="s">
        <v>79</v>
      </c>
      <c r="W34" s="43" t="s">
        <v>79</v>
      </c>
    </row>
    <row r="35" spans="1:23" x14ac:dyDescent="0.35">
      <c r="A35" s="44" t="s">
        <v>79</v>
      </c>
      <c r="B35" s="41" t="s">
        <v>79</v>
      </c>
      <c r="C35" s="41" t="s">
        <v>79</v>
      </c>
      <c r="D35" s="41" t="s">
        <v>79</v>
      </c>
      <c r="E35" s="41" t="s">
        <v>79</v>
      </c>
      <c r="F35" s="41" t="s">
        <v>79</v>
      </c>
      <c r="G35" s="41" t="s">
        <v>79</v>
      </c>
      <c r="H35" s="41" t="s">
        <v>79</v>
      </c>
      <c r="I35" s="41" t="s">
        <v>79</v>
      </c>
      <c r="J35" s="41" t="s">
        <v>79</v>
      </c>
      <c r="K35" s="41" t="s">
        <v>79</v>
      </c>
      <c r="L35" s="41" t="s">
        <v>79</v>
      </c>
      <c r="M35" s="41" t="s">
        <v>79</v>
      </c>
      <c r="N35" s="41" t="s">
        <v>79</v>
      </c>
      <c r="O35" s="41" t="s">
        <v>79</v>
      </c>
      <c r="P35" s="41" t="s">
        <v>79</v>
      </c>
      <c r="Q35" s="41" t="s">
        <v>79</v>
      </c>
      <c r="R35" s="41" t="s">
        <v>79</v>
      </c>
      <c r="S35" s="41" t="s">
        <v>79</v>
      </c>
      <c r="T35" s="41" t="s">
        <v>79</v>
      </c>
      <c r="U35" s="41" t="s">
        <v>79</v>
      </c>
      <c r="V35" s="41" t="s">
        <v>79</v>
      </c>
      <c r="W35" s="41" t="s">
        <v>79</v>
      </c>
    </row>
    <row r="36" spans="1:23" x14ac:dyDescent="0.35">
      <c r="A36" s="42" t="s">
        <v>79</v>
      </c>
      <c r="B36" s="43" t="s">
        <v>79</v>
      </c>
      <c r="C36" s="43" t="s">
        <v>79</v>
      </c>
      <c r="D36" s="43" t="s">
        <v>79</v>
      </c>
      <c r="E36" s="43" t="s">
        <v>79</v>
      </c>
      <c r="F36" s="43" t="s">
        <v>79</v>
      </c>
      <c r="G36" s="43" t="s">
        <v>79</v>
      </c>
      <c r="H36" s="43" t="s">
        <v>79</v>
      </c>
      <c r="I36" s="43" t="s">
        <v>79</v>
      </c>
      <c r="J36" s="43" t="s">
        <v>79</v>
      </c>
      <c r="K36" s="43" t="s">
        <v>79</v>
      </c>
      <c r="L36" s="43" t="s">
        <v>79</v>
      </c>
      <c r="M36" s="43" t="s">
        <v>79</v>
      </c>
      <c r="N36" s="43" t="s">
        <v>79</v>
      </c>
      <c r="O36" s="43" t="s">
        <v>79</v>
      </c>
      <c r="P36" s="43" t="s">
        <v>79</v>
      </c>
      <c r="Q36" s="43" t="s">
        <v>79</v>
      </c>
      <c r="R36" s="43" t="s">
        <v>79</v>
      </c>
      <c r="S36" s="43" t="s">
        <v>79</v>
      </c>
      <c r="T36" s="43" t="s">
        <v>79</v>
      </c>
      <c r="U36" s="43" t="s">
        <v>79</v>
      </c>
      <c r="V36" s="43" t="s">
        <v>79</v>
      </c>
      <c r="W36" s="43" t="s">
        <v>79</v>
      </c>
    </row>
    <row r="37" spans="1:23" x14ac:dyDescent="0.35">
      <c r="A37" s="44" t="s">
        <v>79</v>
      </c>
      <c r="B37" s="41" t="s">
        <v>79</v>
      </c>
      <c r="C37" s="41" t="s">
        <v>79</v>
      </c>
      <c r="D37" s="41" t="s">
        <v>79</v>
      </c>
      <c r="E37" s="41" t="s">
        <v>79</v>
      </c>
      <c r="F37" s="41" t="s">
        <v>79</v>
      </c>
      <c r="G37" s="41" t="s">
        <v>79</v>
      </c>
      <c r="H37" s="41" t="s">
        <v>79</v>
      </c>
      <c r="I37" s="41" t="s">
        <v>79</v>
      </c>
      <c r="J37" s="41" t="s">
        <v>79</v>
      </c>
      <c r="K37" s="41" t="s">
        <v>79</v>
      </c>
      <c r="L37" s="41" t="s">
        <v>79</v>
      </c>
      <c r="M37" s="41" t="s">
        <v>79</v>
      </c>
      <c r="N37" s="41" t="s">
        <v>79</v>
      </c>
      <c r="O37" s="41" t="s">
        <v>79</v>
      </c>
      <c r="P37" s="41" t="s">
        <v>79</v>
      </c>
      <c r="Q37" s="41" t="s">
        <v>79</v>
      </c>
      <c r="R37" s="41" t="s">
        <v>79</v>
      </c>
      <c r="S37" s="41" t="s">
        <v>79</v>
      </c>
      <c r="T37" s="41" t="s">
        <v>79</v>
      </c>
      <c r="U37" s="41" t="s">
        <v>79</v>
      </c>
      <c r="V37" s="41" t="s">
        <v>79</v>
      </c>
      <c r="W37" s="41" t="s">
        <v>79</v>
      </c>
    </row>
    <row r="38" spans="1:23" x14ac:dyDescent="0.35">
      <c r="A38" s="42" t="s">
        <v>79</v>
      </c>
      <c r="B38" s="43" t="s">
        <v>79</v>
      </c>
      <c r="C38" s="43" t="s">
        <v>79</v>
      </c>
      <c r="D38" s="43" t="s">
        <v>79</v>
      </c>
      <c r="E38" s="43" t="s">
        <v>79</v>
      </c>
      <c r="F38" s="43" t="s">
        <v>79</v>
      </c>
      <c r="G38" s="43" t="s">
        <v>79</v>
      </c>
      <c r="H38" s="43" t="s">
        <v>79</v>
      </c>
      <c r="I38" s="43" t="s">
        <v>79</v>
      </c>
      <c r="J38" s="43" t="s">
        <v>79</v>
      </c>
      <c r="K38" s="43" t="s">
        <v>79</v>
      </c>
      <c r="L38" s="43" t="s">
        <v>79</v>
      </c>
      <c r="M38" s="43" t="s">
        <v>79</v>
      </c>
      <c r="N38" s="43" t="s">
        <v>79</v>
      </c>
      <c r="O38" s="43" t="s">
        <v>79</v>
      </c>
      <c r="P38" s="43" t="s">
        <v>79</v>
      </c>
      <c r="Q38" s="43" t="s">
        <v>79</v>
      </c>
      <c r="R38" s="43" t="s">
        <v>79</v>
      </c>
      <c r="S38" s="43" t="s">
        <v>79</v>
      </c>
      <c r="T38" s="43" t="s">
        <v>79</v>
      </c>
      <c r="U38" s="43" t="s">
        <v>79</v>
      </c>
      <c r="V38" s="43" t="s">
        <v>79</v>
      </c>
      <c r="W38" s="43" t="s">
        <v>79</v>
      </c>
    </row>
    <row r="39" spans="1:23" x14ac:dyDescent="0.35">
      <c r="A39" s="44" t="s">
        <v>79</v>
      </c>
      <c r="B39" s="41" t="s">
        <v>79</v>
      </c>
      <c r="C39" s="41" t="s">
        <v>79</v>
      </c>
      <c r="D39" s="41" t="s">
        <v>79</v>
      </c>
      <c r="E39" s="41" t="s">
        <v>79</v>
      </c>
      <c r="F39" s="41" t="s">
        <v>79</v>
      </c>
      <c r="G39" s="41" t="s">
        <v>79</v>
      </c>
      <c r="H39" s="41" t="s">
        <v>79</v>
      </c>
      <c r="I39" s="41" t="s">
        <v>79</v>
      </c>
      <c r="J39" s="41" t="s">
        <v>79</v>
      </c>
      <c r="K39" s="41" t="s">
        <v>79</v>
      </c>
      <c r="L39" s="41" t="s">
        <v>79</v>
      </c>
      <c r="M39" s="41" t="s">
        <v>79</v>
      </c>
      <c r="N39" s="41" t="s">
        <v>79</v>
      </c>
      <c r="O39" s="41" t="s">
        <v>79</v>
      </c>
      <c r="P39" s="41" t="s">
        <v>79</v>
      </c>
      <c r="Q39" s="41" t="s">
        <v>79</v>
      </c>
      <c r="R39" s="41" t="s">
        <v>79</v>
      </c>
      <c r="S39" s="41" t="s">
        <v>79</v>
      </c>
      <c r="T39" s="41" t="s">
        <v>79</v>
      </c>
      <c r="U39" s="41" t="s">
        <v>79</v>
      </c>
      <c r="V39" s="41" t="s">
        <v>79</v>
      </c>
      <c r="W39" s="41" t="s">
        <v>79</v>
      </c>
    </row>
    <row r="40" spans="1:23" x14ac:dyDescent="0.35">
      <c r="A40" s="42" t="s">
        <v>79</v>
      </c>
      <c r="B40" s="43" t="s">
        <v>79</v>
      </c>
      <c r="C40" s="43" t="s">
        <v>79</v>
      </c>
      <c r="D40" s="43" t="s">
        <v>79</v>
      </c>
      <c r="E40" s="43" t="s">
        <v>79</v>
      </c>
      <c r="F40" s="43" t="s">
        <v>79</v>
      </c>
      <c r="G40" s="43" t="s">
        <v>79</v>
      </c>
      <c r="H40" s="43" t="s">
        <v>79</v>
      </c>
      <c r="I40" s="43" t="s">
        <v>79</v>
      </c>
      <c r="J40" s="43" t="s">
        <v>79</v>
      </c>
      <c r="K40" s="43" t="s">
        <v>79</v>
      </c>
      <c r="L40" s="43" t="s">
        <v>79</v>
      </c>
      <c r="M40" s="43" t="s">
        <v>79</v>
      </c>
      <c r="N40" s="43" t="s">
        <v>79</v>
      </c>
      <c r="O40" s="43" t="s">
        <v>79</v>
      </c>
      <c r="P40" s="43" t="s">
        <v>79</v>
      </c>
      <c r="Q40" s="43" t="s">
        <v>79</v>
      </c>
      <c r="R40" s="43" t="s">
        <v>79</v>
      </c>
      <c r="S40" s="43" t="s">
        <v>79</v>
      </c>
      <c r="T40" s="43" t="s">
        <v>79</v>
      </c>
      <c r="U40" s="43" t="s">
        <v>79</v>
      </c>
      <c r="V40" s="43" t="s">
        <v>79</v>
      </c>
      <c r="W40" s="43" t="s">
        <v>79</v>
      </c>
    </row>
    <row r="41" spans="1:23" x14ac:dyDescent="0.35">
      <c r="A41" s="44" t="s">
        <v>79</v>
      </c>
      <c r="B41" s="41" t="s">
        <v>79</v>
      </c>
      <c r="C41" s="41" t="s">
        <v>79</v>
      </c>
      <c r="D41" s="41" t="s">
        <v>79</v>
      </c>
      <c r="E41" s="41" t="s">
        <v>79</v>
      </c>
      <c r="F41" s="41" t="s">
        <v>79</v>
      </c>
      <c r="G41" s="41" t="s">
        <v>79</v>
      </c>
      <c r="H41" s="41" t="s">
        <v>79</v>
      </c>
      <c r="I41" s="41" t="s">
        <v>79</v>
      </c>
      <c r="J41" s="41" t="s">
        <v>79</v>
      </c>
      <c r="K41" s="41" t="s">
        <v>79</v>
      </c>
      <c r="L41" s="41" t="s">
        <v>79</v>
      </c>
      <c r="M41" s="41" t="s">
        <v>79</v>
      </c>
      <c r="N41" s="41" t="s">
        <v>79</v>
      </c>
      <c r="O41" s="41" t="s">
        <v>79</v>
      </c>
      <c r="P41" s="41" t="s">
        <v>79</v>
      </c>
      <c r="Q41" s="41" t="s">
        <v>79</v>
      </c>
      <c r="R41" s="41" t="s">
        <v>79</v>
      </c>
      <c r="S41" s="41" t="s">
        <v>79</v>
      </c>
      <c r="T41" s="41" t="s">
        <v>79</v>
      </c>
      <c r="U41" s="41" t="s">
        <v>79</v>
      </c>
      <c r="V41" s="41" t="s">
        <v>79</v>
      </c>
      <c r="W41" s="41" t="s">
        <v>79</v>
      </c>
    </row>
    <row r="42" spans="1:23" x14ac:dyDescent="0.35">
      <c r="A42" s="42" t="s">
        <v>79</v>
      </c>
      <c r="B42" s="43" t="s">
        <v>79</v>
      </c>
      <c r="C42" s="43" t="s">
        <v>79</v>
      </c>
      <c r="D42" s="43" t="s">
        <v>79</v>
      </c>
      <c r="E42" s="43" t="s">
        <v>79</v>
      </c>
      <c r="F42" s="43" t="s">
        <v>79</v>
      </c>
      <c r="G42" s="43" t="s">
        <v>79</v>
      </c>
      <c r="H42" s="43" t="s">
        <v>79</v>
      </c>
      <c r="I42" s="43" t="s">
        <v>79</v>
      </c>
      <c r="J42" s="43" t="s">
        <v>79</v>
      </c>
      <c r="K42" s="43" t="s">
        <v>79</v>
      </c>
      <c r="L42" s="43" t="s">
        <v>79</v>
      </c>
      <c r="M42" s="43" t="s">
        <v>79</v>
      </c>
      <c r="N42" s="43" t="s">
        <v>79</v>
      </c>
      <c r="O42" s="43" t="s">
        <v>79</v>
      </c>
      <c r="P42" s="43" t="s">
        <v>79</v>
      </c>
      <c r="Q42" s="43" t="s">
        <v>79</v>
      </c>
      <c r="R42" s="43" t="s">
        <v>79</v>
      </c>
      <c r="S42" s="43" t="s">
        <v>79</v>
      </c>
      <c r="T42" s="43" t="s">
        <v>79</v>
      </c>
      <c r="U42" s="43" t="s">
        <v>79</v>
      </c>
      <c r="V42" s="43" t="s">
        <v>79</v>
      </c>
      <c r="W42" s="43" t="s">
        <v>79</v>
      </c>
    </row>
    <row r="43" spans="1:23" x14ac:dyDescent="0.35">
      <c r="A43" s="44" t="s">
        <v>79</v>
      </c>
      <c r="B43" s="41" t="s">
        <v>79</v>
      </c>
      <c r="C43" s="41" t="s">
        <v>79</v>
      </c>
      <c r="D43" s="41" t="s">
        <v>79</v>
      </c>
      <c r="E43" s="41" t="s">
        <v>79</v>
      </c>
      <c r="F43" s="41" t="s">
        <v>79</v>
      </c>
      <c r="G43" s="41" t="s">
        <v>79</v>
      </c>
      <c r="H43" s="41" t="s">
        <v>79</v>
      </c>
      <c r="I43" s="41" t="s">
        <v>79</v>
      </c>
      <c r="J43" s="41" t="s">
        <v>79</v>
      </c>
      <c r="K43" s="41" t="s">
        <v>79</v>
      </c>
      <c r="L43" s="41" t="s">
        <v>79</v>
      </c>
      <c r="M43" s="41" t="s">
        <v>79</v>
      </c>
      <c r="N43" s="41" t="s">
        <v>79</v>
      </c>
      <c r="O43" s="41" t="s">
        <v>79</v>
      </c>
      <c r="P43" s="41" t="s">
        <v>79</v>
      </c>
      <c r="Q43" s="41" t="s">
        <v>79</v>
      </c>
      <c r="R43" s="41" t="s">
        <v>79</v>
      </c>
      <c r="S43" s="41" t="s">
        <v>79</v>
      </c>
      <c r="T43" s="41" t="s">
        <v>79</v>
      </c>
      <c r="U43" s="41" t="s">
        <v>79</v>
      </c>
      <c r="V43" s="41" t="s">
        <v>79</v>
      </c>
      <c r="W43" s="41" t="s">
        <v>79</v>
      </c>
    </row>
    <row r="44" spans="1:23" x14ac:dyDescent="0.35">
      <c r="A44" s="42" t="s">
        <v>79</v>
      </c>
      <c r="B44" s="43" t="s">
        <v>79</v>
      </c>
      <c r="C44" s="43" t="s">
        <v>79</v>
      </c>
      <c r="D44" s="43" t="s">
        <v>79</v>
      </c>
      <c r="E44" s="43" t="s">
        <v>79</v>
      </c>
      <c r="F44" s="43" t="s">
        <v>79</v>
      </c>
      <c r="G44" s="43" t="s">
        <v>79</v>
      </c>
      <c r="H44" s="43" t="s">
        <v>79</v>
      </c>
      <c r="I44" s="43" t="s">
        <v>79</v>
      </c>
      <c r="J44" s="43" t="s">
        <v>79</v>
      </c>
      <c r="K44" s="43" t="s">
        <v>79</v>
      </c>
      <c r="L44" s="43" t="s">
        <v>79</v>
      </c>
      <c r="M44" s="43" t="s">
        <v>79</v>
      </c>
      <c r="N44" s="43" t="s">
        <v>79</v>
      </c>
      <c r="O44" s="43" t="s">
        <v>79</v>
      </c>
      <c r="P44" s="43" t="s">
        <v>79</v>
      </c>
      <c r="Q44" s="43" t="s">
        <v>79</v>
      </c>
      <c r="R44" s="43" t="s">
        <v>79</v>
      </c>
      <c r="S44" s="43" t="s">
        <v>79</v>
      </c>
      <c r="T44" s="43" t="s">
        <v>79</v>
      </c>
      <c r="U44" s="43" t="s">
        <v>79</v>
      </c>
      <c r="V44" s="43" t="s">
        <v>79</v>
      </c>
      <c r="W44" s="43" t="s">
        <v>79</v>
      </c>
    </row>
    <row r="45" spans="1:23" x14ac:dyDescent="0.35">
      <c r="A45" s="44" t="s">
        <v>79</v>
      </c>
      <c r="B45" s="41" t="s">
        <v>79</v>
      </c>
      <c r="C45" s="41" t="s">
        <v>79</v>
      </c>
      <c r="D45" s="41" t="s">
        <v>79</v>
      </c>
      <c r="E45" s="41" t="s">
        <v>79</v>
      </c>
      <c r="F45" s="41" t="s">
        <v>79</v>
      </c>
      <c r="G45" s="41" t="s">
        <v>79</v>
      </c>
      <c r="H45" s="41" t="s">
        <v>79</v>
      </c>
      <c r="I45" s="41" t="s">
        <v>79</v>
      </c>
      <c r="J45" s="41" t="s">
        <v>79</v>
      </c>
      <c r="K45" s="41" t="s">
        <v>79</v>
      </c>
      <c r="L45" s="41" t="s">
        <v>79</v>
      </c>
      <c r="M45" s="41" t="s">
        <v>79</v>
      </c>
      <c r="N45" s="41" t="s">
        <v>79</v>
      </c>
      <c r="O45" s="41" t="s">
        <v>79</v>
      </c>
      <c r="P45" s="41" t="s">
        <v>79</v>
      </c>
      <c r="Q45" s="41" t="s">
        <v>79</v>
      </c>
      <c r="R45" s="41" t="s">
        <v>79</v>
      </c>
      <c r="S45" s="41" t="s">
        <v>79</v>
      </c>
      <c r="T45" s="41" t="s">
        <v>79</v>
      </c>
      <c r="U45" s="41" t="s">
        <v>79</v>
      </c>
      <c r="V45" s="41" t="s">
        <v>79</v>
      </c>
      <c r="W45" s="41" t="s">
        <v>79</v>
      </c>
    </row>
    <row r="46" spans="1:23" x14ac:dyDescent="0.35">
      <c r="A46" s="42" t="s">
        <v>79</v>
      </c>
      <c r="B46" s="43" t="s">
        <v>79</v>
      </c>
      <c r="C46" s="43" t="s">
        <v>79</v>
      </c>
      <c r="D46" s="43" t="s">
        <v>79</v>
      </c>
      <c r="E46" s="43" t="s">
        <v>79</v>
      </c>
      <c r="F46" s="43" t="s">
        <v>79</v>
      </c>
      <c r="G46" s="43" t="s">
        <v>79</v>
      </c>
      <c r="H46" s="43" t="s">
        <v>79</v>
      </c>
      <c r="I46" s="43" t="s">
        <v>79</v>
      </c>
      <c r="J46" s="43" t="s">
        <v>79</v>
      </c>
      <c r="K46" s="43" t="s">
        <v>79</v>
      </c>
      <c r="L46" s="43" t="s">
        <v>79</v>
      </c>
      <c r="M46" s="43" t="s">
        <v>79</v>
      </c>
      <c r="N46" s="43" t="s">
        <v>79</v>
      </c>
      <c r="O46" s="43" t="s">
        <v>79</v>
      </c>
      <c r="P46" s="43" t="s">
        <v>79</v>
      </c>
      <c r="Q46" s="43" t="s">
        <v>79</v>
      </c>
      <c r="R46" s="43" t="s">
        <v>79</v>
      </c>
      <c r="S46" s="43" t="s">
        <v>79</v>
      </c>
      <c r="T46" s="43" t="s">
        <v>79</v>
      </c>
      <c r="U46" s="43" t="s">
        <v>79</v>
      </c>
      <c r="V46" s="43" t="s">
        <v>79</v>
      </c>
      <c r="W46" s="43" t="s">
        <v>79</v>
      </c>
    </row>
    <row r="47" spans="1:23" x14ac:dyDescent="0.35">
      <c r="A47" s="44" t="s">
        <v>79</v>
      </c>
      <c r="B47" s="41" t="s">
        <v>79</v>
      </c>
      <c r="C47" s="41" t="s">
        <v>79</v>
      </c>
      <c r="D47" s="41" t="s">
        <v>79</v>
      </c>
      <c r="E47" s="41" t="s">
        <v>79</v>
      </c>
      <c r="F47" s="41" t="s">
        <v>79</v>
      </c>
      <c r="G47" s="41" t="s">
        <v>79</v>
      </c>
      <c r="H47" s="41" t="s">
        <v>79</v>
      </c>
      <c r="I47" s="41" t="s">
        <v>79</v>
      </c>
      <c r="J47" s="41" t="s">
        <v>79</v>
      </c>
      <c r="K47" s="41" t="s">
        <v>79</v>
      </c>
      <c r="L47" s="41" t="s">
        <v>79</v>
      </c>
      <c r="M47" s="41" t="s">
        <v>79</v>
      </c>
      <c r="N47" s="41" t="s">
        <v>79</v>
      </c>
      <c r="O47" s="41" t="s">
        <v>79</v>
      </c>
      <c r="P47" s="41" t="s">
        <v>79</v>
      </c>
      <c r="Q47" s="41" t="s">
        <v>79</v>
      </c>
      <c r="R47" s="41" t="s">
        <v>79</v>
      </c>
      <c r="S47" s="41" t="s">
        <v>79</v>
      </c>
      <c r="T47" s="41" t="s">
        <v>79</v>
      </c>
      <c r="U47" s="41" t="s">
        <v>79</v>
      </c>
      <c r="V47" s="41" t="s">
        <v>79</v>
      </c>
      <c r="W47" s="41" t="s">
        <v>79</v>
      </c>
    </row>
    <row r="48" spans="1:23" x14ac:dyDescent="0.35">
      <c r="A48" s="42" t="s">
        <v>79</v>
      </c>
      <c r="B48" s="43" t="s">
        <v>79</v>
      </c>
      <c r="C48" s="43" t="s">
        <v>79</v>
      </c>
      <c r="D48" s="43" t="s">
        <v>79</v>
      </c>
      <c r="E48" s="43" t="s">
        <v>79</v>
      </c>
      <c r="F48" s="43" t="s">
        <v>79</v>
      </c>
      <c r="G48" s="43" t="s">
        <v>79</v>
      </c>
      <c r="H48" s="43" t="s">
        <v>79</v>
      </c>
      <c r="I48" s="43" t="s">
        <v>79</v>
      </c>
      <c r="J48" s="43" t="s">
        <v>79</v>
      </c>
      <c r="K48" s="43" t="s">
        <v>79</v>
      </c>
      <c r="L48" s="43" t="s">
        <v>79</v>
      </c>
      <c r="M48" s="43" t="s">
        <v>79</v>
      </c>
      <c r="N48" s="43" t="s">
        <v>79</v>
      </c>
      <c r="O48" s="43" t="s">
        <v>79</v>
      </c>
      <c r="P48" s="43" t="s">
        <v>79</v>
      </c>
      <c r="Q48" s="43" t="s">
        <v>79</v>
      </c>
      <c r="R48" s="43" t="s">
        <v>79</v>
      </c>
      <c r="S48" s="43" t="s">
        <v>79</v>
      </c>
      <c r="T48" s="43" t="s">
        <v>79</v>
      </c>
      <c r="U48" s="43" t="s">
        <v>79</v>
      </c>
      <c r="V48" s="43" t="s">
        <v>79</v>
      </c>
      <c r="W48" s="43" t="s">
        <v>79</v>
      </c>
    </row>
    <row r="49" spans="1:23" x14ac:dyDescent="0.35">
      <c r="A49" s="44" t="s">
        <v>79</v>
      </c>
      <c r="B49" s="41" t="s">
        <v>79</v>
      </c>
      <c r="C49" s="41" t="s">
        <v>79</v>
      </c>
      <c r="D49" s="41" t="s">
        <v>79</v>
      </c>
      <c r="E49" s="41" t="s">
        <v>79</v>
      </c>
      <c r="F49" s="41" t="s">
        <v>79</v>
      </c>
      <c r="G49" s="41" t="s">
        <v>79</v>
      </c>
      <c r="H49" s="41" t="s">
        <v>79</v>
      </c>
      <c r="I49" s="41" t="s">
        <v>79</v>
      </c>
      <c r="J49" s="41" t="s">
        <v>79</v>
      </c>
      <c r="K49" s="41" t="s">
        <v>79</v>
      </c>
      <c r="L49" s="41" t="s">
        <v>79</v>
      </c>
      <c r="M49" s="41" t="s">
        <v>79</v>
      </c>
      <c r="N49" s="41" t="s">
        <v>79</v>
      </c>
      <c r="O49" s="41" t="s">
        <v>79</v>
      </c>
      <c r="P49" s="41" t="s">
        <v>79</v>
      </c>
      <c r="Q49" s="41" t="s">
        <v>79</v>
      </c>
      <c r="R49" s="41" t="s">
        <v>79</v>
      </c>
      <c r="S49" s="41" t="s">
        <v>79</v>
      </c>
      <c r="T49" s="41" t="s">
        <v>79</v>
      </c>
      <c r="U49" s="41" t="s">
        <v>79</v>
      </c>
      <c r="V49" s="41" t="s">
        <v>79</v>
      </c>
      <c r="W49" s="41" t="s">
        <v>79</v>
      </c>
    </row>
    <row r="50" spans="1:23" x14ac:dyDescent="0.35">
      <c r="A50" s="42" t="s">
        <v>79</v>
      </c>
      <c r="B50" s="43" t="s">
        <v>79</v>
      </c>
      <c r="C50" s="43" t="s">
        <v>79</v>
      </c>
      <c r="D50" s="43" t="s">
        <v>79</v>
      </c>
      <c r="E50" s="43" t="s">
        <v>79</v>
      </c>
      <c r="F50" s="43" t="s">
        <v>79</v>
      </c>
      <c r="G50" s="43" t="s">
        <v>79</v>
      </c>
      <c r="H50" s="43" t="s">
        <v>79</v>
      </c>
      <c r="I50" s="43" t="s">
        <v>79</v>
      </c>
      <c r="J50" s="43" t="s">
        <v>79</v>
      </c>
      <c r="K50" s="43" t="s">
        <v>79</v>
      </c>
      <c r="L50" s="43" t="s">
        <v>79</v>
      </c>
      <c r="M50" s="43" t="s">
        <v>79</v>
      </c>
      <c r="N50" s="43" t="s">
        <v>79</v>
      </c>
      <c r="O50" s="43" t="s">
        <v>79</v>
      </c>
      <c r="P50" s="43" t="s">
        <v>79</v>
      </c>
      <c r="Q50" s="43" t="s">
        <v>79</v>
      </c>
      <c r="R50" s="43" t="s">
        <v>79</v>
      </c>
      <c r="S50" s="43" t="s">
        <v>79</v>
      </c>
      <c r="T50" s="43" t="s">
        <v>79</v>
      </c>
      <c r="U50" s="43" t="s">
        <v>79</v>
      </c>
      <c r="V50" s="43" t="s">
        <v>79</v>
      </c>
      <c r="W50" s="43" t="s">
        <v>79</v>
      </c>
    </row>
    <row r="51" spans="1:23" x14ac:dyDescent="0.35">
      <c r="A51" s="44" t="s">
        <v>79</v>
      </c>
      <c r="B51" s="41" t="s">
        <v>79</v>
      </c>
      <c r="C51" s="41" t="s">
        <v>79</v>
      </c>
      <c r="D51" s="41" t="s">
        <v>79</v>
      </c>
      <c r="E51" s="41" t="s">
        <v>79</v>
      </c>
      <c r="F51" s="41" t="s">
        <v>79</v>
      </c>
      <c r="G51" s="41" t="s">
        <v>79</v>
      </c>
      <c r="H51" s="41" t="s">
        <v>79</v>
      </c>
      <c r="I51" s="41" t="s">
        <v>79</v>
      </c>
      <c r="J51" s="41" t="s">
        <v>79</v>
      </c>
      <c r="K51" s="41" t="s">
        <v>79</v>
      </c>
      <c r="L51" s="41" t="s">
        <v>79</v>
      </c>
      <c r="M51" s="41" t="s">
        <v>79</v>
      </c>
      <c r="N51" s="41" t="s">
        <v>79</v>
      </c>
      <c r="O51" s="41" t="s">
        <v>79</v>
      </c>
      <c r="P51" s="41" t="s">
        <v>79</v>
      </c>
      <c r="Q51" s="41" t="s">
        <v>79</v>
      </c>
      <c r="R51" s="41" t="s">
        <v>79</v>
      </c>
      <c r="S51" s="41" t="s">
        <v>79</v>
      </c>
      <c r="T51" s="41" t="s">
        <v>79</v>
      </c>
      <c r="U51" s="41" t="s">
        <v>79</v>
      </c>
      <c r="V51" s="41" t="s">
        <v>79</v>
      </c>
      <c r="W51" s="41" t="s">
        <v>79</v>
      </c>
    </row>
    <row r="52" spans="1:23" x14ac:dyDescent="0.35">
      <c r="A52" s="42" t="s">
        <v>79</v>
      </c>
      <c r="B52" s="43" t="s">
        <v>79</v>
      </c>
      <c r="C52" s="43" t="s">
        <v>79</v>
      </c>
      <c r="D52" s="43" t="s">
        <v>79</v>
      </c>
      <c r="E52" s="43" t="s">
        <v>79</v>
      </c>
      <c r="F52" s="43" t="s">
        <v>79</v>
      </c>
      <c r="G52" s="43" t="s">
        <v>79</v>
      </c>
      <c r="H52" s="43" t="s">
        <v>79</v>
      </c>
      <c r="I52" s="43" t="s">
        <v>79</v>
      </c>
      <c r="J52" s="43" t="s">
        <v>79</v>
      </c>
      <c r="K52" s="43" t="s">
        <v>79</v>
      </c>
      <c r="L52" s="43" t="s">
        <v>79</v>
      </c>
      <c r="M52" s="43" t="s">
        <v>79</v>
      </c>
      <c r="N52" s="43" t="s">
        <v>79</v>
      </c>
      <c r="O52" s="43" t="s">
        <v>79</v>
      </c>
      <c r="P52" s="43" t="s">
        <v>79</v>
      </c>
      <c r="Q52" s="43" t="s">
        <v>79</v>
      </c>
      <c r="R52" s="43" t="s">
        <v>79</v>
      </c>
      <c r="S52" s="43" t="s">
        <v>79</v>
      </c>
      <c r="T52" s="43" t="s">
        <v>79</v>
      </c>
      <c r="U52" s="43" t="s">
        <v>79</v>
      </c>
      <c r="V52" s="43" t="s">
        <v>79</v>
      </c>
      <c r="W52" s="43" t="s">
        <v>79</v>
      </c>
    </row>
    <row r="53" spans="1:23" x14ac:dyDescent="0.35">
      <c r="A53" s="44" t="s">
        <v>79</v>
      </c>
      <c r="B53" s="41" t="s">
        <v>79</v>
      </c>
      <c r="C53" s="41" t="s">
        <v>79</v>
      </c>
      <c r="D53" s="41" t="s">
        <v>79</v>
      </c>
      <c r="E53" s="41" t="s">
        <v>79</v>
      </c>
      <c r="F53" s="41" t="s">
        <v>79</v>
      </c>
      <c r="G53" s="41" t="s">
        <v>79</v>
      </c>
      <c r="H53" s="41" t="s">
        <v>79</v>
      </c>
      <c r="I53" s="41" t="s">
        <v>79</v>
      </c>
      <c r="J53" s="41" t="s">
        <v>79</v>
      </c>
      <c r="K53" s="41" t="s">
        <v>79</v>
      </c>
      <c r="L53" s="41" t="s">
        <v>79</v>
      </c>
      <c r="M53" s="41" t="s">
        <v>79</v>
      </c>
      <c r="N53" s="41" t="s">
        <v>79</v>
      </c>
      <c r="O53" s="41" t="s">
        <v>79</v>
      </c>
      <c r="P53" s="41" t="s">
        <v>79</v>
      </c>
      <c r="Q53" s="41" t="s">
        <v>79</v>
      </c>
      <c r="R53" s="41" t="s">
        <v>79</v>
      </c>
      <c r="S53" s="41" t="s">
        <v>79</v>
      </c>
      <c r="T53" s="41" t="s">
        <v>79</v>
      </c>
      <c r="U53" s="41" t="s">
        <v>79</v>
      </c>
      <c r="V53" s="41" t="s">
        <v>79</v>
      </c>
      <c r="W53" s="41" t="s">
        <v>79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Contract Data</vt:lpstr>
      <vt:lpstr>Sign-UpRenewal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Baljeet Singh</cp:lastModifiedBy>
  <cp:revision>1</cp:revision>
  <dcterms:created xsi:type="dcterms:W3CDTF">2026-03-31T13:28:54Z</dcterms:created>
  <dcterms:modified xsi:type="dcterms:W3CDTF">2026-04-21T14:17:56Z</dcterms:modified>
  <cp:category/>
  <cp:contentStatus/>
</cp:coreProperties>
</file>