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_Budget" sheetId="1" r:id="rId4"/>
    <sheet state="visible" name="CM_Budget" sheetId="2" r:id="rId5"/>
    <sheet state="visible" name="Target_Rev_Productivity" sheetId="3" r:id="rId6"/>
    <sheet state="visible" name="Rev_Forecast" sheetId="4" r:id="rId7"/>
    <sheet state="visible" name="CM_Forecast" sheetId="5" r:id="rId8"/>
    <sheet state="visible" name="Revenue_Actual" sheetId="6" r:id="rId9"/>
    <sheet state="visible" name="Mapping" sheetId="7" r:id="rId10"/>
    <sheet state="visible" name="CM_Actual" sheetId="8" r:id="rId11"/>
    <sheet state="visible" name="Taggd_Source_Joiner" sheetId="9" r:id="rId12"/>
    <sheet state="visible" name="Non Taggd Source Joiner" sheetId="10" r:id="rId13"/>
    <sheet state="visible" name="Rev_Adjustment" sheetId="11" r:id="rId14"/>
    <sheet state="visible" name="Actual Headcount WL1" sheetId="12" r:id="rId15"/>
    <sheet state="visible" name="Approved_Headcount" sheetId="13" r:id="rId16"/>
    <sheet state="visible" name="Actual_Headcount Overall" sheetId="14" r:id="rId17"/>
    <sheet state="visible" name="Actual_PPC" sheetId="15" r:id="rId18"/>
    <sheet state="visible" name="Unbilled" sheetId="16" r:id="rId19"/>
    <sheet state="visible" name="Collection Target" sheetId="17" r:id="rId20"/>
    <sheet state="visible" name="Revenue_Collected" sheetId="18" r:id="rId21"/>
    <sheet state="visible" name="Bad Debt" sheetId="19" r:id="rId22"/>
    <sheet state="visible" name="Actual Cost" sheetId="20" r:id="rId23"/>
  </sheets>
  <definedNames/>
  <calcPr/>
  <extLst>
    <ext uri="GoogleSheetsCustomDataVersion2">
      <go:sheetsCustomData xmlns:go="http://customooxmlschemas.google.com/" r:id="rId24" roundtripDataChecksum="DjKvH8ZGQTnR1EU9kojAYiizZ6mCgCzyY8Q557R9wlM="/>
    </ext>
  </extLst>
</workbook>
</file>

<file path=xl/sharedStrings.xml><?xml version="1.0" encoding="utf-8"?>
<sst xmlns="http://schemas.openxmlformats.org/spreadsheetml/2006/main" count="2985" uniqueCount="128">
  <si>
    <t>FY</t>
  </si>
  <si>
    <t>Project</t>
  </si>
  <si>
    <t>Vertical</t>
  </si>
  <si>
    <t>Region</t>
  </si>
  <si>
    <t>Sub Region</t>
  </si>
  <si>
    <t>Region Head</t>
  </si>
  <si>
    <t>Practice Head</t>
  </si>
  <si>
    <t>FY2024-25</t>
  </si>
  <si>
    <t>Tata Motors</t>
  </si>
  <si>
    <t>Schaeffler</t>
  </si>
  <si>
    <t>Vertiv</t>
  </si>
  <si>
    <t>Tata Marcopolo</t>
  </si>
  <si>
    <t>ThyssenKrupp</t>
  </si>
  <si>
    <t>Ultratech</t>
  </si>
  <si>
    <t>Tata Teleservices</t>
  </si>
  <si>
    <t>Hyundai Motor</t>
  </si>
  <si>
    <t>Bridgestone</t>
  </si>
  <si>
    <t>SKF India</t>
  </si>
  <si>
    <t>Jindal Stainless</t>
  </si>
  <si>
    <t>Maruti Suzuki(MSIL)</t>
  </si>
  <si>
    <t>Suzuki R&amp;D</t>
  </si>
  <si>
    <t>Subros Ltd</t>
  </si>
  <si>
    <t>Pernod Ricard</t>
  </si>
  <si>
    <t>Pfizer</t>
  </si>
  <si>
    <t>Tata Power</t>
  </si>
  <si>
    <t>Pidilite</t>
  </si>
  <si>
    <t>Birla Paints</t>
  </si>
  <si>
    <t>M&amp;M</t>
  </si>
  <si>
    <t>DP World</t>
  </si>
  <si>
    <t>AMNS</t>
  </si>
  <si>
    <t>Mahindra Holidays</t>
  </si>
  <si>
    <t>WTW</t>
  </si>
  <si>
    <t>Fedex</t>
  </si>
  <si>
    <t>Tata Consumer</t>
  </si>
  <si>
    <t>Tata Play</t>
  </si>
  <si>
    <t>Mahindra Finance</t>
  </si>
  <si>
    <t>Atomberg Technologies</t>
  </si>
  <si>
    <t>Ambuja Cement</t>
  </si>
  <si>
    <t>Sterling Tools</t>
  </si>
  <si>
    <t>Wipro</t>
  </si>
  <si>
    <t>Nomiso</t>
  </si>
  <si>
    <t>Ingram Micro</t>
  </si>
  <si>
    <t>DRL</t>
  </si>
  <si>
    <t>SBI Card</t>
  </si>
  <si>
    <t>IBM</t>
  </si>
  <si>
    <t>BITS</t>
  </si>
  <si>
    <t>P&amp;G</t>
  </si>
  <si>
    <t>L&amp;T Energy</t>
  </si>
  <si>
    <t>Tata Electronics</t>
  </si>
  <si>
    <t>Royal Enfield</t>
  </si>
  <si>
    <t>Excelacom</t>
  </si>
  <si>
    <t>Viteos</t>
  </si>
  <si>
    <t>Ashok Leyland</t>
  </si>
  <si>
    <t>M2P Fintech</t>
  </si>
  <si>
    <t>ABB</t>
  </si>
  <si>
    <t>Honeywell</t>
  </si>
  <si>
    <t>Siemens</t>
  </si>
  <si>
    <t>Robert Bosch</t>
  </si>
  <si>
    <t>HPE</t>
  </si>
  <si>
    <t>Isuzu</t>
  </si>
  <si>
    <t>Ametek</t>
  </si>
  <si>
    <t>Titan</t>
  </si>
  <si>
    <t>ABFRL</t>
  </si>
  <si>
    <t>Common</t>
  </si>
  <si>
    <t>New Sales + Mining</t>
  </si>
  <si>
    <t>In lacs</t>
  </si>
  <si>
    <t>Check denomination</t>
  </si>
  <si>
    <t>Value= Per recuiter per project in Lacs</t>
  </si>
  <si>
    <t>Rev forecast in lacs</t>
  </si>
  <si>
    <t>CM= Contribution Margin in Lacs</t>
  </si>
  <si>
    <t>Actual rev, when the month is closed; actual closed rev per month in lacs</t>
  </si>
  <si>
    <t>Lateral</t>
  </si>
  <si>
    <t>West</t>
  </si>
  <si>
    <t>West 2</t>
  </si>
  <si>
    <t>Anjli</t>
  </si>
  <si>
    <t>Shweta</t>
  </si>
  <si>
    <t>West 1</t>
  </si>
  <si>
    <t>Elton</t>
  </si>
  <si>
    <t>North</t>
  </si>
  <si>
    <t>Archana</t>
  </si>
  <si>
    <t>Usha</t>
  </si>
  <si>
    <t>Geetu</t>
  </si>
  <si>
    <t>Lateral &amp; Leadership</t>
  </si>
  <si>
    <t>Dhriti</t>
  </si>
  <si>
    <t>Alifia</t>
  </si>
  <si>
    <t>Ankit</t>
  </si>
  <si>
    <t>South</t>
  </si>
  <si>
    <t>South 1</t>
  </si>
  <si>
    <t>Sulabh</t>
  </si>
  <si>
    <t>Subu</t>
  </si>
  <si>
    <t>South 2</t>
  </si>
  <si>
    <t>Krishna</t>
  </si>
  <si>
    <t>Satya</t>
  </si>
  <si>
    <t>Bapi</t>
  </si>
  <si>
    <t>Kunal</t>
  </si>
  <si>
    <t>Abhilash</t>
  </si>
  <si>
    <t>Mahak</t>
  </si>
  <si>
    <t>New Sales</t>
  </si>
  <si>
    <t>Nizar</t>
  </si>
  <si>
    <t>Teleperformance</t>
  </si>
  <si>
    <t>Centum</t>
  </si>
  <si>
    <t>Servify</t>
  </si>
  <si>
    <t>Atul</t>
  </si>
  <si>
    <t>Atos</t>
  </si>
  <si>
    <t>L&amp;T (New)</t>
  </si>
  <si>
    <t>NCC</t>
  </si>
  <si>
    <t>Nagarjuna</t>
  </si>
  <si>
    <t>Parul</t>
  </si>
  <si>
    <t>Infocepts</t>
  </si>
  <si>
    <t>Optum</t>
  </si>
  <si>
    <t>Ashish</t>
  </si>
  <si>
    <t>Kale Logistics</t>
  </si>
  <si>
    <t>Bench</t>
  </si>
  <si>
    <t>CM actual in Lacs</t>
  </si>
  <si>
    <t/>
  </si>
  <si>
    <t xml:space="preserve"> </t>
  </si>
  <si>
    <t>taggd source joiner (denomination)- total taggd joiner / work level 1 headcount</t>
  </si>
  <si>
    <t>work level 1- grade of the employee</t>
  </si>
  <si>
    <t>Non taggd joiner is just number of people joined from non taggd source</t>
  </si>
  <si>
    <t>As it is, denomination in lacs; this basically any changes in rev that happend</t>
  </si>
  <si>
    <t>Work level 1 headcount actual</t>
  </si>
  <si>
    <t>This is overall headcount, not just worklevel 1</t>
  </si>
  <si>
    <t>Get calculation</t>
  </si>
  <si>
    <t>uninvoived money in lacs</t>
  </si>
  <si>
    <t>Static numbers from the finance team</t>
  </si>
  <si>
    <t>How much money has been collected</t>
  </si>
  <si>
    <t>Money that customer is refusing to give money on different occasions; static numbers</t>
  </si>
  <si>
    <t>Actual cost on project in Rupees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</si>
</sst>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5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17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1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2" fillId="0" fontId="1" numFmtId="3" xfId="0" applyAlignment="1" applyBorder="1" applyFont="1" applyNumberFormat="1">
      <alignment horizontal="center"/>
    </xf>
    <xf borderId="2" fillId="0" fontId="1" numFmtId="1" xfId="0" applyAlignment="1" applyBorder="1" applyFont="1" applyNumberFormat="1">
      <alignment horizontal="center"/>
    </xf>
    <xf borderId="2" fillId="0" fontId="3" numFmtId="3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2" fillId="0" fontId="1" numFmtId="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1" numFmtId="3" xfId="0" applyFont="1" applyNumberFormat="1"/>
    <xf borderId="2" fillId="0" fontId="1" numFmtId="164" xfId="0" applyBorder="1" applyFont="1" applyNumberFormat="1"/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3" width="21.13"/>
    <col customWidth="1" min="4" max="5" width="10.0"/>
    <col customWidth="1" min="6" max="6" width="12.0"/>
    <col customWidth="1" min="7" max="7" width="13.25"/>
    <col customWidth="1" min="8" max="8" width="9.5"/>
    <col customWidth="1" min="9" max="18" width="10.5"/>
    <col customWidth="1" min="19" max="19" width="10.88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  <c r="T1" s="4"/>
      <c r="U1" s="4"/>
      <c r="V1" s="4"/>
      <c r="W1" s="4"/>
      <c r="X1" s="4"/>
      <c r="Y1" s="4"/>
      <c r="Z1" s="4"/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6">
        <v>25.0</v>
      </c>
      <c r="I2" s="6">
        <v>35.0</v>
      </c>
      <c r="J2" s="6">
        <v>40.0</v>
      </c>
      <c r="K2" s="6">
        <v>43.5</v>
      </c>
      <c r="L2" s="6">
        <v>60.9</v>
      </c>
      <c r="M2" s="6">
        <v>69.60000000000001</v>
      </c>
      <c r="N2" s="6">
        <v>49.025</v>
      </c>
      <c r="O2" s="6">
        <v>68.63499999999999</v>
      </c>
      <c r="P2" s="6">
        <v>78.44</v>
      </c>
      <c r="Q2" s="6">
        <v>50.8825</v>
      </c>
      <c r="R2" s="6">
        <v>71.2355</v>
      </c>
      <c r="S2" s="6">
        <v>81.412</v>
      </c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6">
        <v>6.175000000000001</v>
      </c>
      <c r="I3" s="6">
        <v>8.645</v>
      </c>
      <c r="J3" s="6">
        <v>9.880000000000003</v>
      </c>
      <c r="K3" s="6">
        <v>6.3500000000000005</v>
      </c>
      <c r="L3" s="6">
        <v>8.89</v>
      </c>
      <c r="M3" s="6">
        <v>10.160000000000002</v>
      </c>
      <c r="N3" s="6">
        <v>6.650000000000001</v>
      </c>
      <c r="O3" s="6">
        <v>9.31</v>
      </c>
      <c r="P3" s="6">
        <v>10.640000000000002</v>
      </c>
      <c r="Q3" s="6">
        <v>7.032499999999999</v>
      </c>
      <c r="R3" s="6">
        <v>9.845499999999998</v>
      </c>
      <c r="S3" s="6">
        <v>11.251999999999999</v>
      </c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6">
        <v>3.0</v>
      </c>
      <c r="I4" s="6">
        <v>4.199999999999999</v>
      </c>
      <c r="J4" s="6">
        <v>4.800000000000001</v>
      </c>
      <c r="K4" s="6">
        <v>3.675</v>
      </c>
      <c r="L4" s="6">
        <v>5.145</v>
      </c>
      <c r="M4" s="6">
        <v>5.88</v>
      </c>
      <c r="N4" s="6">
        <v>3.825</v>
      </c>
      <c r="O4" s="6">
        <v>5.3549999999999995</v>
      </c>
      <c r="P4" s="6">
        <v>6.120000000000001</v>
      </c>
      <c r="Q4" s="6">
        <v>4.057500000000001</v>
      </c>
      <c r="R4" s="6">
        <v>5.680500000000001</v>
      </c>
      <c r="S4" s="6">
        <v>6.492000000000002</v>
      </c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6">
        <v>1.125</v>
      </c>
      <c r="I5" s="6">
        <v>1.575</v>
      </c>
      <c r="J5" s="6">
        <v>1.8</v>
      </c>
      <c r="K5" s="6">
        <v>1.125</v>
      </c>
      <c r="L5" s="6">
        <v>1.575</v>
      </c>
      <c r="M5" s="6">
        <v>1.8</v>
      </c>
      <c r="N5" s="6">
        <v>1.125</v>
      </c>
      <c r="O5" s="6">
        <v>1.575</v>
      </c>
      <c r="P5" s="6">
        <v>1.8</v>
      </c>
      <c r="Q5" s="6">
        <v>1.2075</v>
      </c>
      <c r="R5" s="6">
        <v>1.6905</v>
      </c>
      <c r="S5" s="6">
        <v>1.9320000000000002</v>
      </c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6">
        <v>15.399999999999999</v>
      </c>
      <c r="I6" s="6">
        <v>21.559999999999995</v>
      </c>
      <c r="J6" s="6">
        <v>24.64</v>
      </c>
      <c r="K6" s="6">
        <v>15.924999999999999</v>
      </c>
      <c r="L6" s="6">
        <v>22.294999999999998</v>
      </c>
      <c r="M6" s="6">
        <v>25.48</v>
      </c>
      <c r="N6" s="6">
        <v>16.575</v>
      </c>
      <c r="O6" s="6">
        <v>23.205</v>
      </c>
      <c r="P6" s="6">
        <v>26.52</v>
      </c>
      <c r="Q6" s="6">
        <v>17.307500000000008</v>
      </c>
      <c r="R6" s="6">
        <v>24.23050000000001</v>
      </c>
      <c r="S6" s="6">
        <v>27.692000000000014</v>
      </c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6">
        <v>0.375</v>
      </c>
      <c r="I7" s="6">
        <v>0.5249999999999999</v>
      </c>
      <c r="J7" s="6">
        <v>0.6000000000000001</v>
      </c>
      <c r="K7" s="6">
        <v>1.7999999999999998</v>
      </c>
      <c r="L7" s="6">
        <v>2.5199999999999996</v>
      </c>
      <c r="M7" s="6">
        <v>2.88</v>
      </c>
      <c r="N7" s="6">
        <v>1.9500000000000002</v>
      </c>
      <c r="O7" s="6">
        <v>2.73</v>
      </c>
      <c r="P7" s="6">
        <v>3.1200000000000006</v>
      </c>
      <c r="Q7" s="6">
        <v>2.1825</v>
      </c>
      <c r="R7" s="6">
        <v>3.0555</v>
      </c>
      <c r="S7" s="6">
        <v>3.4920000000000004</v>
      </c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6">
        <v>3.125</v>
      </c>
      <c r="I8" s="6">
        <v>4.375</v>
      </c>
      <c r="J8" s="6">
        <v>5.0</v>
      </c>
      <c r="K8" s="6">
        <v>6.25</v>
      </c>
      <c r="L8" s="6">
        <v>8.75</v>
      </c>
      <c r="M8" s="6">
        <v>10.0</v>
      </c>
      <c r="N8" s="6">
        <v>6.25</v>
      </c>
      <c r="O8" s="6">
        <v>8.75</v>
      </c>
      <c r="P8" s="6">
        <v>10.0</v>
      </c>
      <c r="Q8" s="6">
        <v>6.3325</v>
      </c>
      <c r="R8" s="6">
        <v>8.865499999999999</v>
      </c>
      <c r="S8" s="6">
        <v>10.132</v>
      </c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6">
        <v>3.75</v>
      </c>
      <c r="I9" s="6">
        <v>5.25</v>
      </c>
      <c r="J9" s="6">
        <v>6.0</v>
      </c>
      <c r="K9" s="6">
        <v>7.5</v>
      </c>
      <c r="L9" s="6">
        <v>10.5</v>
      </c>
      <c r="M9" s="6">
        <v>12.0</v>
      </c>
      <c r="N9" s="6">
        <v>10.0</v>
      </c>
      <c r="O9" s="6">
        <v>14.0</v>
      </c>
      <c r="P9" s="6">
        <v>16.0</v>
      </c>
      <c r="Q9" s="6">
        <v>8.0</v>
      </c>
      <c r="R9" s="6">
        <v>11.2</v>
      </c>
      <c r="S9" s="6">
        <v>12.8</v>
      </c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6">
        <v>11.375</v>
      </c>
      <c r="I11" s="6">
        <v>15.924999999999999</v>
      </c>
      <c r="J11" s="6">
        <v>18.2</v>
      </c>
      <c r="K11" s="6">
        <v>11.5</v>
      </c>
      <c r="L11" s="6">
        <v>16.099999999999998</v>
      </c>
      <c r="M11" s="6">
        <v>18.400000000000002</v>
      </c>
      <c r="N11" s="6">
        <v>11.5</v>
      </c>
      <c r="O11" s="6">
        <v>16.099999999999998</v>
      </c>
      <c r="P11" s="6">
        <v>18.400000000000002</v>
      </c>
      <c r="Q11" s="6">
        <v>11.5825</v>
      </c>
      <c r="R11" s="6">
        <v>16.2155</v>
      </c>
      <c r="S11" s="6">
        <v>18.532</v>
      </c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6">
        <v>9.0</v>
      </c>
      <c r="I12" s="6">
        <v>12.6</v>
      </c>
      <c r="J12" s="6">
        <v>14.4</v>
      </c>
      <c r="K12" s="6">
        <v>7.907500000000001</v>
      </c>
      <c r="L12" s="6">
        <v>11.070500000000001</v>
      </c>
      <c r="M12" s="6">
        <v>12.652000000000001</v>
      </c>
      <c r="N12" s="6">
        <v>7.657500000000001</v>
      </c>
      <c r="O12" s="6">
        <v>10.7205</v>
      </c>
      <c r="P12" s="6">
        <v>12.252000000000002</v>
      </c>
      <c r="Q12" s="6">
        <v>7.865</v>
      </c>
      <c r="R12" s="6">
        <v>11.011</v>
      </c>
      <c r="S12" s="6">
        <v>12.584000000000001</v>
      </c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6">
        <v>4.25</v>
      </c>
      <c r="I13" s="6">
        <v>5.949999999999999</v>
      </c>
      <c r="J13" s="6">
        <v>6.800000000000001</v>
      </c>
      <c r="K13" s="6">
        <v>7.5</v>
      </c>
      <c r="L13" s="6">
        <v>10.5</v>
      </c>
      <c r="M13" s="6">
        <v>12.0</v>
      </c>
      <c r="N13" s="6">
        <v>8.75</v>
      </c>
      <c r="O13" s="6">
        <v>12.25</v>
      </c>
      <c r="P13" s="6">
        <v>14.0</v>
      </c>
      <c r="Q13" s="6">
        <v>10.0</v>
      </c>
      <c r="R13" s="6">
        <v>14.0</v>
      </c>
      <c r="S13" s="6">
        <v>16.0</v>
      </c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6">
        <v>7.5</v>
      </c>
      <c r="I17" s="6">
        <v>10.5</v>
      </c>
      <c r="J17" s="6">
        <v>12.0</v>
      </c>
      <c r="K17" s="6">
        <v>11.25</v>
      </c>
      <c r="L17" s="6">
        <v>15.749999999999998</v>
      </c>
      <c r="M17" s="6">
        <v>18.0</v>
      </c>
      <c r="N17" s="6">
        <v>11.25</v>
      </c>
      <c r="O17" s="6">
        <v>15.749999999999998</v>
      </c>
      <c r="P17" s="6">
        <v>18.0</v>
      </c>
      <c r="Q17" s="6">
        <v>11.3325</v>
      </c>
      <c r="R17" s="6">
        <v>15.865499999999999</v>
      </c>
      <c r="S17" s="6">
        <v>18.132</v>
      </c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6">
        <v>5.125</v>
      </c>
      <c r="I18" s="6">
        <v>7.175</v>
      </c>
      <c r="J18" s="6">
        <v>8.200000000000001</v>
      </c>
      <c r="K18" s="6">
        <v>5.0</v>
      </c>
      <c r="L18" s="6">
        <v>7.0</v>
      </c>
      <c r="M18" s="6">
        <v>8.0</v>
      </c>
      <c r="N18" s="6">
        <v>5.0</v>
      </c>
      <c r="O18" s="6">
        <v>7.0</v>
      </c>
      <c r="P18" s="6">
        <v>8.0</v>
      </c>
      <c r="Q18" s="6">
        <v>5.0825</v>
      </c>
      <c r="R18" s="6">
        <v>7.115499999999999</v>
      </c>
      <c r="S18" s="6">
        <v>8.132</v>
      </c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6">
        <v>13.0</v>
      </c>
      <c r="I19" s="6">
        <v>18.2</v>
      </c>
      <c r="J19" s="6">
        <v>20.8</v>
      </c>
      <c r="K19" s="6">
        <v>13.75</v>
      </c>
      <c r="L19" s="6">
        <v>19.25</v>
      </c>
      <c r="M19" s="6">
        <v>22.0</v>
      </c>
      <c r="N19" s="6">
        <v>15.0</v>
      </c>
      <c r="O19" s="6">
        <v>21.0</v>
      </c>
      <c r="P19" s="6">
        <v>24.0</v>
      </c>
      <c r="Q19" s="6">
        <v>12.5825</v>
      </c>
      <c r="R19" s="6">
        <v>17.615499999999997</v>
      </c>
      <c r="S19" s="6">
        <v>20.132</v>
      </c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6">
        <v>14.8125</v>
      </c>
      <c r="I20" s="6">
        <v>20.737499999999997</v>
      </c>
      <c r="J20" s="6">
        <v>23.700000000000003</v>
      </c>
      <c r="K20" s="6">
        <v>15.3125</v>
      </c>
      <c r="L20" s="6">
        <v>21.4375</v>
      </c>
      <c r="M20" s="6">
        <v>24.5</v>
      </c>
      <c r="N20" s="6">
        <v>15.9375</v>
      </c>
      <c r="O20" s="6">
        <v>22.3125</v>
      </c>
      <c r="P20" s="6">
        <v>25.5</v>
      </c>
      <c r="Q20" s="6">
        <v>16.645</v>
      </c>
      <c r="R20" s="6">
        <v>23.302999999999997</v>
      </c>
      <c r="S20" s="6">
        <v>26.632</v>
      </c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6">
        <v>60.125</v>
      </c>
      <c r="I21" s="6">
        <v>84.175</v>
      </c>
      <c r="J21" s="6">
        <v>96.2</v>
      </c>
      <c r="K21" s="6">
        <v>70.0</v>
      </c>
      <c r="L21" s="6">
        <v>98.0</v>
      </c>
      <c r="M21" s="6">
        <v>112.0</v>
      </c>
      <c r="N21" s="6">
        <v>77.5</v>
      </c>
      <c r="O21" s="6">
        <v>108.5</v>
      </c>
      <c r="P21" s="6">
        <v>124.0</v>
      </c>
      <c r="Q21" s="6">
        <v>77.5825</v>
      </c>
      <c r="R21" s="6">
        <v>108.61549999999998</v>
      </c>
      <c r="S21" s="6">
        <v>124.132</v>
      </c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6">
        <v>13.875</v>
      </c>
      <c r="I22" s="6">
        <v>19.424999999999997</v>
      </c>
      <c r="J22" s="6">
        <v>22.200000000000003</v>
      </c>
      <c r="K22" s="6">
        <v>13.75</v>
      </c>
      <c r="L22" s="6">
        <v>19.25</v>
      </c>
      <c r="M22" s="6">
        <v>22.0</v>
      </c>
      <c r="N22" s="6">
        <v>13.75</v>
      </c>
      <c r="O22" s="6">
        <v>19.25</v>
      </c>
      <c r="P22" s="6">
        <v>22.0</v>
      </c>
      <c r="Q22" s="6">
        <v>13.8325</v>
      </c>
      <c r="R22" s="6">
        <v>19.365499999999997</v>
      </c>
      <c r="S22" s="6">
        <v>22.132</v>
      </c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6">
        <v>22.625</v>
      </c>
      <c r="I23" s="6">
        <v>31.674999999999997</v>
      </c>
      <c r="J23" s="6">
        <v>36.2</v>
      </c>
      <c r="K23" s="6">
        <v>24.475</v>
      </c>
      <c r="L23" s="6">
        <v>34.265</v>
      </c>
      <c r="M23" s="6">
        <v>39.160000000000004</v>
      </c>
      <c r="N23" s="6">
        <v>25.525</v>
      </c>
      <c r="O23" s="6">
        <v>35.73499999999999</v>
      </c>
      <c r="P23" s="6">
        <v>40.84</v>
      </c>
      <c r="Q23" s="6">
        <v>27.482499999999998</v>
      </c>
      <c r="R23" s="6">
        <v>38.4755</v>
      </c>
      <c r="S23" s="6">
        <v>43.972</v>
      </c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6">
        <v>10.0</v>
      </c>
      <c r="I24" s="6">
        <v>14.0</v>
      </c>
      <c r="J24" s="6">
        <v>16.0</v>
      </c>
      <c r="K24" s="6">
        <v>12.5</v>
      </c>
      <c r="L24" s="6">
        <v>17.5</v>
      </c>
      <c r="M24" s="6">
        <v>20.0</v>
      </c>
      <c r="N24" s="6">
        <v>12.5</v>
      </c>
      <c r="O24" s="6">
        <v>17.5</v>
      </c>
      <c r="P24" s="6">
        <v>20.0</v>
      </c>
      <c r="Q24" s="6">
        <v>12.5825</v>
      </c>
      <c r="R24" s="6">
        <v>17.615499999999997</v>
      </c>
      <c r="S24" s="6">
        <v>20.132</v>
      </c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6">
        <v>3.875</v>
      </c>
      <c r="I25" s="6">
        <v>5.425</v>
      </c>
      <c r="J25" s="6">
        <v>6.2</v>
      </c>
      <c r="K25" s="6">
        <v>3.875</v>
      </c>
      <c r="L25" s="6">
        <v>5.425</v>
      </c>
      <c r="M25" s="6">
        <v>6.2</v>
      </c>
      <c r="N25" s="6">
        <v>12.5</v>
      </c>
      <c r="O25" s="6">
        <v>17.5</v>
      </c>
      <c r="P25" s="6">
        <v>20.0</v>
      </c>
      <c r="Q25" s="6">
        <v>12.5825</v>
      </c>
      <c r="R25" s="6">
        <v>17.615499999999997</v>
      </c>
      <c r="S25" s="6">
        <v>20.132</v>
      </c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6">
        <v>1.25</v>
      </c>
      <c r="I26" s="6">
        <v>1.75</v>
      </c>
      <c r="J26" s="6">
        <v>2.0</v>
      </c>
      <c r="K26" s="6">
        <v>6.25</v>
      </c>
      <c r="L26" s="6">
        <v>8.75</v>
      </c>
      <c r="M26" s="6">
        <v>10.0</v>
      </c>
      <c r="N26" s="6">
        <v>6.25</v>
      </c>
      <c r="O26" s="6">
        <v>8.75</v>
      </c>
      <c r="P26" s="6">
        <v>10.0</v>
      </c>
      <c r="Q26" s="6">
        <v>6.3325</v>
      </c>
      <c r="R26" s="6">
        <v>8.865499999999999</v>
      </c>
      <c r="S26" s="6">
        <v>10.132</v>
      </c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6">
        <v>0.0</v>
      </c>
      <c r="S30" s="6">
        <v>0.0</v>
      </c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0.0</v>
      </c>
      <c r="R32" s="6">
        <v>0.0</v>
      </c>
      <c r="S32" s="6">
        <v>0.0</v>
      </c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6">
        <v>9.375</v>
      </c>
      <c r="I33" s="6">
        <v>13.125</v>
      </c>
      <c r="J33" s="6">
        <v>15.0</v>
      </c>
      <c r="K33" s="6">
        <v>13.0</v>
      </c>
      <c r="L33" s="6">
        <v>18.2</v>
      </c>
      <c r="M33" s="6">
        <v>20.8</v>
      </c>
      <c r="N33" s="6">
        <v>13.5</v>
      </c>
      <c r="O33" s="6">
        <v>18.9</v>
      </c>
      <c r="P33" s="6">
        <v>21.6</v>
      </c>
      <c r="Q33" s="6">
        <v>14.3325</v>
      </c>
      <c r="R33" s="6">
        <v>20.065499999999997</v>
      </c>
      <c r="S33" s="6">
        <v>22.932000000000002</v>
      </c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6">
        <v>6.0</v>
      </c>
      <c r="I34" s="6">
        <v>8.399999999999999</v>
      </c>
      <c r="J34" s="6">
        <v>9.600000000000001</v>
      </c>
      <c r="K34" s="6">
        <v>6.125</v>
      </c>
      <c r="L34" s="6">
        <v>8.575</v>
      </c>
      <c r="M34" s="6">
        <v>9.8</v>
      </c>
      <c r="N34" s="6">
        <v>6.375</v>
      </c>
      <c r="O34" s="6">
        <v>8.924999999999999</v>
      </c>
      <c r="P34" s="6">
        <v>10.200000000000001</v>
      </c>
      <c r="Q34" s="6">
        <v>6.7075</v>
      </c>
      <c r="R34" s="6">
        <v>9.3905</v>
      </c>
      <c r="S34" s="6">
        <v>10.732</v>
      </c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6">
        <v>3.875</v>
      </c>
      <c r="I35" s="6">
        <v>5.425</v>
      </c>
      <c r="J35" s="6">
        <v>6.2</v>
      </c>
      <c r="K35" s="6">
        <v>3.75</v>
      </c>
      <c r="L35" s="6">
        <v>5.25</v>
      </c>
      <c r="M35" s="6">
        <v>6.0</v>
      </c>
      <c r="N35" s="6">
        <v>3.75</v>
      </c>
      <c r="O35" s="6">
        <v>5.25</v>
      </c>
      <c r="P35" s="6">
        <v>6.0</v>
      </c>
      <c r="Q35" s="6">
        <v>3.75</v>
      </c>
      <c r="R35" s="6">
        <v>5.25</v>
      </c>
      <c r="S35" s="6">
        <v>6.0</v>
      </c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6">
        <v>7.5</v>
      </c>
      <c r="I37" s="6">
        <v>10.5</v>
      </c>
      <c r="J37" s="6">
        <v>12.0</v>
      </c>
      <c r="K37" s="6">
        <v>10.0</v>
      </c>
      <c r="L37" s="6">
        <v>14.0</v>
      </c>
      <c r="M37" s="6">
        <v>16.0</v>
      </c>
      <c r="N37" s="6">
        <v>10.0</v>
      </c>
      <c r="O37" s="6">
        <v>14.0</v>
      </c>
      <c r="P37" s="6">
        <v>16.0</v>
      </c>
      <c r="Q37" s="6">
        <v>10.0</v>
      </c>
      <c r="R37" s="6">
        <v>14.0</v>
      </c>
      <c r="S37" s="6">
        <v>16.0</v>
      </c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6">
        <v>2.375</v>
      </c>
      <c r="I39" s="6">
        <v>3.3249999999999997</v>
      </c>
      <c r="J39" s="6">
        <v>3.8000000000000003</v>
      </c>
      <c r="K39" s="6">
        <v>2.25</v>
      </c>
      <c r="L39" s="6">
        <v>3.15</v>
      </c>
      <c r="M39" s="6">
        <v>3.6</v>
      </c>
      <c r="N39" s="6">
        <v>2.25</v>
      </c>
      <c r="O39" s="6">
        <v>3.15</v>
      </c>
      <c r="P39" s="6">
        <v>3.6</v>
      </c>
      <c r="Q39" s="6">
        <v>2.3325</v>
      </c>
      <c r="R39" s="6">
        <v>3.2655</v>
      </c>
      <c r="S39" s="6">
        <v>3.732</v>
      </c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6">
        <v>1.1875</v>
      </c>
      <c r="I40" s="6">
        <v>1.6624999999999999</v>
      </c>
      <c r="J40" s="6">
        <v>1.9000000000000001</v>
      </c>
      <c r="K40" s="6">
        <v>1.1875</v>
      </c>
      <c r="L40" s="6">
        <v>1.6624999999999999</v>
      </c>
      <c r="M40" s="6">
        <v>1.9000000000000001</v>
      </c>
      <c r="N40" s="6">
        <v>1.1875</v>
      </c>
      <c r="O40" s="6">
        <v>1.6624999999999999</v>
      </c>
      <c r="P40" s="6">
        <v>1.9000000000000001</v>
      </c>
      <c r="Q40" s="6">
        <v>1.27</v>
      </c>
      <c r="R40" s="6">
        <v>1.7779999999999998</v>
      </c>
      <c r="S40" s="6">
        <v>2.032</v>
      </c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6">
        <v>12.5</v>
      </c>
      <c r="I42" s="6">
        <v>17.5</v>
      </c>
      <c r="J42" s="6">
        <v>20.0</v>
      </c>
      <c r="K42" s="6">
        <v>11.25</v>
      </c>
      <c r="L42" s="6">
        <v>15.749999999999998</v>
      </c>
      <c r="M42" s="6">
        <v>18.0</v>
      </c>
      <c r="N42" s="6">
        <v>11.25</v>
      </c>
      <c r="O42" s="6">
        <v>15.749999999999998</v>
      </c>
      <c r="P42" s="6">
        <v>18.0</v>
      </c>
      <c r="Q42" s="6">
        <v>11.3325</v>
      </c>
      <c r="R42" s="6">
        <v>15.865499999999999</v>
      </c>
      <c r="S42" s="6">
        <v>18.132</v>
      </c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6">
        <v>3.75</v>
      </c>
      <c r="I43" s="6">
        <v>5.25</v>
      </c>
      <c r="J43" s="6">
        <v>6.0</v>
      </c>
      <c r="K43" s="6">
        <v>4.586399999999999</v>
      </c>
      <c r="L43" s="6">
        <v>6.420959999999999</v>
      </c>
      <c r="M43" s="6">
        <v>7.338239999999999</v>
      </c>
      <c r="N43" s="6">
        <v>4.7736</v>
      </c>
      <c r="O43" s="6">
        <v>6.68304</v>
      </c>
      <c r="P43" s="6">
        <v>7.63776</v>
      </c>
      <c r="Q43" s="6">
        <v>5.0433</v>
      </c>
      <c r="R43" s="6">
        <v>7.06062</v>
      </c>
      <c r="S43" s="6">
        <v>8.069280000000001</v>
      </c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6">
        <v>1.39375</v>
      </c>
      <c r="I44" s="6">
        <v>1.95125</v>
      </c>
      <c r="J44" s="6">
        <v>2.23</v>
      </c>
      <c r="K44" s="6">
        <v>4.31875</v>
      </c>
      <c r="L44" s="6">
        <v>6.046249999999999</v>
      </c>
      <c r="M44" s="6">
        <v>6.91</v>
      </c>
      <c r="N44" s="6">
        <v>4.31875</v>
      </c>
      <c r="O44" s="6">
        <v>6.046249999999999</v>
      </c>
      <c r="P44" s="6">
        <v>6.91</v>
      </c>
      <c r="Q44" s="6">
        <v>4.31875</v>
      </c>
      <c r="R44" s="6">
        <v>6.046249999999999</v>
      </c>
      <c r="S44" s="6">
        <v>6.91</v>
      </c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6">
        <v>1.5</v>
      </c>
      <c r="I45" s="6">
        <v>2.0999999999999996</v>
      </c>
      <c r="J45" s="6">
        <v>2.4000000000000004</v>
      </c>
      <c r="K45" s="6">
        <v>0.0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0.0</v>
      </c>
      <c r="R45" s="6">
        <v>0.0</v>
      </c>
      <c r="S45" s="6">
        <v>0.0</v>
      </c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0.0</v>
      </c>
      <c r="R47" s="6">
        <v>0.0</v>
      </c>
      <c r="S47" s="6">
        <v>0.0</v>
      </c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6">
        <v>112.5</v>
      </c>
      <c r="I49" s="6">
        <v>157.5</v>
      </c>
      <c r="J49" s="6">
        <v>180.0</v>
      </c>
      <c r="K49" s="6">
        <v>103.625</v>
      </c>
      <c r="L49" s="6">
        <v>145.075</v>
      </c>
      <c r="M49" s="6">
        <v>165.8</v>
      </c>
      <c r="N49" s="6">
        <v>88.875</v>
      </c>
      <c r="O49" s="6">
        <v>124.425</v>
      </c>
      <c r="P49" s="6">
        <v>142.20000000000002</v>
      </c>
      <c r="Q49" s="6">
        <v>89.9575</v>
      </c>
      <c r="R49" s="6">
        <v>125.94049999999999</v>
      </c>
      <c r="S49" s="6">
        <v>143.932</v>
      </c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6">
        <v>12.5</v>
      </c>
      <c r="I50" s="6">
        <v>17.5</v>
      </c>
      <c r="J50" s="6">
        <v>20.0</v>
      </c>
      <c r="K50" s="6">
        <v>15.0</v>
      </c>
      <c r="L50" s="6">
        <v>21.0</v>
      </c>
      <c r="M50" s="6">
        <v>24.0</v>
      </c>
      <c r="N50" s="6">
        <v>14.0</v>
      </c>
      <c r="O50" s="6">
        <v>19.599999999999998</v>
      </c>
      <c r="P50" s="6">
        <v>22.400000000000002</v>
      </c>
      <c r="Q50" s="6">
        <v>15.5825</v>
      </c>
      <c r="R50" s="6">
        <v>21.815499999999997</v>
      </c>
      <c r="S50" s="6">
        <v>24.932000000000002</v>
      </c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6">
        <v>6.5</v>
      </c>
      <c r="I51" s="6">
        <v>9.1</v>
      </c>
      <c r="J51" s="6">
        <v>10.4</v>
      </c>
      <c r="K51" s="6">
        <v>16.875</v>
      </c>
      <c r="L51" s="6">
        <v>23.625</v>
      </c>
      <c r="M51" s="6">
        <v>27.0</v>
      </c>
      <c r="N51" s="6">
        <v>11.875</v>
      </c>
      <c r="O51" s="6">
        <v>16.625</v>
      </c>
      <c r="P51" s="6">
        <v>19.0</v>
      </c>
      <c r="Q51" s="6">
        <v>16.9575</v>
      </c>
      <c r="R51" s="6">
        <v>23.740499999999997</v>
      </c>
      <c r="S51" s="6">
        <v>27.132</v>
      </c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6">
        <v>87.0</v>
      </c>
      <c r="I52" s="6">
        <v>121.8</v>
      </c>
      <c r="J52" s="6">
        <v>139.20000000000002</v>
      </c>
      <c r="K52" s="6">
        <v>89.375</v>
      </c>
      <c r="L52" s="6">
        <v>125.12499999999999</v>
      </c>
      <c r="M52" s="6">
        <v>143.0</v>
      </c>
      <c r="N52" s="6">
        <v>81.875</v>
      </c>
      <c r="O52" s="6">
        <v>114.62499999999999</v>
      </c>
      <c r="P52" s="6">
        <v>131.0</v>
      </c>
      <c r="Q52" s="6">
        <v>89.4575</v>
      </c>
      <c r="R52" s="6">
        <v>125.24049999999998</v>
      </c>
      <c r="S52" s="6">
        <v>143.132</v>
      </c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6">
        <v>6.0</v>
      </c>
      <c r="I53" s="6">
        <v>8.399999999999999</v>
      </c>
      <c r="J53" s="6">
        <v>9.600000000000001</v>
      </c>
      <c r="K53" s="6">
        <v>5.916666666666667</v>
      </c>
      <c r="L53" s="6">
        <v>8.283333333333333</v>
      </c>
      <c r="M53" s="6">
        <v>9.466666666666667</v>
      </c>
      <c r="N53" s="6">
        <v>5.916666666666667</v>
      </c>
      <c r="O53" s="6">
        <v>8.283333333333333</v>
      </c>
      <c r="P53" s="6">
        <v>9.466666666666667</v>
      </c>
      <c r="Q53" s="6">
        <v>5.9991666666666665</v>
      </c>
      <c r="R53" s="6">
        <v>8.398833333333332</v>
      </c>
      <c r="S53" s="6">
        <v>9.598666666666666</v>
      </c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6">
        <v>2.5</v>
      </c>
      <c r="I54" s="6">
        <v>3.5</v>
      </c>
      <c r="J54" s="6">
        <v>4.0</v>
      </c>
      <c r="K54" s="6">
        <v>2.9166666666666665</v>
      </c>
      <c r="L54" s="6">
        <v>4.083333333333333</v>
      </c>
      <c r="M54" s="6">
        <v>4.666666666666667</v>
      </c>
      <c r="N54" s="6">
        <v>2.9166666666666665</v>
      </c>
      <c r="O54" s="6">
        <v>4.083333333333333</v>
      </c>
      <c r="P54" s="6">
        <v>4.666666666666667</v>
      </c>
      <c r="Q54" s="6">
        <v>2.9991666666666665</v>
      </c>
      <c r="R54" s="6">
        <v>4.198833333333333</v>
      </c>
      <c r="S54" s="6">
        <v>4.798666666666667</v>
      </c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6">
        <v>3.75</v>
      </c>
      <c r="I55" s="6">
        <v>5.25</v>
      </c>
      <c r="J55" s="6">
        <v>6.0</v>
      </c>
      <c r="K55" s="6">
        <v>0.0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0.0</v>
      </c>
      <c r="R55" s="6">
        <v>0.0</v>
      </c>
      <c r="S55" s="6">
        <v>0.0</v>
      </c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0.0</v>
      </c>
      <c r="R56" s="6">
        <v>0.0</v>
      </c>
      <c r="S56" s="6">
        <v>0.0</v>
      </c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6">
        <v>12.5</v>
      </c>
      <c r="I57" s="6">
        <v>17.5</v>
      </c>
      <c r="J57" s="6">
        <v>20.0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</row>
    <row r="58" ht="14.25" customHeight="1">
      <c r="A58" s="5" t="s">
        <v>7</v>
      </c>
      <c r="B58" s="1" t="s">
        <v>64</v>
      </c>
      <c r="C58" s="1" t="str">
        <f>VLOOKUP(B58,Mapping!B:C,2,0)</f>
        <v>Lateral</v>
      </c>
      <c r="D58" s="1" t="str">
        <f>VLOOKUP(B58,Mapping!B:D,3,0)</f>
        <v>New Sales</v>
      </c>
      <c r="E58" s="1" t="str">
        <f>VLOOKUP(B58,Mapping!B:E,4,0)</f>
        <v>New Sales</v>
      </c>
      <c r="F58" s="1" t="str">
        <f>VLOOKUP(B58,Mapping!B:F,5,0)</f>
        <v>Nizar</v>
      </c>
      <c r="G58" s="6" t="str">
        <f>VLOOKUP(B58,Mapping!B:G,6,0)</f>
        <v>Nizar</v>
      </c>
      <c r="H58" s="6">
        <v>95.92492</v>
      </c>
      <c r="I58" s="6">
        <v>134.294888</v>
      </c>
      <c r="J58" s="6">
        <v>153.479872</v>
      </c>
      <c r="K58" s="6">
        <v>191.84984</v>
      </c>
      <c r="L58" s="6">
        <v>268.589776</v>
      </c>
      <c r="M58" s="6">
        <v>306.959744</v>
      </c>
      <c r="N58" s="6">
        <v>287.77476</v>
      </c>
      <c r="O58" s="6">
        <v>402.884664</v>
      </c>
      <c r="P58" s="6">
        <v>460.439616</v>
      </c>
      <c r="Q58" s="6">
        <v>383.69968</v>
      </c>
      <c r="R58" s="6">
        <v>537.179552</v>
      </c>
      <c r="S58" s="6">
        <v>613.919488</v>
      </c>
    </row>
    <row r="59" ht="14.25" customHeight="1">
      <c r="H59" s="7" t="s">
        <v>65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10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2" t="str">
        <f>Revenue_Budget!A1</f>
        <v>FY</v>
      </c>
      <c r="B1" s="2" t="str">
        <f>Revenue_Budget!B1</f>
        <v>Project</v>
      </c>
      <c r="C1" s="2" t="str">
        <f>Revenue_Budget!C1</f>
        <v>Vertical</v>
      </c>
      <c r="D1" s="2" t="str">
        <f>Revenue_Budget!D1</f>
        <v>Region</v>
      </c>
      <c r="E1" s="2" t="str">
        <f>Revenue_Budget!E1</f>
        <v>Sub Region</v>
      </c>
      <c r="F1" s="2" t="str">
        <f>Revenue_Budget!F1</f>
        <v>Region Head</v>
      </c>
      <c r="G1" s="2" t="str">
        <f>Revenue_Budget!G1</f>
        <v>Practice Head</v>
      </c>
      <c r="H1" s="3">
        <f>Revenue_Budget!H1</f>
        <v>45383</v>
      </c>
      <c r="I1" s="3">
        <f>Revenue_Budget!I1</f>
        <v>45413</v>
      </c>
      <c r="J1" s="3">
        <f>Revenue_Budget!J1</f>
        <v>45444</v>
      </c>
      <c r="K1" s="3">
        <f>Revenue_Budget!K1</f>
        <v>45474</v>
      </c>
      <c r="L1" s="3">
        <f>Revenue_Budget!L1</f>
        <v>45505</v>
      </c>
      <c r="M1" s="3">
        <f>Revenue_Budget!M1</f>
        <v>45536</v>
      </c>
      <c r="N1" s="3">
        <f>Revenue_Budget!N1</f>
        <v>45566</v>
      </c>
      <c r="O1" s="3">
        <f>Revenue_Budget!O1</f>
        <v>45597</v>
      </c>
      <c r="P1" s="3">
        <f>Revenue_Budget!P1</f>
        <v>45627</v>
      </c>
      <c r="Q1" s="3">
        <f>Revenue_Budget!Q1</f>
        <v>45658</v>
      </c>
      <c r="R1" s="3">
        <f>Revenue_Budget!R1</f>
        <v>45689</v>
      </c>
      <c r="S1" s="3">
        <f>Revenue_Budget!S1</f>
        <v>45717</v>
      </c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6">
        <f>Revenue_Budget!H2*42%</f>
        <v>10.5</v>
      </c>
      <c r="I2" s="6">
        <f>Revenue_Budget!I2*42%</f>
        <v>14.7</v>
      </c>
      <c r="J2" s="6">
        <f>Revenue_Budget!J2*42%</f>
        <v>16.8</v>
      </c>
      <c r="K2" s="6">
        <f>Revenue_Budget!K2*42%</f>
        <v>18.27</v>
      </c>
      <c r="L2" s="6">
        <f>Revenue_Budget!L2*42%</f>
        <v>25.578</v>
      </c>
      <c r="M2" s="6">
        <f>Revenue_Budget!M2*42%</f>
        <v>29.232</v>
      </c>
      <c r="N2" s="6">
        <f>Revenue_Budget!N2*42%</f>
        <v>20.5905</v>
      </c>
      <c r="O2" s="6">
        <f>Revenue_Budget!O2*42%</f>
        <v>28.8267</v>
      </c>
      <c r="P2" s="6">
        <f>Revenue_Budget!P2*42%</f>
        <v>32.9448</v>
      </c>
      <c r="Q2" s="6">
        <f>Revenue_Budget!Q2*42%</f>
        <v>21.37065</v>
      </c>
      <c r="R2" s="6">
        <f>Revenue_Budget!R2*42%</f>
        <v>29.91891</v>
      </c>
      <c r="S2" s="6">
        <f>Revenue_Budget!S2*42%</f>
        <v>34.19304</v>
      </c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6">
        <f>Revenue_Budget!H3*42%</f>
        <v>2.5935</v>
      </c>
      <c r="I3" s="6">
        <f>Revenue_Budget!I3*42%</f>
        <v>3.6309</v>
      </c>
      <c r="J3" s="6">
        <f>Revenue_Budget!J3*42%</f>
        <v>4.1496</v>
      </c>
      <c r="K3" s="6">
        <f>Revenue_Budget!K3*42%</f>
        <v>2.667</v>
      </c>
      <c r="L3" s="6">
        <f>Revenue_Budget!L3*42%</f>
        <v>3.7338</v>
      </c>
      <c r="M3" s="6">
        <f>Revenue_Budget!M3*42%</f>
        <v>4.2672</v>
      </c>
      <c r="N3" s="6">
        <f>Revenue_Budget!N3*42%</f>
        <v>2.793</v>
      </c>
      <c r="O3" s="6">
        <f>Revenue_Budget!O3*42%</f>
        <v>3.9102</v>
      </c>
      <c r="P3" s="6">
        <f>Revenue_Budget!P3*42%</f>
        <v>4.4688</v>
      </c>
      <c r="Q3" s="6">
        <f>Revenue_Budget!Q3*42%</f>
        <v>2.95365</v>
      </c>
      <c r="R3" s="6">
        <f>Revenue_Budget!R3*42%</f>
        <v>4.13511</v>
      </c>
      <c r="S3" s="6">
        <f>Revenue_Budget!S3*42%</f>
        <v>4.72584</v>
      </c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6">
        <f>Revenue_Budget!H4*42%</f>
        <v>1.26</v>
      </c>
      <c r="I4" s="6">
        <f>Revenue_Budget!I4*42%</f>
        <v>1.764</v>
      </c>
      <c r="J4" s="6">
        <f>Revenue_Budget!J4*42%</f>
        <v>2.016</v>
      </c>
      <c r="K4" s="6">
        <f>Revenue_Budget!K4*42%</f>
        <v>1.5435</v>
      </c>
      <c r="L4" s="6">
        <f>Revenue_Budget!L4*42%</f>
        <v>2.1609</v>
      </c>
      <c r="M4" s="6">
        <f>Revenue_Budget!M4*42%</f>
        <v>2.4696</v>
      </c>
      <c r="N4" s="6">
        <f>Revenue_Budget!N4*42%</f>
        <v>1.6065</v>
      </c>
      <c r="O4" s="6">
        <f>Revenue_Budget!O4*42%</f>
        <v>2.2491</v>
      </c>
      <c r="P4" s="6">
        <f>Revenue_Budget!P4*42%</f>
        <v>2.5704</v>
      </c>
      <c r="Q4" s="6">
        <f>Revenue_Budget!Q4*42%</f>
        <v>1.70415</v>
      </c>
      <c r="R4" s="6">
        <f>Revenue_Budget!R4*42%</f>
        <v>2.38581</v>
      </c>
      <c r="S4" s="6">
        <f>Revenue_Budget!S4*42%</f>
        <v>2.72664</v>
      </c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6">
        <f>Revenue_Budget!H5*42%</f>
        <v>0.4725</v>
      </c>
      <c r="I5" s="6">
        <f>Revenue_Budget!I5*42%</f>
        <v>0.6615</v>
      </c>
      <c r="J5" s="6">
        <f>Revenue_Budget!J5*42%</f>
        <v>0.756</v>
      </c>
      <c r="K5" s="6">
        <f>Revenue_Budget!K5*42%</f>
        <v>0.4725</v>
      </c>
      <c r="L5" s="6">
        <f>Revenue_Budget!L5*42%</f>
        <v>0.6615</v>
      </c>
      <c r="M5" s="6">
        <f>Revenue_Budget!M5*42%</f>
        <v>0.756</v>
      </c>
      <c r="N5" s="6">
        <f>Revenue_Budget!N5*42%</f>
        <v>0.4725</v>
      </c>
      <c r="O5" s="6">
        <f>Revenue_Budget!O5*42%</f>
        <v>0.6615</v>
      </c>
      <c r="P5" s="6">
        <f>Revenue_Budget!P5*42%</f>
        <v>0.756</v>
      </c>
      <c r="Q5" s="6">
        <f>Revenue_Budget!Q5*42%</f>
        <v>0.50715</v>
      </c>
      <c r="R5" s="6">
        <f>Revenue_Budget!R5*42%</f>
        <v>0.71001</v>
      </c>
      <c r="S5" s="6">
        <f>Revenue_Budget!S5*42%</f>
        <v>0.81144</v>
      </c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6">
        <f>Revenue_Budget!H6*42%</f>
        <v>6.468</v>
      </c>
      <c r="I6" s="6">
        <f>Revenue_Budget!I6*42%</f>
        <v>9.0552</v>
      </c>
      <c r="J6" s="6">
        <f>Revenue_Budget!J6*42%</f>
        <v>10.3488</v>
      </c>
      <c r="K6" s="6">
        <f>Revenue_Budget!K6*42%</f>
        <v>6.6885</v>
      </c>
      <c r="L6" s="6">
        <f>Revenue_Budget!L6*42%</f>
        <v>9.3639</v>
      </c>
      <c r="M6" s="6">
        <f>Revenue_Budget!M6*42%</f>
        <v>10.7016</v>
      </c>
      <c r="N6" s="6">
        <f>Revenue_Budget!N6*42%</f>
        <v>6.9615</v>
      </c>
      <c r="O6" s="6">
        <f>Revenue_Budget!O6*42%</f>
        <v>9.7461</v>
      </c>
      <c r="P6" s="6">
        <f>Revenue_Budget!P6*42%</f>
        <v>11.1384</v>
      </c>
      <c r="Q6" s="6">
        <f>Revenue_Budget!Q6*42%</f>
        <v>7.26915</v>
      </c>
      <c r="R6" s="6">
        <f>Revenue_Budget!R6*42%</f>
        <v>10.17681</v>
      </c>
      <c r="S6" s="6">
        <f>Revenue_Budget!S6*42%</f>
        <v>11.63064</v>
      </c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6">
        <f>Revenue_Budget!H7*42%</f>
        <v>0.1575</v>
      </c>
      <c r="I7" s="6">
        <f>Revenue_Budget!I7*42%</f>
        <v>0.2205</v>
      </c>
      <c r="J7" s="6">
        <f>Revenue_Budget!J7*42%</f>
        <v>0.252</v>
      </c>
      <c r="K7" s="6">
        <f>Revenue_Budget!K7*42%</f>
        <v>0.756</v>
      </c>
      <c r="L7" s="6">
        <f>Revenue_Budget!L7*42%</f>
        <v>1.0584</v>
      </c>
      <c r="M7" s="6">
        <f>Revenue_Budget!M7*42%</f>
        <v>1.2096</v>
      </c>
      <c r="N7" s="6">
        <f>Revenue_Budget!N7*42%</f>
        <v>0.819</v>
      </c>
      <c r="O7" s="6">
        <f>Revenue_Budget!O7*42%</f>
        <v>1.1466</v>
      </c>
      <c r="P7" s="6">
        <f>Revenue_Budget!P7*42%</f>
        <v>1.3104</v>
      </c>
      <c r="Q7" s="6">
        <f>Revenue_Budget!Q7*42%</f>
        <v>0.91665</v>
      </c>
      <c r="R7" s="6">
        <f>Revenue_Budget!R7*42%</f>
        <v>1.28331</v>
      </c>
      <c r="S7" s="6">
        <f>Revenue_Budget!S7*42%</f>
        <v>1.46664</v>
      </c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6">
        <f>Revenue_Budget!H8*42%</f>
        <v>1.3125</v>
      </c>
      <c r="I8" s="6">
        <f>Revenue_Budget!I8*42%</f>
        <v>1.8375</v>
      </c>
      <c r="J8" s="6">
        <f>Revenue_Budget!J8*42%</f>
        <v>2.1</v>
      </c>
      <c r="K8" s="6">
        <f>Revenue_Budget!K8*42%</f>
        <v>2.625</v>
      </c>
      <c r="L8" s="6">
        <f>Revenue_Budget!L8*42%</f>
        <v>3.675</v>
      </c>
      <c r="M8" s="6">
        <f>Revenue_Budget!M8*42%</f>
        <v>4.2</v>
      </c>
      <c r="N8" s="6">
        <f>Revenue_Budget!N8*42%</f>
        <v>2.625</v>
      </c>
      <c r="O8" s="6">
        <f>Revenue_Budget!O8*42%</f>
        <v>3.675</v>
      </c>
      <c r="P8" s="6">
        <f>Revenue_Budget!P8*42%</f>
        <v>4.2</v>
      </c>
      <c r="Q8" s="6">
        <f>Revenue_Budget!Q8*42%</f>
        <v>2.65965</v>
      </c>
      <c r="R8" s="6">
        <f>Revenue_Budget!R8*42%</f>
        <v>3.72351</v>
      </c>
      <c r="S8" s="6">
        <f>Revenue_Budget!S8*42%</f>
        <v>4.25544</v>
      </c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6">
        <f>Revenue_Budget!H9*42%</f>
        <v>1.575</v>
      </c>
      <c r="I9" s="6">
        <f>Revenue_Budget!I9*42%</f>
        <v>2.205</v>
      </c>
      <c r="J9" s="6">
        <f>Revenue_Budget!J9*42%</f>
        <v>2.52</v>
      </c>
      <c r="K9" s="6">
        <f>Revenue_Budget!K9*42%</f>
        <v>3.15</v>
      </c>
      <c r="L9" s="6">
        <f>Revenue_Budget!L9*42%</f>
        <v>4.41</v>
      </c>
      <c r="M9" s="6">
        <f>Revenue_Budget!M9*42%</f>
        <v>5.04</v>
      </c>
      <c r="N9" s="6">
        <f>Revenue_Budget!N9*42%</f>
        <v>4.2</v>
      </c>
      <c r="O9" s="6">
        <f>Revenue_Budget!O9*42%</f>
        <v>5.88</v>
      </c>
      <c r="P9" s="6">
        <f>Revenue_Budget!P9*42%</f>
        <v>6.72</v>
      </c>
      <c r="Q9" s="6">
        <f>Revenue_Budget!Q9*42%</f>
        <v>3.36</v>
      </c>
      <c r="R9" s="6">
        <f>Revenue_Budget!R9*42%</f>
        <v>4.704</v>
      </c>
      <c r="S9" s="6">
        <f>Revenue_Budget!S9*42%</f>
        <v>5.376</v>
      </c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6">
        <f>Revenue_Budget!H10*42%</f>
        <v>0</v>
      </c>
      <c r="I10" s="6">
        <f>Revenue_Budget!I10*42%</f>
        <v>0</v>
      </c>
      <c r="J10" s="6">
        <f>Revenue_Budget!J10*42%</f>
        <v>0</v>
      </c>
      <c r="K10" s="6">
        <f>Revenue_Budget!K10*42%</f>
        <v>0</v>
      </c>
      <c r="L10" s="6">
        <f>Revenue_Budget!L10*42%</f>
        <v>0</v>
      </c>
      <c r="M10" s="6">
        <f>Revenue_Budget!M10*42%</f>
        <v>0</v>
      </c>
      <c r="N10" s="6">
        <f>Revenue_Budget!N10*42%</f>
        <v>0</v>
      </c>
      <c r="O10" s="6">
        <f>Revenue_Budget!O10*42%</f>
        <v>0</v>
      </c>
      <c r="P10" s="6">
        <f>Revenue_Budget!P10*42%</f>
        <v>0</v>
      </c>
      <c r="Q10" s="6">
        <f>Revenue_Budget!Q10*42%</f>
        <v>0</v>
      </c>
      <c r="R10" s="6">
        <f>Revenue_Budget!R10*42%</f>
        <v>0</v>
      </c>
      <c r="S10" s="6">
        <f>Revenue_Budget!S10*42%</f>
        <v>0</v>
      </c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6">
        <f>Revenue_Budget!H11*42%</f>
        <v>4.7775</v>
      </c>
      <c r="I11" s="6">
        <f>Revenue_Budget!I11*42%</f>
        <v>6.6885</v>
      </c>
      <c r="J11" s="6">
        <f>Revenue_Budget!J11*42%</f>
        <v>7.644</v>
      </c>
      <c r="K11" s="6">
        <f>Revenue_Budget!K11*42%</f>
        <v>4.83</v>
      </c>
      <c r="L11" s="6">
        <f>Revenue_Budget!L11*42%</f>
        <v>6.762</v>
      </c>
      <c r="M11" s="6">
        <f>Revenue_Budget!M11*42%</f>
        <v>7.728</v>
      </c>
      <c r="N11" s="6">
        <f>Revenue_Budget!N11*42%</f>
        <v>4.83</v>
      </c>
      <c r="O11" s="6">
        <f>Revenue_Budget!O11*42%</f>
        <v>6.762</v>
      </c>
      <c r="P11" s="6">
        <f>Revenue_Budget!P11*42%</f>
        <v>7.728</v>
      </c>
      <c r="Q11" s="6">
        <f>Revenue_Budget!Q11*42%</f>
        <v>4.86465</v>
      </c>
      <c r="R11" s="6">
        <f>Revenue_Budget!R11*42%</f>
        <v>6.81051</v>
      </c>
      <c r="S11" s="6">
        <f>Revenue_Budget!S11*42%</f>
        <v>7.78344</v>
      </c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6">
        <f>Revenue_Budget!H12*42%</f>
        <v>3.78</v>
      </c>
      <c r="I12" s="6">
        <f>Revenue_Budget!I12*42%</f>
        <v>5.292</v>
      </c>
      <c r="J12" s="6">
        <f>Revenue_Budget!J12*42%</f>
        <v>6.048</v>
      </c>
      <c r="K12" s="6">
        <f>Revenue_Budget!K12*42%</f>
        <v>3.32115</v>
      </c>
      <c r="L12" s="6">
        <f>Revenue_Budget!L12*42%</f>
        <v>4.64961</v>
      </c>
      <c r="M12" s="6">
        <f>Revenue_Budget!M12*42%</f>
        <v>5.31384</v>
      </c>
      <c r="N12" s="6">
        <f>Revenue_Budget!N12*42%</f>
        <v>3.21615</v>
      </c>
      <c r="O12" s="6">
        <f>Revenue_Budget!O12*42%</f>
        <v>4.50261</v>
      </c>
      <c r="P12" s="6">
        <f>Revenue_Budget!P12*42%</f>
        <v>5.14584</v>
      </c>
      <c r="Q12" s="6">
        <f>Revenue_Budget!Q12*42%</f>
        <v>3.3033</v>
      </c>
      <c r="R12" s="6">
        <f>Revenue_Budget!R12*42%</f>
        <v>4.62462</v>
      </c>
      <c r="S12" s="6">
        <f>Revenue_Budget!S12*42%</f>
        <v>5.28528</v>
      </c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6">
        <f>Revenue_Budget!H13*42%</f>
        <v>1.785</v>
      </c>
      <c r="I13" s="6">
        <f>Revenue_Budget!I13*42%</f>
        <v>2.499</v>
      </c>
      <c r="J13" s="6">
        <f>Revenue_Budget!J13*42%</f>
        <v>2.856</v>
      </c>
      <c r="K13" s="6">
        <f>Revenue_Budget!K13*42%</f>
        <v>3.15</v>
      </c>
      <c r="L13" s="6">
        <f>Revenue_Budget!L13*42%</f>
        <v>4.41</v>
      </c>
      <c r="M13" s="6">
        <f>Revenue_Budget!M13*42%</f>
        <v>5.04</v>
      </c>
      <c r="N13" s="6">
        <f>Revenue_Budget!N13*42%</f>
        <v>3.675</v>
      </c>
      <c r="O13" s="6">
        <f>Revenue_Budget!O13*42%</f>
        <v>5.145</v>
      </c>
      <c r="P13" s="6">
        <f>Revenue_Budget!P13*42%</f>
        <v>5.88</v>
      </c>
      <c r="Q13" s="6">
        <f>Revenue_Budget!Q13*42%</f>
        <v>4.2</v>
      </c>
      <c r="R13" s="6">
        <f>Revenue_Budget!R13*42%</f>
        <v>5.88</v>
      </c>
      <c r="S13" s="6">
        <f>Revenue_Budget!S13*42%</f>
        <v>6.72</v>
      </c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6">
        <f>Revenue_Budget!H14*42%</f>
        <v>0</v>
      </c>
      <c r="I14" s="6">
        <f>Revenue_Budget!I14*42%</f>
        <v>0</v>
      </c>
      <c r="J14" s="6">
        <f>Revenue_Budget!J14*42%</f>
        <v>0</v>
      </c>
      <c r="K14" s="6">
        <f>Revenue_Budget!K14*42%</f>
        <v>0</v>
      </c>
      <c r="L14" s="6">
        <f>Revenue_Budget!L14*42%</f>
        <v>0</v>
      </c>
      <c r="M14" s="6">
        <f>Revenue_Budget!M14*42%</f>
        <v>0</v>
      </c>
      <c r="N14" s="6">
        <f>Revenue_Budget!N14*42%</f>
        <v>0</v>
      </c>
      <c r="O14" s="6">
        <f>Revenue_Budget!O14*42%</f>
        <v>0</v>
      </c>
      <c r="P14" s="6">
        <f>Revenue_Budget!P14*42%</f>
        <v>0</v>
      </c>
      <c r="Q14" s="6">
        <f>Revenue_Budget!Q14*42%</f>
        <v>0</v>
      </c>
      <c r="R14" s="6">
        <f>Revenue_Budget!R14*42%</f>
        <v>0</v>
      </c>
      <c r="S14" s="6">
        <f>Revenue_Budget!S14*42%</f>
        <v>0</v>
      </c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6">
        <f>Revenue_Budget!H15*42%</f>
        <v>0</v>
      </c>
      <c r="I15" s="6">
        <f>Revenue_Budget!I15*42%</f>
        <v>0</v>
      </c>
      <c r="J15" s="6">
        <f>Revenue_Budget!J15*42%</f>
        <v>0</v>
      </c>
      <c r="K15" s="6">
        <f>Revenue_Budget!K15*42%</f>
        <v>0</v>
      </c>
      <c r="L15" s="6">
        <f>Revenue_Budget!L15*42%</f>
        <v>0</v>
      </c>
      <c r="M15" s="6">
        <f>Revenue_Budget!M15*42%</f>
        <v>0</v>
      </c>
      <c r="N15" s="6">
        <f>Revenue_Budget!N15*42%</f>
        <v>0</v>
      </c>
      <c r="O15" s="6">
        <f>Revenue_Budget!O15*42%</f>
        <v>0</v>
      </c>
      <c r="P15" s="6">
        <f>Revenue_Budget!P15*42%</f>
        <v>0</v>
      </c>
      <c r="Q15" s="6">
        <f>Revenue_Budget!Q15*42%</f>
        <v>0</v>
      </c>
      <c r="R15" s="6">
        <f>Revenue_Budget!R15*42%</f>
        <v>0</v>
      </c>
      <c r="S15" s="6">
        <f>Revenue_Budget!S15*42%</f>
        <v>0</v>
      </c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6">
        <f>Revenue_Budget!H16*42%</f>
        <v>0</v>
      </c>
      <c r="I16" s="6">
        <f>Revenue_Budget!I16*42%</f>
        <v>0</v>
      </c>
      <c r="J16" s="6">
        <f>Revenue_Budget!J16*42%</f>
        <v>0</v>
      </c>
      <c r="K16" s="6">
        <f>Revenue_Budget!K16*42%</f>
        <v>0</v>
      </c>
      <c r="L16" s="6">
        <f>Revenue_Budget!L16*42%</f>
        <v>0</v>
      </c>
      <c r="M16" s="6">
        <f>Revenue_Budget!M16*42%</f>
        <v>0</v>
      </c>
      <c r="N16" s="6">
        <f>Revenue_Budget!N16*42%</f>
        <v>0</v>
      </c>
      <c r="O16" s="6">
        <f>Revenue_Budget!O16*42%</f>
        <v>0</v>
      </c>
      <c r="P16" s="6">
        <f>Revenue_Budget!P16*42%</f>
        <v>0</v>
      </c>
      <c r="Q16" s="6">
        <f>Revenue_Budget!Q16*42%</f>
        <v>0</v>
      </c>
      <c r="R16" s="6">
        <f>Revenue_Budget!R16*42%</f>
        <v>0</v>
      </c>
      <c r="S16" s="6">
        <f>Revenue_Budget!S16*42%</f>
        <v>0</v>
      </c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6">
        <f>Revenue_Budget!H17*42%</f>
        <v>3.15</v>
      </c>
      <c r="I17" s="6">
        <f>Revenue_Budget!I17*42%</f>
        <v>4.41</v>
      </c>
      <c r="J17" s="6">
        <f>Revenue_Budget!J17*42%</f>
        <v>5.04</v>
      </c>
      <c r="K17" s="6">
        <f>Revenue_Budget!K17*42%</f>
        <v>4.725</v>
      </c>
      <c r="L17" s="6">
        <f>Revenue_Budget!L17*42%</f>
        <v>6.615</v>
      </c>
      <c r="M17" s="6">
        <f>Revenue_Budget!M17*42%</f>
        <v>7.56</v>
      </c>
      <c r="N17" s="6">
        <f>Revenue_Budget!N17*42%</f>
        <v>4.725</v>
      </c>
      <c r="O17" s="6">
        <f>Revenue_Budget!O17*42%</f>
        <v>6.615</v>
      </c>
      <c r="P17" s="6">
        <f>Revenue_Budget!P17*42%</f>
        <v>7.56</v>
      </c>
      <c r="Q17" s="6">
        <f>Revenue_Budget!Q17*42%</f>
        <v>4.75965</v>
      </c>
      <c r="R17" s="6">
        <f>Revenue_Budget!R17*42%</f>
        <v>6.66351</v>
      </c>
      <c r="S17" s="6">
        <f>Revenue_Budget!S17*42%</f>
        <v>7.61544</v>
      </c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6">
        <f>Revenue_Budget!H18*42%</f>
        <v>2.1525</v>
      </c>
      <c r="I18" s="6">
        <f>Revenue_Budget!I18*42%</f>
        <v>3.0135</v>
      </c>
      <c r="J18" s="6">
        <f>Revenue_Budget!J18*42%</f>
        <v>3.444</v>
      </c>
      <c r="K18" s="6">
        <f>Revenue_Budget!K18*42%</f>
        <v>2.1</v>
      </c>
      <c r="L18" s="6">
        <f>Revenue_Budget!L18*42%</f>
        <v>2.94</v>
      </c>
      <c r="M18" s="6">
        <f>Revenue_Budget!M18*42%</f>
        <v>3.36</v>
      </c>
      <c r="N18" s="6">
        <f>Revenue_Budget!N18*42%</f>
        <v>2.1</v>
      </c>
      <c r="O18" s="6">
        <f>Revenue_Budget!O18*42%</f>
        <v>2.94</v>
      </c>
      <c r="P18" s="6">
        <f>Revenue_Budget!P18*42%</f>
        <v>3.36</v>
      </c>
      <c r="Q18" s="6">
        <f>Revenue_Budget!Q18*42%</f>
        <v>2.13465</v>
      </c>
      <c r="R18" s="6">
        <f>Revenue_Budget!R18*42%</f>
        <v>2.98851</v>
      </c>
      <c r="S18" s="6">
        <f>Revenue_Budget!S18*42%</f>
        <v>3.41544</v>
      </c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6">
        <f>Revenue_Budget!H19*42%</f>
        <v>5.46</v>
      </c>
      <c r="I19" s="6">
        <f>Revenue_Budget!I19*42%</f>
        <v>7.644</v>
      </c>
      <c r="J19" s="6">
        <f>Revenue_Budget!J19*42%</f>
        <v>8.736</v>
      </c>
      <c r="K19" s="6">
        <f>Revenue_Budget!K19*42%</f>
        <v>5.775</v>
      </c>
      <c r="L19" s="6">
        <f>Revenue_Budget!L19*42%</f>
        <v>8.085</v>
      </c>
      <c r="M19" s="6">
        <f>Revenue_Budget!M19*42%</f>
        <v>9.24</v>
      </c>
      <c r="N19" s="6">
        <f>Revenue_Budget!N19*42%</f>
        <v>6.3</v>
      </c>
      <c r="O19" s="6">
        <f>Revenue_Budget!O19*42%</f>
        <v>8.82</v>
      </c>
      <c r="P19" s="6">
        <f>Revenue_Budget!P19*42%</f>
        <v>10.08</v>
      </c>
      <c r="Q19" s="6">
        <f>Revenue_Budget!Q19*42%</f>
        <v>5.28465</v>
      </c>
      <c r="R19" s="6">
        <f>Revenue_Budget!R19*42%</f>
        <v>7.39851</v>
      </c>
      <c r="S19" s="6">
        <f>Revenue_Budget!S19*42%</f>
        <v>8.45544</v>
      </c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6">
        <f>Revenue_Budget!H20*42%</f>
        <v>6.22125</v>
      </c>
      <c r="I20" s="6">
        <f>Revenue_Budget!I20*42%</f>
        <v>8.70975</v>
      </c>
      <c r="J20" s="6">
        <f>Revenue_Budget!J20*42%</f>
        <v>9.954</v>
      </c>
      <c r="K20" s="6">
        <f>Revenue_Budget!K20*42%</f>
        <v>6.43125</v>
      </c>
      <c r="L20" s="6">
        <f>Revenue_Budget!L20*42%</f>
        <v>9.00375</v>
      </c>
      <c r="M20" s="6">
        <f>Revenue_Budget!M20*42%</f>
        <v>10.29</v>
      </c>
      <c r="N20" s="6">
        <f>Revenue_Budget!N20*42%</f>
        <v>6.69375</v>
      </c>
      <c r="O20" s="6">
        <f>Revenue_Budget!O20*42%</f>
        <v>9.37125</v>
      </c>
      <c r="P20" s="6">
        <f>Revenue_Budget!P20*42%</f>
        <v>10.71</v>
      </c>
      <c r="Q20" s="6">
        <f>Revenue_Budget!Q20*42%</f>
        <v>6.9909</v>
      </c>
      <c r="R20" s="6">
        <f>Revenue_Budget!R20*42%</f>
        <v>9.78726</v>
      </c>
      <c r="S20" s="6">
        <f>Revenue_Budget!S20*42%</f>
        <v>11.18544</v>
      </c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6">
        <f>Revenue_Budget!H21*42%</f>
        <v>25.2525</v>
      </c>
      <c r="I21" s="6">
        <f>Revenue_Budget!I21*42%</f>
        <v>35.3535</v>
      </c>
      <c r="J21" s="6">
        <f>Revenue_Budget!J21*42%</f>
        <v>40.404</v>
      </c>
      <c r="K21" s="6">
        <f>Revenue_Budget!K21*42%</f>
        <v>29.4</v>
      </c>
      <c r="L21" s="6">
        <f>Revenue_Budget!L21*42%</f>
        <v>41.16</v>
      </c>
      <c r="M21" s="6">
        <f>Revenue_Budget!M21*42%</f>
        <v>47.04</v>
      </c>
      <c r="N21" s="6">
        <f>Revenue_Budget!N21*42%</f>
        <v>32.55</v>
      </c>
      <c r="O21" s="6">
        <f>Revenue_Budget!O21*42%</f>
        <v>45.57</v>
      </c>
      <c r="P21" s="6">
        <f>Revenue_Budget!P21*42%</f>
        <v>52.08</v>
      </c>
      <c r="Q21" s="6">
        <f>Revenue_Budget!Q21*42%</f>
        <v>32.58465</v>
      </c>
      <c r="R21" s="6">
        <f>Revenue_Budget!R21*42%</f>
        <v>45.61851</v>
      </c>
      <c r="S21" s="6">
        <f>Revenue_Budget!S21*42%</f>
        <v>52.13544</v>
      </c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6">
        <f>Revenue_Budget!H22*42%</f>
        <v>5.8275</v>
      </c>
      <c r="I22" s="6">
        <f>Revenue_Budget!I22*42%</f>
        <v>8.1585</v>
      </c>
      <c r="J22" s="6">
        <f>Revenue_Budget!J22*42%</f>
        <v>9.324</v>
      </c>
      <c r="K22" s="6">
        <f>Revenue_Budget!K22*42%</f>
        <v>5.775</v>
      </c>
      <c r="L22" s="6">
        <f>Revenue_Budget!L22*42%</f>
        <v>8.085</v>
      </c>
      <c r="M22" s="6">
        <f>Revenue_Budget!M22*42%</f>
        <v>9.24</v>
      </c>
      <c r="N22" s="6">
        <f>Revenue_Budget!N22*42%</f>
        <v>5.775</v>
      </c>
      <c r="O22" s="6">
        <f>Revenue_Budget!O22*42%</f>
        <v>8.085</v>
      </c>
      <c r="P22" s="6">
        <f>Revenue_Budget!P22*42%</f>
        <v>9.24</v>
      </c>
      <c r="Q22" s="6">
        <f>Revenue_Budget!Q22*42%</f>
        <v>5.80965</v>
      </c>
      <c r="R22" s="6">
        <f>Revenue_Budget!R22*42%</f>
        <v>8.13351</v>
      </c>
      <c r="S22" s="6">
        <f>Revenue_Budget!S22*42%</f>
        <v>9.29544</v>
      </c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6">
        <f>Revenue_Budget!H23*42%</f>
        <v>9.5025</v>
      </c>
      <c r="I23" s="6">
        <f>Revenue_Budget!I23*42%</f>
        <v>13.3035</v>
      </c>
      <c r="J23" s="6">
        <f>Revenue_Budget!J23*42%</f>
        <v>15.204</v>
      </c>
      <c r="K23" s="6">
        <f>Revenue_Budget!K23*42%</f>
        <v>10.2795</v>
      </c>
      <c r="L23" s="6">
        <f>Revenue_Budget!L23*42%</f>
        <v>14.3913</v>
      </c>
      <c r="M23" s="6">
        <f>Revenue_Budget!M23*42%</f>
        <v>16.4472</v>
      </c>
      <c r="N23" s="6">
        <f>Revenue_Budget!N23*42%</f>
        <v>10.7205</v>
      </c>
      <c r="O23" s="6">
        <f>Revenue_Budget!O23*42%</f>
        <v>15.0087</v>
      </c>
      <c r="P23" s="6">
        <f>Revenue_Budget!P23*42%</f>
        <v>17.1528</v>
      </c>
      <c r="Q23" s="6">
        <f>Revenue_Budget!Q23*42%</f>
        <v>11.54265</v>
      </c>
      <c r="R23" s="6">
        <f>Revenue_Budget!R23*42%</f>
        <v>16.15971</v>
      </c>
      <c r="S23" s="6">
        <f>Revenue_Budget!S23*42%</f>
        <v>18.46824</v>
      </c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6">
        <f>Revenue_Budget!H24*42%</f>
        <v>4.2</v>
      </c>
      <c r="I24" s="6">
        <f>Revenue_Budget!I24*42%</f>
        <v>5.88</v>
      </c>
      <c r="J24" s="6">
        <f>Revenue_Budget!J24*42%</f>
        <v>6.72</v>
      </c>
      <c r="K24" s="6">
        <f>Revenue_Budget!K24*42%</f>
        <v>5.25</v>
      </c>
      <c r="L24" s="6">
        <f>Revenue_Budget!L24*42%</f>
        <v>7.35</v>
      </c>
      <c r="M24" s="6">
        <f>Revenue_Budget!M24*42%</f>
        <v>8.4</v>
      </c>
      <c r="N24" s="6">
        <f>Revenue_Budget!N24*42%</f>
        <v>5.25</v>
      </c>
      <c r="O24" s="6">
        <f>Revenue_Budget!O24*42%</f>
        <v>7.35</v>
      </c>
      <c r="P24" s="6">
        <f>Revenue_Budget!P24*42%</f>
        <v>8.4</v>
      </c>
      <c r="Q24" s="6">
        <f>Revenue_Budget!Q24*42%</f>
        <v>5.28465</v>
      </c>
      <c r="R24" s="6">
        <f>Revenue_Budget!R24*42%</f>
        <v>7.39851</v>
      </c>
      <c r="S24" s="6">
        <f>Revenue_Budget!S24*42%</f>
        <v>8.45544</v>
      </c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6">
        <f>Revenue_Budget!H25*42%</f>
        <v>1.6275</v>
      </c>
      <c r="I25" s="6">
        <f>Revenue_Budget!I25*42%</f>
        <v>2.2785</v>
      </c>
      <c r="J25" s="6">
        <f>Revenue_Budget!J25*42%</f>
        <v>2.604</v>
      </c>
      <c r="K25" s="6">
        <f>Revenue_Budget!K25*42%</f>
        <v>1.6275</v>
      </c>
      <c r="L25" s="6">
        <f>Revenue_Budget!L25*42%</f>
        <v>2.2785</v>
      </c>
      <c r="M25" s="6">
        <f>Revenue_Budget!M25*42%</f>
        <v>2.604</v>
      </c>
      <c r="N25" s="6">
        <f>Revenue_Budget!N25*42%</f>
        <v>5.25</v>
      </c>
      <c r="O25" s="6">
        <f>Revenue_Budget!O25*42%</f>
        <v>7.35</v>
      </c>
      <c r="P25" s="6">
        <f>Revenue_Budget!P25*42%</f>
        <v>8.4</v>
      </c>
      <c r="Q25" s="6">
        <f>Revenue_Budget!Q25*42%</f>
        <v>5.28465</v>
      </c>
      <c r="R25" s="6">
        <f>Revenue_Budget!R25*42%</f>
        <v>7.39851</v>
      </c>
      <c r="S25" s="6">
        <f>Revenue_Budget!S25*42%</f>
        <v>8.45544</v>
      </c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6">
        <f>Revenue_Budget!H26*42%</f>
        <v>0.525</v>
      </c>
      <c r="I26" s="6">
        <f>Revenue_Budget!I26*42%</f>
        <v>0.735</v>
      </c>
      <c r="J26" s="6">
        <f>Revenue_Budget!J26*42%</f>
        <v>0.84</v>
      </c>
      <c r="K26" s="6">
        <f>Revenue_Budget!K26*42%</f>
        <v>2.625</v>
      </c>
      <c r="L26" s="6">
        <f>Revenue_Budget!L26*42%</f>
        <v>3.675</v>
      </c>
      <c r="M26" s="6">
        <f>Revenue_Budget!M26*42%</f>
        <v>4.2</v>
      </c>
      <c r="N26" s="6">
        <f>Revenue_Budget!N26*42%</f>
        <v>2.625</v>
      </c>
      <c r="O26" s="6">
        <f>Revenue_Budget!O26*42%</f>
        <v>3.675</v>
      </c>
      <c r="P26" s="6">
        <f>Revenue_Budget!P26*42%</f>
        <v>4.2</v>
      </c>
      <c r="Q26" s="6">
        <f>Revenue_Budget!Q26*42%</f>
        <v>2.65965</v>
      </c>
      <c r="R26" s="6">
        <f>Revenue_Budget!R26*42%</f>
        <v>3.72351</v>
      </c>
      <c r="S26" s="6">
        <f>Revenue_Budget!S26*42%</f>
        <v>4.25544</v>
      </c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6">
        <f>Revenue_Budget!H27*42%</f>
        <v>0</v>
      </c>
      <c r="I27" s="6">
        <f>Revenue_Budget!I27*42%</f>
        <v>0</v>
      </c>
      <c r="J27" s="6">
        <f>Revenue_Budget!J27*42%</f>
        <v>0</v>
      </c>
      <c r="K27" s="6">
        <f>Revenue_Budget!K27*42%</f>
        <v>0</v>
      </c>
      <c r="L27" s="6">
        <f>Revenue_Budget!L27*42%</f>
        <v>0</v>
      </c>
      <c r="M27" s="6">
        <f>Revenue_Budget!M27*42%</f>
        <v>0</v>
      </c>
      <c r="N27" s="6">
        <f>Revenue_Budget!N27*42%</f>
        <v>0</v>
      </c>
      <c r="O27" s="6">
        <f>Revenue_Budget!O27*42%</f>
        <v>0</v>
      </c>
      <c r="P27" s="6">
        <f>Revenue_Budget!P27*42%</f>
        <v>0</v>
      </c>
      <c r="Q27" s="6">
        <f>Revenue_Budget!Q27*42%</f>
        <v>0</v>
      </c>
      <c r="R27" s="6">
        <f>Revenue_Budget!R27*42%</f>
        <v>0</v>
      </c>
      <c r="S27" s="6">
        <f>Revenue_Budget!S27*42%</f>
        <v>0</v>
      </c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6">
        <f>Revenue_Budget!H28*42%</f>
        <v>0</v>
      </c>
      <c r="I28" s="6">
        <f>Revenue_Budget!I28*42%</f>
        <v>0</v>
      </c>
      <c r="J28" s="6">
        <f>Revenue_Budget!J28*42%</f>
        <v>0</v>
      </c>
      <c r="K28" s="6">
        <f>Revenue_Budget!K28*42%</f>
        <v>0</v>
      </c>
      <c r="L28" s="6">
        <f>Revenue_Budget!L28*42%</f>
        <v>0</v>
      </c>
      <c r="M28" s="6">
        <f>Revenue_Budget!M28*42%</f>
        <v>0</v>
      </c>
      <c r="N28" s="6">
        <f>Revenue_Budget!N28*42%</f>
        <v>0</v>
      </c>
      <c r="O28" s="6">
        <f>Revenue_Budget!O28*42%</f>
        <v>0</v>
      </c>
      <c r="P28" s="6">
        <f>Revenue_Budget!P28*42%</f>
        <v>0</v>
      </c>
      <c r="Q28" s="6">
        <f>Revenue_Budget!Q28*42%</f>
        <v>0</v>
      </c>
      <c r="R28" s="6">
        <f>Revenue_Budget!R28*42%</f>
        <v>0</v>
      </c>
      <c r="S28" s="6">
        <f>Revenue_Budget!S28*42%</f>
        <v>0</v>
      </c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6">
        <f>Revenue_Budget!H29*42%</f>
        <v>0</v>
      </c>
      <c r="I29" s="6">
        <f>Revenue_Budget!I29*42%</f>
        <v>0</v>
      </c>
      <c r="J29" s="6">
        <f>Revenue_Budget!J29*42%</f>
        <v>0</v>
      </c>
      <c r="K29" s="6">
        <f>Revenue_Budget!K29*42%</f>
        <v>0</v>
      </c>
      <c r="L29" s="6">
        <f>Revenue_Budget!L29*42%</f>
        <v>0</v>
      </c>
      <c r="M29" s="6">
        <f>Revenue_Budget!M29*42%</f>
        <v>0</v>
      </c>
      <c r="N29" s="6">
        <f>Revenue_Budget!N29*42%</f>
        <v>0</v>
      </c>
      <c r="O29" s="6">
        <f>Revenue_Budget!O29*42%</f>
        <v>0</v>
      </c>
      <c r="P29" s="6">
        <f>Revenue_Budget!P29*42%</f>
        <v>0</v>
      </c>
      <c r="Q29" s="6">
        <f>Revenue_Budget!Q29*42%</f>
        <v>0</v>
      </c>
      <c r="R29" s="6">
        <f>Revenue_Budget!R29*42%</f>
        <v>0</v>
      </c>
      <c r="S29" s="6">
        <f>Revenue_Budget!S29*42%</f>
        <v>0</v>
      </c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6">
        <f>Revenue_Budget!H30*42%</f>
        <v>0</v>
      </c>
      <c r="I30" s="6">
        <f>Revenue_Budget!I30*42%</f>
        <v>0</v>
      </c>
      <c r="J30" s="6">
        <f>Revenue_Budget!J30*42%</f>
        <v>0</v>
      </c>
      <c r="K30" s="6">
        <f>Revenue_Budget!K30*42%</f>
        <v>0</v>
      </c>
      <c r="L30" s="6">
        <f>Revenue_Budget!L30*42%</f>
        <v>0</v>
      </c>
      <c r="M30" s="6">
        <f>Revenue_Budget!M30*42%</f>
        <v>0</v>
      </c>
      <c r="N30" s="6">
        <f>Revenue_Budget!N30*42%</f>
        <v>0</v>
      </c>
      <c r="O30" s="6">
        <f>Revenue_Budget!O30*42%</f>
        <v>0</v>
      </c>
      <c r="P30" s="6">
        <f>Revenue_Budget!P30*42%</f>
        <v>0</v>
      </c>
      <c r="Q30" s="6">
        <f>Revenue_Budget!Q30*42%</f>
        <v>0</v>
      </c>
      <c r="R30" s="6">
        <f>Revenue_Budget!R30*42%</f>
        <v>0</v>
      </c>
      <c r="S30" s="6">
        <f>Revenue_Budget!S30*42%</f>
        <v>0</v>
      </c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6">
        <f>Revenue_Budget!H31*42%</f>
        <v>0</v>
      </c>
      <c r="I31" s="6">
        <f>Revenue_Budget!I31*42%</f>
        <v>0</v>
      </c>
      <c r="J31" s="6">
        <f>Revenue_Budget!J31*42%</f>
        <v>0</v>
      </c>
      <c r="K31" s="6">
        <f>Revenue_Budget!K31*42%</f>
        <v>0</v>
      </c>
      <c r="L31" s="6">
        <f>Revenue_Budget!L31*42%</f>
        <v>0</v>
      </c>
      <c r="M31" s="6">
        <f>Revenue_Budget!M31*42%</f>
        <v>0</v>
      </c>
      <c r="N31" s="6">
        <f>Revenue_Budget!N31*42%</f>
        <v>0</v>
      </c>
      <c r="O31" s="6">
        <f>Revenue_Budget!O31*42%</f>
        <v>0</v>
      </c>
      <c r="P31" s="6">
        <f>Revenue_Budget!P31*42%</f>
        <v>0</v>
      </c>
      <c r="Q31" s="6">
        <f>Revenue_Budget!Q31*42%</f>
        <v>0</v>
      </c>
      <c r="R31" s="6">
        <f>Revenue_Budget!R31*42%</f>
        <v>0</v>
      </c>
      <c r="S31" s="6">
        <f>Revenue_Budget!S31*42%</f>
        <v>0</v>
      </c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6">
        <f>Revenue_Budget!H32*42%</f>
        <v>0</v>
      </c>
      <c r="I32" s="6">
        <f>Revenue_Budget!I32*42%</f>
        <v>0</v>
      </c>
      <c r="J32" s="6">
        <f>Revenue_Budget!J32*42%</f>
        <v>0</v>
      </c>
      <c r="K32" s="6">
        <f>Revenue_Budget!K32*42%</f>
        <v>0</v>
      </c>
      <c r="L32" s="6">
        <f>Revenue_Budget!L32*42%</f>
        <v>0</v>
      </c>
      <c r="M32" s="6">
        <f>Revenue_Budget!M32*42%</f>
        <v>0</v>
      </c>
      <c r="N32" s="6">
        <f>Revenue_Budget!N32*42%</f>
        <v>0</v>
      </c>
      <c r="O32" s="6">
        <f>Revenue_Budget!O32*42%</f>
        <v>0</v>
      </c>
      <c r="P32" s="6">
        <f>Revenue_Budget!P32*42%</f>
        <v>0</v>
      </c>
      <c r="Q32" s="6">
        <f>Revenue_Budget!Q32*42%</f>
        <v>0</v>
      </c>
      <c r="R32" s="6">
        <f>Revenue_Budget!R32*42%</f>
        <v>0</v>
      </c>
      <c r="S32" s="6">
        <f>Revenue_Budget!S32*42%</f>
        <v>0</v>
      </c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6">
        <f>Revenue_Budget!H33*42%</f>
        <v>3.9375</v>
      </c>
      <c r="I33" s="6">
        <f>Revenue_Budget!I33*42%</f>
        <v>5.5125</v>
      </c>
      <c r="J33" s="6">
        <f>Revenue_Budget!J33*42%</f>
        <v>6.3</v>
      </c>
      <c r="K33" s="6">
        <f>Revenue_Budget!K33*42%</f>
        <v>5.46</v>
      </c>
      <c r="L33" s="6">
        <f>Revenue_Budget!L33*42%</f>
        <v>7.644</v>
      </c>
      <c r="M33" s="6">
        <f>Revenue_Budget!M33*42%</f>
        <v>8.736</v>
      </c>
      <c r="N33" s="6">
        <f>Revenue_Budget!N33*42%</f>
        <v>5.67</v>
      </c>
      <c r="O33" s="6">
        <f>Revenue_Budget!O33*42%</f>
        <v>7.938</v>
      </c>
      <c r="P33" s="6">
        <f>Revenue_Budget!P33*42%</f>
        <v>9.072</v>
      </c>
      <c r="Q33" s="6">
        <f>Revenue_Budget!Q33*42%</f>
        <v>6.01965</v>
      </c>
      <c r="R33" s="6">
        <f>Revenue_Budget!R33*42%</f>
        <v>8.42751</v>
      </c>
      <c r="S33" s="6">
        <f>Revenue_Budget!S33*42%</f>
        <v>9.63144</v>
      </c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6">
        <f>Revenue_Budget!H34*42%</f>
        <v>2.52</v>
      </c>
      <c r="I34" s="6">
        <f>Revenue_Budget!I34*42%</f>
        <v>3.528</v>
      </c>
      <c r="J34" s="6">
        <f>Revenue_Budget!J34*42%</f>
        <v>4.032</v>
      </c>
      <c r="K34" s="6">
        <f>Revenue_Budget!K34*42%</f>
        <v>2.5725</v>
      </c>
      <c r="L34" s="6">
        <f>Revenue_Budget!L34*42%</f>
        <v>3.6015</v>
      </c>
      <c r="M34" s="6">
        <f>Revenue_Budget!M34*42%</f>
        <v>4.116</v>
      </c>
      <c r="N34" s="6">
        <f>Revenue_Budget!N34*42%</f>
        <v>2.6775</v>
      </c>
      <c r="O34" s="6">
        <f>Revenue_Budget!O34*42%</f>
        <v>3.7485</v>
      </c>
      <c r="P34" s="6">
        <f>Revenue_Budget!P34*42%</f>
        <v>4.284</v>
      </c>
      <c r="Q34" s="6">
        <f>Revenue_Budget!Q34*42%</f>
        <v>2.81715</v>
      </c>
      <c r="R34" s="6">
        <f>Revenue_Budget!R34*42%</f>
        <v>3.94401</v>
      </c>
      <c r="S34" s="6">
        <f>Revenue_Budget!S34*42%</f>
        <v>4.50744</v>
      </c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6">
        <f>Revenue_Budget!H35*42%</f>
        <v>1.6275</v>
      </c>
      <c r="I35" s="6">
        <f>Revenue_Budget!I35*42%</f>
        <v>2.2785</v>
      </c>
      <c r="J35" s="6">
        <f>Revenue_Budget!J35*42%</f>
        <v>2.604</v>
      </c>
      <c r="K35" s="6">
        <f>Revenue_Budget!K35*42%</f>
        <v>1.575</v>
      </c>
      <c r="L35" s="6">
        <f>Revenue_Budget!L35*42%</f>
        <v>2.205</v>
      </c>
      <c r="M35" s="6">
        <f>Revenue_Budget!M35*42%</f>
        <v>2.52</v>
      </c>
      <c r="N35" s="6">
        <f>Revenue_Budget!N35*42%</f>
        <v>1.575</v>
      </c>
      <c r="O35" s="6">
        <f>Revenue_Budget!O35*42%</f>
        <v>2.205</v>
      </c>
      <c r="P35" s="6">
        <f>Revenue_Budget!P35*42%</f>
        <v>2.52</v>
      </c>
      <c r="Q35" s="6">
        <f>Revenue_Budget!Q35*42%</f>
        <v>1.575</v>
      </c>
      <c r="R35" s="6">
        <f>Revenue_Budget!R35*42%</f>
        <v>2.205</v>
      </c>
      <c r="S35" s="6">
        <f>Revenue_Budget!S35*42%</f>
        <v>2.52</v>
      </c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6">
        <f>Revenue_Budget!H36*42%</f>
        <v>0</v>
      </c>
      <c r="I36" s="6">
        <f>Revenue_Budget!I36*42%</f>
        <v>0</v>
      </c>
      <c r="J36" s="6">
        <f>Revenue_Budget!J36*42%</f>
        <v>0</v>
      </c>
      <c r="K36" s="6">
        <f>Revenue_Budget!K36*42%</f>
        <v>0</v>
      </c>
      <c r="L36" s="6">
        <f>Revenue_Budget!L36*42%</f>
        <v>0</v>
      </c>
      <c r="M36" s="6">
        <f>Revenue_Budget!M36*42%</f>
        <v>0</v>
      </c>
      <c r="N36" s="6">
        <f>Revenue_Budget!N36*42%</f>
        <v>0</v>
      </c>
      <c r="O36" s="6">
        <f>Revenue_Budget!O36*42%</f>
        <v>0</v>
      </c>
      <c r="P36" s="6">
        <f>Revenue_Budget!P36*42%</f>
        <v>0</v>
      </c>
      <c r="Q36" s="6">
        <f>Revenue_Budget!Q36*42%</f>
        <v>0</v>
      </c>
      <c r="R36" s="6">
        <f>Revenue_Budget!R36*42%</f>
        <v>0</v>
      </c>
      <c r="S36" s="6">
        <f>Revenue_Budget!S36*42%</f>
        <v>0</v>
      </c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6">
        <f>Revenue_Budget!H37*42%</f>
        <v>3.15</v>
      </c>
      <c r="I37" s="6">
        <f>Revenue_Budget!I37*42%</f>
        <v>4.41</v>
      </c>
      <c r="J37" s="6">
        <f>Revenue_Budget!J37*42%</f>
        <v>5.04</v>
      </c>
      <c r="K37" s="6">
        <f>Revenue_Budget!K37*42%</f>
        <v>4.2</v>
      </c>
      <c r="L37" s="6">
        <f>Revenue_Budget!L37*42%</f>
        <v>5.88</v>
      </c>
      <c r="M37" s="6">
        <f>Revenue_Budget!M37*42%</f>
        <v>6.72</v>
      </c>
      <c r="N37" s="6">
        <f>Revenue_Budget!N37*42%</f>
        <v>4.2</v>
      </c>
      <c r="O37" s="6">
        <f>Revenue_Budget!O37*42%</f>
        <v>5.88</v>
      </c>
      <c r="P37" s="6">
        <f>Revenue_Budget!P37*42%</f>
        <v>6.72</v>
      </c>
      <c r="Q37" s="6">
        <f>Revenue_Budget!Q37*42%</f>
        <v>4.2</v>
      </c>
      <c r="R37" s="6">
        <f>Revenue_Budget!R37*42%</f>
        <v>5.88</v>
      </c>
      <c r="S37" s="6">
        <f>Revenue_Budget!S37*42%</f>
        <v>6.72</v>
      </c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6">
        <f>Revenue_Budget!H38*42%</f>
        <v>0</v>
      </c>
      <c r="I38" s="6">
        <f>Revenue_Budget!I38*42%</f>
        <v>0</v>
      </c>
      <c r="J38" s="6">
        <f>Revenue_Budget!J38*42%</f>
        <v>0</v>
      </c>
      <c r="K38" s="6">
        <f>Revenue_Budget!K38*42%</f>
        <v>0</v>
      </c>
      <c r="L38" s="6">
        <f>Revenue_Budget!L38*42%</f>
        <v>0</v>
      </c>
      <c r="M38" s="6">
        <f>Revenue_Budget!M38*42%</f>
        <v>0</v>
      </c>
      <c r="N38" s="6">
        <f>Revenue_Budget!N38*42%</f>
        <v>0</v>
      </c>
      <c r="O38" s="6">
        <f>Revenue_Budget!O38*42%</f>
        <v>0</v>
      </c>
      <c r="P38" s="6">
        <f>Revenue_Budget!P38*42%</f>
        <v>0</v>
      </c>
      <c r="Q38" s="6">
        <f>Revenue_Budget!Q38*42%</f>
        <v>0</v>
      </c>
      <c r="R38" s="6">
        <f>Revenue_Budget!R38*42%</f>
        <v>0</v>
      </c>
      <c r="S38" s="6">
        <f>Revenue_Budget!S38*42%</f>
        <v>0</v>
      </c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6">
        <f>Revenue_Budget!H39*42%</f>
        <v>0.9975</v>
      </c>
      <c r="I39" s="6">
        <f>Revenue_Budget!I39*42%</f>
        <v>1.3965</v>
      </c>
      <c r="J39" s="6">
        <f>Revenue_Budget!J39*42%</f>
        <v>1.596</v>
      </c>
      <c r="K39" s="6">
        <f>Revenue_Budget!K39*42%</f>
        <v>0.945</v>
      </c>
      <c r="L39" s="6">
        <f>Revenue_Budget!L39*42%</f>
        <v>1.323</v>
      </c>
      <c r="M39" s="6">
        <f>Revenue_Budget!M39*42%</f>
        <v>1.512</v>
      </c>
      <c r="N39" s="6">
        <f>Revenue_Budget!N39*42%</f>
        <v>0.945</v>
      </c>
      <c r="O39" s="6">
        <f>Revenue_Budget!O39*42%</f>
        <v>1.323</v>
      </c>
      <c r="P39" s="6">
        <f>Revenue_Budget!P39*42%</f>
        <v>1.512</v>
      </c>
      <c r="Q39" s="6">
        <f>Revenue_Budget!Q39*42%</f>
        <v>0.97965</v>
      </c>
      <c r="R39" s="6">
        <f>Revenue_Budget!R39*42%</f>
        <v>1.37151</v>
      </c>
      <c r="S39" s="6">
        <f>Revenue_Budget!S39*42%</f>
        <v>1.56744</v>
      </c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6">
        <f>Revenue_Budget!H40*42%</f>
        <v>0.49875</v>
      </c>
      <c r="I40" s="6">
        <f>Revenue_Budget!I40*42%</f>
        <v>0.69825</v>
      </c>
      <c r="J40" s="6">
        <f>Revenue_Budget!J40*42%</f>
        <v>0.798</v>
      </c>
      <c r="K40" s="6">
        <f>Revenue_Budget!K40*42%</f>
        <v>0.49875</v>
      </c>
      <c r="L40" s="6">
        <f>Revenue_Budget!L40*42%</f>
        <v>0.69825</v>
      </c>
      <c r="M40" s="6">
        <f>Revenue_Budget!M40*42%</f>
        <v>0.798</v>
      </c>
      <c r="N40" s="6">
        <f>Revenue_Budget!N40*42%</f>
        <v>0.49875</v>
      </c>
      <c r="O40" s="6">
        <f>Revenue_Budget!O40*42%</f>
        <v>0.69825</v>
      </c>
      <c r="P40" s="6">
        <f>Revenue_Budget!P40*42%</f>
        <v>0.798</v>
      </c>
      <c r="Q40" s="6">
        <f>Revenue_Budget!Q40*42%</f>
        <v>0.5334</v>
      </c>
      <c r="R40" s="6">
        <f>Revenue_Budget!R40*42%</f>
        <v>0.74676</v>
      </c>
      <c r="S40" s="6">
        <f>Revenue_Budget!S40*42%</f>
        <v>0.85344</v>
      </c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6">
        <f>Revenue_Budget!H41*42%</f>
        <v>0</v>
      </c>
      <c r="I41" s="6">
        <f>Revenue_Budget!I41*42%</f>
        <v>0</v>
      </c>
      <c r="J41" s="6">
        <f>Revenue_Budget!J41*42%</f>
        <v>0</v>
      </c>
      <c r="K41" s="6">
        <f>Revenue_Budget!K41*42%</f>
        <v>0</v>
      </c>
      <c r="L41" s="6">
        <f>Revenue_Budget!L41*42%</f>
        <v>0</v>
      </c>
      <c r="M41" s="6">
        <f>Revenue_Budget!M41*42%</f>
        <v>0</v>
      </c>
      <c r="N41" s="6">
        <f>Revenue_Budget!N41*42%</f>
        <v>0</v>
      </c>
      <c r="O41" s="6">
        <f>Revenue_Budget!O41*42%</f>
        <v>0</v>
      </c>
      <c r="P41" s="6">
        <f>Revenue_Budget!P41*42%</f>
        <v>0</v>
      </c>
      <c r="Q41" s="6">
        <f>Revenue_Budget!Q41*42%</f>
        <v>0</v>
      </c>
      <c r="R41" s="6">
        <f>Revenue_Budget!R41*42%</f>
        <v>0</v>
      </c>
      <c r="S41" s="6">
        <f>Revenue_Budget!S41*42%</f>
        <v>0</v>
      </c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6">
        <f>Revenue_Budget!H42*42%</f>
        <v>5.25</v>
      </c>
      <c r="I42" s="6">
        <f>Revenue_Budget!I42*42%</f>
        <v>7.35</v>
      </c>
      <c r="J42" s="6">
        <f>Revenue_Budget!J42*42%</f>
        <v>8.4</v>
      </c>
      <c r="K42" s="6">
        <f>Revenue_Budget!K42*42%</f>
        <v>4.725</v>
      </c>
      <c r="L42" s="6">
        <f>Revenue_Budget!L42*42%</f>
        <v>6.615</v>
      </c>
      <c r="M42" s="6">
        <f>Revenue_Budget!M42*42%</f>
        <v>7.56</v>
      </c>
      <c r="N42" s="6">
        <f>Revenue_Budget!N42*42%</f>
        <v>4.725</v>
      </c>
      <c r="O42" s="6">
        <f>Revenue_Budget!O42*42%</f>
        <v>6.615</v>
      </c>
      <c r="P42" s="6">
        <f>Revenue_Budget!P42*42%</f>
        <v>7.56</v>
      </c>
      <c r="Q42" s="6">
        <f>Revenue_Budget!Q42*42%</f>
        <v>4.75965</v>
      </c>
      <c r="R42" s="6">
        <f>Revenue_Budget!R42*42%</f>
        <v>6.66351</v>
      </c>
      <c r="S42" s="6">
        <f>Revenue_Budget!S42*42%</f>
        <v>7.61544</v>
      </c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6">
        <f>Revenue_Budget!H43*42%</f>
        <v>1.575</v>
      </c>
      <c r="I43" s="6">
        <f>Revenue_Budget!I43*42%</f>
        <v>2.205</v>
      </c>
      <c r="J43" s="6">
        <f>Revenue_Budget!J43*42%</f>
        <v>2.52</v>
      </c>
      <c r="K43" s="6">
        <f>Revenue_Budget!K43*42%</f>
        <v>1.926288</v>
      </c>
      <c r="L43" s="6">
        <f>Revenue_Budget!L43*42%</f>
        <v>2.6968032</v>
      </c>
      <c r="M43" s="6">
        <f>Revenue_Budget!M43*42%</f>
        <v>3.0820608</v>
      </c>
      <c r="N43" s="6">
        <f>Revenue_Budget!N43*42%</f>
        <v>2.004912</v>
      </c>
      <c r="O43" s="6">
        <f>Revenue_Budget!O43*42%</f>
        <v>2.8068768</v>
      </c>
      <c r="P43" s="6">
        <f>Revenue_Budget!P43*42%</f>
        <v>3.2078592</v>
      </c>
      <c r="Q43" s="6">
        <f>Revenue_Budget!Q43*42%</f>
        <v>2.118186</v>
      </c>
      <c r="R43" s="6">
        <f>Revenue_Budget!R43*42%</f>
        <v>2.9654604</v>
      </c>
      <c r="S43" s="6">
        <f>Revenue_Budget!S43*42%</f>
        <v>3.3890976</v>
      </c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6">
        <f>Revenue_Budget!H44*42%</f>
        <v>0.585375</v>
      </c>
      <c r="I44" s="6">
        <f>Revenue_Budget!I44*42%</f>
        <v>0.819525</v>
      </c>
      <c r="J44" s="6">
        <f>Revenue_Budget!J44*42%</f>
        <v>0.9366</v>
      </c>
      <c r="K44" s="6">
        <f>Revenue_Budget!K44*42%</f>
        <v>1.813875</v>
      </c>
      <c r="L44" s="6">
        <f>Revenue_Budget!L44*42%</f>
        <v>2.539425</v>
      </c>
      <c r="M44" s="6">
        <f>Revenue_Budget!M44*42%</f>
        <v>2.9022</v>
      </c>
      <c r="N44" s="6">
        <f>Revenue_Budget!N44*42%</f>
        <v>1.813875</v>
      </c>
      <c r="O44" s="6">
        <f>Revenue_Budget!O44*42%</f>
        <v>2.539425</v>
      </c>
      <c r="P44" s="6">
        <f>Revenue_Budget!P44*42%</f>
        <v>2.9022</v>
      </c>
      <c r="Q44" s="6">
        <f>Revenue_Budget!Q44*42%</f>
        <v>1.813875</v>
      </c>
      <c r="R44" s="6">
        <f>Revenue_Budget!R44*42%</f>
        <v>2.539425</v>
      </c>
      <c r="S44" s="6">
        <f>Revenue_Budget!S44*42%</f>
        <v>2.9022</v>
      </c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6">
        <f>Revenue_Budget!H45*42%</f>
        <v>0.63</v>
      </c>
      <c r="I45" s="6">
        <f>Revenue_Budget!I45*42%</f>
        <v>0.882</v>
      </c>
      <c r="J45" s="6">
        <f>Revenue_Budget!J45*42%</f>
        <v>1.008</v>
      </c>
      <c r="K45" s="6">
        <f>Revenue_Budget!K45*42%</f>
        <v>0</v>
      </c>
      <c r="L45" s="6">
        <f>Revenue_Budget!L45*42%</f>
        <v>0</v>
      </c>
      <c r="M45" s="6">
        <f>Revenue_Budget!M45*42%</f>
        <v>0</v>
      </c>
      <c r="N45" s="6">
        <f>Revenue_Budget!N45*42%</f>
        <v>0</v>
      </c>
      <c r="O45" s="6">
        <f>Revenue_Budget!O45*42%</f>
        <v>0</v>
      </c>
      <c r="P45" s="6">
        <f>Revenue_Budget!P45*42%</f>
        <v>0</v>
      </c>
      <c r="Q45" s="6">
        <f>Revenue_Budget!Q45*42%</f>
        <v>0</v>
      </c>
      <c r="R45" s="6">
        <f>Revenue_Budget!R45*42%</f>
        <v>0</v>
      </c>
      <c r="S45" s="6">
        <f>Revenue_Budget!S45*42%</f>
        <v>0</v>
      </c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6">
        <f>Revenue_Budget!H46*42%</f>
        <v>0</v>
      </c>
      <c r="I46" s="6">
        <f>Revenue_Budget!I46*42%</f>
        <v>0</v>
      </c>
      <c r="J46" s="6">
        <f>Revenue_Budget!J46*42%</f>
        <v>0</v>
      </c>
      <c r="K46" s="6">
        <f>Revenue_Budget!K46*42%</f>
        <v>0</v>
      </c>
      <c r="L46" s="6">
        <f>Revenue_Budget!L46*42%</f>
        <v>0</v>
      </c>
      <c r="M46" s="6">
        <f>Revenue_Budget!M46*42%</f>
        <v>0</v>
      </c>
      <c r="N46" s="6">
        <f>Revenue_Budget!N46*42%</f>
        <v>0</v>
      </c>
      <c r="O46" s="6">
        <f>Revenue_Budget!O46*42%</f>
        <v>0</v>
      </c>
      <c r="P46" s="6">
        <f>Revenue_Budget!P46*42%</f>
        <v>0</v>
      </c>
      <c r="Q46" s="6">
        <f>Revenue_Budget!Q46*42%</f>
        <v>0</v>
      </c>
      <c r="R46" s="6">
        <f>Revenue_Budget!R46*42%</f>
        <v>0</v>
      </c>
      <c r="S46" s="6">
        <f>Revenue_Budget!S46*42%</f>
        <v>0</v>
      </c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6">
        <f>Revenue_Budget!H47*42%</f>
        <v>0</v>
      </c>
      <c r="I47" s="6">
        <f>Revenue_Budget!I47*42%</f>
        <v>0</v>
      </c>
      <c r="J47" s="6">
        <f>Revenue_Budget!J47*42%</f>
        <v>0</v>
      </c>
      <c r="K47" s="6">
        <f>Revenue_Budget!K47*42%</f>
        <v>0</v>
      </c>
      <c r="L47" s="6">
        <f>Revenue_Budget!L47*42%</f>
        <v>0</v>
      </c>
      <c r="M47" s="6">
        <f>Revenue_Budget!M47*42%</f>
        <v>0</v>
      </c>
      <c r="N47" s="6">
        <f>Revenue_Budget!N47*42%</f>
        <v>0</v>
      </c>
      <c r="O47" s="6">
        <f>Revenue_Budget!O47*42%</f>
        <v>0</v>
      </c>
      <c r="P47" s="6">
        <f>Revenue_Budget!P47*42%</f>
        <v>0</v>
      </c>
      <c r="Q47" s="6">
        <f>Revenue_Budget!Q47*42%</f>
        <v>0</v>
      </c>
      <c r="R47" s="6">
        <f>Revenue_Budget!R47*42%</f>
        <v>0</v>
      </c>
      <c r="S47" s="6">
        <f>Revenue_Budget!S47*42%</f>
        <v>0</v>
      </c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6">
        <f>Revenue_Budget!H48*42%</f>
        <v>0</v>
      </c>
      <c r="I48" s="6">
        <f>Revenue_Budget!I48*42%</f>
        <v>0</v>
      </c>
      <c r="J48" s="6">
        <f>Revenue_Budget!J48*42%</f>
        <v>0</v>
      </c>
      <c r="K48" s="6">
        <f>Revenue_Budget!K48*42%</f>
        <v>0</v>
      </c>
      <c r="L48" s="6">
        <f>Revenue_Budget!L48*42%</f>
        <v>0</v>
      </c>
      <c r="M48" s="6">
        <f>Revenue_Budget!M48*42%</f>
        <v>0</v>
      </c>
      <c r="N48" s="6">
        <f>Revenue_Budget!N48*42%</f>
        <v>0</v>
      </c>
      <c r="O48" s="6">
        <f>Revenue_Budget!O48*42%</f>
        <v>0</v>
      </c>
      <c r="P48" s="6">
        <f>Revenue_Budget!P48*42%</f>
        <v>0</v>
      </c>
      <c r="Q48" s="6">
        <f>Revenue_Budget!Q48*42%</f>
        <v>0</v>
      </c>
      <c r="R48" s="6">
        <f>Revenue_Budget!R48*42%</f>
        <v>0</v>
      </c>
      <c r="S48" s="6">
        <f>Revenue_Budget!S48*42%</f>
        <v>0</v>
      </c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6">
        <f>Revenue_Budget!H49*42%</f>
        <v>47.25</v>
      </c>
      <c r="I49" s="6">
        <f>Revenue_Budget!I49*42%</f>
        <v>66.15</v>
      </c>
      <c r="J49" s="6">
        <f>Revenue_Budget!J49*42%</f>
        <v>75.6</v>
      </c>
      <c r="K49" s="6">
        <f>Revenue_Budget!K49*42%</f>
        <v>43.5225</v>
      </c>
      <c r="L49" s="6">
        <f>Revenue_Budget!L49*42%</f>
        <v>60.9315</v>
      </c>
      <c r="M49" s="6">
        <f>Revenue_Budget!M49*42%</f>
        <v>69.636</v>
      </c>
      <c r="N49" s="6">
        <f>Revenue_Budget!N49*42%</f>
        <v>37.3275</v>
      </c>
      <c r="O49" s="6">
        <f>Revenue_Budget!O49*42%</f>
        <v>52.2585</v>
      </c>
      <c r="P49" s="6">
        <f>Revenue_Budget!P49*42%</f>
        <v>59.724</v>
      </c>
      <c r="Q49" s="6">
        <f>Revenue_Budget!Q49*42%</f>
        <v>37.78215</v>
      </c>
      <c r="R49" s="6">
        <f>Revenue_Budget!R49*42%</f>
        <v>52.89501</v>
      </c>
      <c r="S49" s="6">
        <f>Revenue_Budget!S49*42%</f>
        <v>60.45144</v>
      </c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6">
        <f>Revenue_Budget!H50*42%</f>
        <v>5.25</v>
      </c>
      <c r="I50" s="6">
        <f>Revenue_Budget!I50*42%</f>
        <v>7.35</v>
      </c>
      <c r="J50" s="6">
        <f>Revenue_Budget!J50*42%</f>
        <v>8.4</v>
      </c>
      <c r="K50" s="6">
        <f>Revenue_Budget!K50*42%</f>
        <v>6.3</v>
      </c>
      <c r="L50" s="6">
        <f>Revenue_Budget!L50*42%</f>
        <v>8.82</v>
      </c>
      <c r="M50" s="6">
        <f>Revenue_Budget!M50*42%</f>
        <v>10.08</v>
      </c>
      <c r="N50" s="6">
        <f>Revenue_Budget!N50*42%</f>
        <v>5.88</v>
      </c>
      <c r="O50" s="6">
        <f>Revenue_Budget!O50*42%</f>
        <v>8.232</v>
      </c>
      <c r="P50" s="6">
        <f>Revenue_Budget!P50*42%</f>
        <v>9.408</v>
      </c>
      <c r="Q50" s="6">
        <f>Revenue_Budget!Q50*42%</f>
        <v>6.54465</v>
      </c>
      <c r="R50" s="6">
        <f>Revenue_Budget!R50*42%</f>
        <v>9.16251</v>
      </c>
      <c r="S50" s="6">
        <f>Revenue_Budget!S50*42%</f>
        <v>10.47144</v>
      </c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6">
        <f>Revenue_Budget!H51*42%</f>
        <v>2.73</v>
      </c>
      <c r="I51" s="6">
        <f>Revenue_Budget!I51*42%</f>
        <v>3.822</v>
      </c>
      <c r="J51" s="6">
        <f>Revenue_Budget!J51*42%</f>
        <v>4.368</v>
      </c>
      <c r="K51" s="6">
        <f>Revenue_Budget!K51*42%</f>
        <v>7.0875</v>
      </c>
      <c r="L51" s="6">
        <f>Revenue_Budget!L51*42%</f>
        <v>9.9225</v>
      </c>
      <c r="M51" s="6">
        <f>Revenue_Budget!M51*42%</f>
        <v>11.34</v>
      </c>
      <c r="N51" s="6">
        <f>Revenue_Budget!N51*42%</f>
        <v>4.9875</v>
      </c>
      <c r="O51" s="6">
        <f>Revenue_Budget!O51*42%</f>
        <v>6.9825</v>
      </c>
      <c r="P51" s="6">
        <f>Revenue_Budget!P51*42%</f>
        <v>7.98</v>
      </c>
      <c r="Q51" s="6">
        <f>Revenue_Budget!Q51*42%</f>
        <v>7.12215</v>
      </c>
      <c r="R51" s="6">
        <f>Revenue_Budget!R51*42%</f>
        <v>9.97101</v>
      </c>
      <c r="S51" s="6">
        <f>Revenue_Budget!S51*42%</f>
        <v>11.39544</v>
      </c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6">
        <f>Revenue_Budget!H52*42%</f>
        <v>36.54</v>
      </c>
      <c r="I52" s="6">
        <f>Revenue_Budget!I52*42%</f>
        <v>51.156</v>
      </c>
      <c r="J52" s="6">
        <f>Revenue_Budget!J52*42%</f>
        <v>58.464</v>
      </c>
      <c r="K52" s="6">
        <f>Revenue_Budget!K52*42%</f>
        <v>37.5375</v>
      </c>
      <c r="L52" s="6">
        <f>Revenue_Budget!L52*42%</f>
        <v>52.5525</v>
      </c>
      <c r="M52" s="6">
        <f>Revenue_Budget!M52*42%</f>
        <v>60.06</v>
      </c>
      <c r="N52" s="6">
        <f>Revenue_Budget!N52*42%</f>
        <v>34.3875</v>
      </c>
      <c r="O52" s="6">
        <f>Revenue_Budget!O52*42%</f>
        <v>48.1425</v>
      </c>
      <c r="P52" s="6">
        <f>Revenue_Budget!P52*42%</f>
        <v>55.02</v>
      </c>
      <c r="Q52" s="6">
        <f>Revenue_Budget!Q52*42%</f>
        <v>37.57215</v>
      </c>
      <c r="R52" s="6">
        <f>Revenue_Budget!R52*42%</f>
        <v>52.60101</v>
      </c>
      <c r="S52" s="6">
        <f>Revenue_Budget!S52*42%</f>
        <v>60.11544</v>
      </c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6">
        <f>Revenue_Budget!H53*42%</f>
        <v>2.52</v>
      </c>
      <c r="I53" s="6">
        <f>Revenue_Budget!I53*42%</f>
        <v>3.528</v>
      </c>
      <c r="J53" s="6">
        <f>Revenue_Budget!J53*42%</f>
        <v>4.032</v>
      </c>
      <c r="K53" s="6">
        <f>Revenue_Budget!K53*42%</f>
        <v>2.485</v>
      </c>
      <c r="L53" s="6">
        <f>Revenue_Budget!L53*42%</f>
        <v>3.479</v>
      </c>
      <c r="M53" s="6">
        <f>Revenue_Budget!M53*42%</f>
        <v>3.976</v>
      </c>
      <c r="N53" s="6">
        <f>Revenue_Budget!N53*42%</f>
        <v>2.485</v>
      </c>
      <c r="O53" s="6">
        <f>Revenue_Budget!O53*42%</f>
        <v>3.479</v>
      </c>
      <c r="P53" s="6">
        <f>Revenue_Budget!P53*42%</f>
        <v>3.976</v>
      </c>
      <c r="Q53" s="6">
        <f>Revenue_Budget!Q53*42%</f>
        <v>2.51965</v>
      </c>
      <c r="R53" s="6">
        <f>Revenue_Budget!R53*42%</f>
        <v>3.52751</v>
      </c>
      <c r="S53" s="6">
        <f>Revenue_Budget!S53*42%</f>
        <v>4.03144</v>
      </c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6">
        <f>Revenue_Budget!H54*42%</f>
        <v>1.05</v>
      </c>
      <c r="I54" s="6">
        <f>Revenue_Budget!I54*42%</f>
        <v>1.47</v>
      </c>
      <c r="J54" s="6">
        <f>Revenue_Budget!J54*42%</f>
        <v>1.68</v>
      </c>
      <c r="K54" s="6">
        <f>Revenue_Budget!K54*42%</f>
        <v>1.225</v>
      </c>
      <c r="L54" s="6">
        <f>Revenue_Budget!L54*42%</f>
        <v>1.715</v>
      </c>
      <c r="M54" s="6">
        <f>Revenue_Budget!M54*42%</f>
        <v>1.96</v>
      </c>
      <c r="N54" s="6">
        <f>Revenue_Budget!N54*42%</f>
        <v>1.225</v>
      </c>
      <c r="O54" s="6">
        <f>Revenue_Budget!O54*42%</f>
        <v>1.715</v>
      </c>
      <c r="P54" s="6">
        <f>Revenue_Budget!P54*42%</f>
        <v>1.96</v>
      </c>
      <c r="Q54" s="6">
        <f>Revenue_Budget!Q54*42%</f>
        <v>1.25965</v>
      </c>
      <c r="R54" s="6">
        <f>Revenue_Budget!R54*42%</f>
        <v>1.76351</v>
      </c>
      <c r="S54" s="6">
        <f>Revenue_Budget!S54*42%</f>
        <v>2.01544</v>
      </c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6">
        <f>Revenue_Budget!H55*42%</f>
        <v>1.575</v>
      </c>
      <c r="I55" s="6">
        <f>Revenue_Budget!I55*42%</f>
        <v>2.205</v>
      </c>
      <c r="J55" s="6">
        <f>Revenue_Budget!J55*42%</f>
        <v>2.52</v>
      </c>
      <c r="K55" s="6">
        <f>Revenue_Budget!K55*42%</f>
        <v>0</v>
      </c>
      <c r="L55" s="6">
        <f>Revenue_Budget!L55*42%</f>
        <v>0</v>
      </c>
      <c r="M55" s="6">
        <f>Revenue_Budget!M55*42%</f>
        <v>0</v>
      </c>
      <c r="N55" s="6">
        <f>Revenue_Budget!N55*42%</f>
        <v>0</v>
      </c>
      <c r="O55" s="6">
        <f>Revenue_Budget!O55*42%</f>
        <v>0</v>
      </c>
      <c r="P55" s="6">
        <f>Revenue_Budget!P55*42%</f>
        <v>0</v>
      </c>
      <c r="Q55" s="6">
        <f>Revenue_Budget!Q55*42%</f>
        <v>0</v>
      </c>
      <c r="R55" s="6">
        <f>Revenue_Budget!R55*42%</f>
        <v>0</v>
      </c>
      <c r="S55" s="6">
        <f>Revenue_Budget!S55*42%</f>
        <v>0</v>
      </c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6">
        <f>Revenue_Budget!H56*42%</f>
        <v>0</v>
      </c>
      <c r="I56" s="6">
        <f>Revenue_Budget!I56*42%</f>
        <v>0</v>
      </c>
      <c r="J56" s="6">
        <f>Revenue_Budget!J56*42%</f>
        <v>0</v>
      </c>
      <c r="K56" s="6">
        <f>Revenue_Budget!K56*42%</f>
        <v>0</v>
      </c>
      <c r="L56" s="6">
        <f>Revenue_Budget!L56*42%</f>
        <v>0</v>
      </c>
      <c r="M56" s="6">
        <f>Revenue_Budget!M56*42%</f>
        <v>0</v>
      </c>
      <c r="N56" s="6">
        <f>Revenue_Budget!N56*42%</f>
        <v>0</v>
      </c>
      <c r="O56" s="6">
        <f>Revenue_Budget!O56*42%</f>
        <v>0</v>
      </c>
      <c r="P56" s="6">
        <f>Revenue_Budget!P56*42%</f>
        <v>0</v>
      </c>
      <c r="Q56" s="6">
        <f>Revenue_Budget!Q56*42%</f>
        <v>0</v>
      </c>
      <c r="R56" s="6">
        <f>Revenue_Budget!R56*42%</f>
        <v>0</v>
      </c>
      <c r="S56" s="6">
        <f>Revenue_Budget!S56*42%</f>
        <v>0</v>
      </c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6">
        <f>Revenue_Budget!H57*42%</f>
        <v>5.25</v>
      </c>
      <c r="I57" s="6">
        <f>Revenue_Budget!I57*42%</f>
        <v>7.35</v>
      </c>
      <c r="J57" s="6">
        <f>Revenue_Budget!J57*42%</f>
        <v>8.4</v>
      </c>
      <c r="K57" s="6">
        <f>Revenue_Budget!K57*42%</f>
        <v>0</v>
      </c>
      <c r="L57" s="6">
        <f>Revenue_Budget!L57*42%</f>
        <v>0</v>
      </c>
      <c r="M57" s="6">
        <f>Revenue_Budget!M57*42%</f>
        <v>0</v>
      </c>
      <c r="N57" s="6">
        <f>Revenue_Budget!N57*42%</f>
        <v>0</v>
      </c>
      <c r="O57" s="6">
        <f>Revenue_Budget!O57*42%</f>
        <v>0</v>
      </c>
      <c r="P57" s="6">
        <f>Revenue_Budget!P57*42%</f>
        <v>0</v>
      </c>
      <c r="Q57" s="6">
        <f>Revenue_Budget!Q57*42%</f>
        <v>0</v>
      </c>
      <c r="R57" s="6">
        <f>Revenue_Budget!R57*42%</f>
        <v>0</v>
      </c>
      <c r="S57" s="6">
        <f>Revenue_Budget!S57*42%</f>
        <v>0</v>
      </c>
    </row>
    <row r="58" ht="14.25" customHeight="1">
      <c r="A58" s="5" t="s">
        <v>7</v>
      </c>
      <c r="B58" s="1" t="s">
        <v>64</v>
      </c>
      <c r="C58" s="1" t="str">
        <f>VLOOKUP(B58,Mapping!B:C,2,0)</f>
        <v>Lateral</v>
      </c>
      <c r="D58" s="1" t="str">
        <f>VLOOKUP(B58,Mapping!B:D,3,0)</f>
        <v>New Sales</v>
      </c>
      <c r="E58" s="1" t="str">
        <f>VLOOKUP(B58,Mapping!B:E,4,0)</f>
        <v>New Sales</v>
      </c>
      <c r="F58" s="1" t="str">
        <f>VLOOKUP(B58,Mapping!B:F,5,0)</f>
        <v>Nizar</v>
      </c>
      <c r="G58" s="6" t="str">
        <f>VLOOKUP(B58,Mapping!B:G,6,0)</f>
        <v>Nizar</v>
      </c>
      <c r="H58" s="6">
        <f>Revenue_Budget!H58*42%</f>
        <v>40.2884664</v>
      </c>
      <c r="I58" s="6">
        <f>Revenue_Budget!I58*42%</f>
        <v>56.40385296</v>
      </c>
      <c r="J58" s="6">
        <f>Revenue_Budget!J58*42%</f>
        <v>64.46154624</v>
      </c>
      <c r="K58" s="6">
        <f>Revenue_Budget!K58*42%</f>
        <v>80.5769328</v>
      </c>
      <c r="L58" s="6">
        <f>Revenue_Budget!L58*42%</f>
        <v>112.8077059</v>
      </c>
      <c r="M58" s="6">
        <f>Revenue_Budget!M58*42%</f>
        <v>128.9230925</v>
      </c>
      <c r="N58" s="6">
        <f>Revenue_Budget!N58*42%</f>
        <v>120.8653992</v>
      </c>
      <c r="O58" s="6">
        <f>Revenue_Budget!O58*42%</f>
        <v>169.2115589</v>
      </c>
      <c r="P58" s="6">
        <f>Revenue_Budget!P58*42%</f>
        <v>193.3846387</v>
      </c>
      <c r="Q58" s="6">
        <f>Revenue_Budget!Q58*42%</f>
        <v>161.1538656</v>
      </c>
      <c r="R58" s="6">
        <f>Revenue_Budget!R58*42%</f>
        <v>225.6154118</v>
      </c>
      <c r="S58" s="6">
        <f>Revenue_Budget!S58*42%</f>
        <v>257.846185</v>
      </c>
    </row>
    <row r="59" ht="14.25" customHeight="1">
      <c r="H59" s="7" t="s">
        <v>66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10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8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9">
        <v>0.9794837855724685</v>
      </c>
      <c r="I2" s="9">
        <v>0.9866666666666666</v>
      </c>
      <c r="J2" s="9">
        <v>1.128526645768025</v>
      </c>
      <c r="K2" s="9">
        <v>1.2770642201834863</v>
      </c>
      <c r="L2" s="9">
        <v>1.6457142857142855</v>
      </c>
      <c r="M2" s="9">
        <v>1.1889908256880735</v>
      </c>
      <c r="N2" s="9">
        <v>1.1889908256880735</v>
      </c>
      <c r="O2" s="9">
        <v>1.2274883720930232</v>
      </c>
      <c r="P2" s="9">
        <v>2.6448979591836737</v>
      </c>
      <c r="Q2" s="9">
        <v>1.6858536585365853</v>
      </c>
      <c r="R2" s="9">
        <v>1.565217391304348</v>
      </c>
      <c r="S2" s="9">
        <v>3.78</v>
      </c>
    </row>
    <row r="3" ht="14.25" customHeight="1">
      <c r="A3" s="5" t="s">
        <v>7</v>
      </c>
      <c r="B3" s="8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9">
        <v>1.3010204081632653</v>
      </c>
      <c r="I3" s="9">
        <v>1.6363636363636362</v>
      </c>
      <c r="J3" s="9">
        <v>1.4482758620689655</v>
      </c>
      <c r="K3" s="9">
        <v>1.5867768595041323</v>
      </c>
      <c r="L3" s="9">
        <v>1.7142857142857142</v>
      </c>
      <c r="M3" s="9">
        <v>2.7428571428571424</v>
      </c>
      <c r="N3" s="9">
        <v>1.3090909090909089</v>
      </c>
      <c r="O3" s="9">
        <v>1.5</v>
      </c>
      <c r="P3" s="9">
        <v>0.2222222222222222</v>
      </c>
      <c r="Q3" s="9">
        <v>1.904</v>
      </c>
      <c r="R3" s="9">
        <v>1.7999999999999998</v>
      </c>
      <c r="S3" s="9">
        <v>2.623733333333333</v>
      </c>
    </row>
    <row r="4" ht="14.25" customHeight="1">
      <c r="A4" s="5" t="s">
        <v>7</v>
      </c>
      <c r="B4" s="8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9">
        <v>0.8</v>
      </c>
      <c r="I4" s="9">
        <v>1.4000000000000001</v>
      </c>
      <c r="J4" s="9">
        <v>0.9099999999999999</v>
      </c>
      <c r="K4" s="9">
        <v>2.25</v>
      </c>
      <c r="L4" s="9">
        <v>1.14</v>
      </c>
      <c r="M4" s="9">
        <v>1.7999999999999998</v>
      </c>
      <c r="N4" s="9">
        <v>0.66</v>
      </c>
      <c r="O4" s="9">
        <v>1.88</v>
      </c>
      <c r="P4" s="9">
        <v>3.0399999999999996</v>
      </c>
      <c r="Q4" s="9">
        <v>1.369</v>
      </c>
      <c r="R4" s="9">
        <v>0.96</v>
      </c>
      <c r="S4" s="9">
        <v>0.248</v>
      </c>
    </row>
    <row r="5" ht="14.25" customHeight="1">
      <c r="A5" s="5" t="s">
        <v>7</v>
      </c>
      <c r="B5" s="8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9">
        <v>0.84</v>
      </c>
      <c r="I5" s="9">
        <v>2.28</v>
      </c>
      <c r="J5" s="9">
        <v>1.704</v>
      </c>
      <c r="K5" s="9">
        <v>0.49199999999999994</v>
      </c>
      <c r="L5" s="9">
        <v>2.4</v>
      </c>
      <c r="M5" s="9">
        <v>2.5079999999999996</v>
      </c>
      <c r="N5" s="9">
        <v>0.132</v>
      </c>
      <c r="O5" s="9">
        <v>1.8</v>
      </c>
      <c r="P5" s="9">
        <v>1.8</v>
      </c>
      <c r="Q5" s="9">
        <v>1.8</v>
      </c>
      <c r="R5" s="9">
        <v>1.8</v>
      </c>
      <c r="S5" s="9">
        <v>0.9119999999999996</v>
      </c>
    </row>
    <row r="6" ht="14.25" customHeight="1">
      <c r="A6" s="5" t="s">
        <v>7</v>
      </c>
      <c r="B6" s="8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9">
        <v>1.7585484996510818</v>
      </c>
      <c r="I6" s="9">
        <v>1.7999999999999998</v>
      </c>
      <c r="J6" s="9">
        <v>1.8544832</v>
      </c>
      <c r="K6" s="9">
        <v>1.4950819672131148</v>
      </c>
      <c r="L6" s="9">
        <v>1.8526315789473682</v>
      </c>
      <c r="M6" s="9">
        <v>1.7723076923076921</v>
      </c>
      <c r="N6" s="9">
        <v>1.28</v>
      </c>
      <c r="O6" s="9">
        <v>0.9085714285714286</v>
      </c>
      <c r="P6" s="9">
        <v>3.4285714285714284</v>
      </c>
      <c r="Q6" s="9">
        <v>1.8</v>
      </c>
      <c r="R6" s="9">
        <v>30.0</v>
      </c>
      <c r="S6" s="9">
        <v>1.8</v>
      </c>
    </row>
    <row r="7" ht="14.25" customHeight="1">
      <c r="A7" s="5" t="s">
        <v>7</v>
      </c>
      <c r="B7" s="8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9">
        <v>1.248</v>
      </c>
      <c r="I7" s="9">
        <v>-0.132</v>
      </c>
      <c r="J7" s="9">
        <v>1.2</v>
      </c>
      <c r="K7" s="9">
        <v>0.12</v>
      </c>
      <c r="L7" s="9">
        <v>1.8</v>
      </c>
      <c r="M7" s="9">
        <v>1.8</v>
      </c>
      <c r="N7" s="9">
        <v>1.8</v>
      </c>
      <c r="O7" s="9">
        <v>1.8</v>
      </c>
      <c r="P7" s="9">
        <v>1.8</v>
      </c>
      <c r="Q7" s="9">
        <v>1.8</v>
      </c>
      <c r="R7" s="9">
        <v>1.8</v>
      </c>
      <c r="S7" s="9">
        <v>1.8</v>
      </c>
    </row>
    <row r="8" ht="14.25" customHeight="1">
      <c r="A8" s="5" t="s">
        <v>7</v>
      </c>
      <c r="B8" s="8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9">
        <v>1.8</v>
      </c>
      <c r="I8" s="9">
        <v>1.8</v>
      </c>
      <c r="J8" s="9">
        <v>1.8</v>
      </c>
      <c r="K8" s="9">
        <v>1.8</v>
      </c>
      <c r="L8" s="9">
        <v>1.8</v>
      </c>
      <c r="M8" s="9">
        <v>1.8</v>
      </c>
      <c r="N8" s="9">
        <v>1.8</v>
      </c>
      <c r="O8" s="9">
        <v>1.8</v>
      </c>
      <c r="P8" s="9">
        <v>1.8</v>
      </c>
      <c r="Q8" s="9">
        <v>1.8</v>
      </c>
      <c r="R8" s="9">
        <v>1.8</v>
      </c>
      <c r="S8" s="9">
        <v>1.8</v>
      </c>
    </row>
    <row r="9" ht="14.25" customHeight="1">
      <c r="A9" s="5" t="s">
        <v>7</v>
      </c>
      <c r="B9" s="8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9">
        <v>0.9984</v>
      </c>
      <c r="I9" s="9">
        <v>4.919999999999999</v>
      </c>
      <c r="J9" s="9">
        <v>2.4888000000000003</v>
      </c>
      <c r="K9" s="9">
        <v>2.857142857142857</v>
      </c>
      <c r="L9" s="9">
        <v>3.2</v>
      </c>
      <c r="M9" s="9">
        <v>3.2</v>
      </c>
      <c r="N9" s="9">
        <v>1.6340425531914893</v>
      </c>
      <c r="O9" s="9">
        <v>2.5008</v>
      </c>
      <c r="P9" s="9">
        <v>1.25</v>
      </c>
      <c r="Q9" s="9">
        <v>1.6236</v>
      </c>
      <c r="R9" s="9">
        <v>1.5</v>
      </c>
      <c r="S9" s="9">
        <v>1.3935483870967742</v>
      </c>
    </row>
    <row r="10" ht="14.25" customHeight="1">
      <c r="A10" s="5" t="s">
        <v>7</v>
      </c>
      <c r="B10" s="8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9">
        <v>1.8</v>
      </c>
      <c r="I10" s="9">
        <v>1.8</v>
      </c>
      <c r="J10" s="9">
        <v>1.8</v>
      </c>
      <c r="K10" s="9">
        <v>1.8</v>
      </c>
      <c r="L10" s="9">
        <v>1.8</v>
      </c>
      <c r="M10" s="9">
        <v>1.8</v>
      </c>
      <c r="N10" s="9">
        <v>1.8</v>
      </c>
      <c r="O10" s="9">
        <v>0.72</v>
      </c>
      <c r="P10" s="9">
        <v>1.8</v>
      </c>
      <c r="Q10" s="9">
        <v>1.32</v>
      </c>
      <c r="R10" s="9">
        <v>0.6</v>
      </c>
      <c r="S10" s="9">
        <v>1.9999999999999998</v>
      </c>
    </row>
    <row r="11" ht="14.25" customHeight="1">
      <c r="A11" s="5" t="s">
        <v>7</v>
      </c>
      <c r="B11" s="8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9">
        <v>2.425263157894737</v>
      </c>
      <c r="I11" s="9">
        <v>2.3428571428571425</v>
      </c>
      <c r="J11" s="9">
        <v>1.874325913043478</v>
      </c>
      <c r="K11" s="9">
        <v>1.2</v>
      </c>
      <c r="L11" s="9">
        <v>1.6363636363636362</v>
      </c>
      <c r="M11" s="9">
        <v>2.0727272727272728</v>
      </c>
      <c r="N11" s="9">
        <v>1.84</v>
      </c>
      <c r="O11" s="9">
        <v>2.733333333333333</v>
      </c>
      <c r="P11" s="9">
        <v>1.8666666666666667</v>
      </c>
      <c r="Q11" s="9">
        <v>3.4666666666666663</v>
      </c>
      <c r="R11" s="9">
        <v>1.9999999999999998</v>
      </c>
      <c r="S11" s="9">
        <v>1.7466666666666668</v>
      </c>
    </row>
    <row r="12" ht="14.25" customHeight="1">
      <c r="A12" s="5" t="s">
        <v>7</v>
      </c>
      <c r="B12" s="8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9">
        <v>1.263157894736842</v>
      </c>
      <c r="I12" s="9">
        <v>1.7999999999999998</v>
      </c>
      <c r="J12" s="9">
        <v>2.52</v>
      </c>
      <c r="K12" s="9">
        <v>1.56</v>
      </c>
      <c r="L12" s="9">
        <v>2.0666666666666664</v>
      </c>
      <c r="M12" s="9">
        <v>3.0</v>
      </c>
      <c r="N12" s="9">
        <v>1.7999999999999998</v>
      </c>
      <c r="O12" s="9">
        <v>1.425</v>
      </c>
      <c r="P12" s="9">
        <v>2.4</v>
      </c>
      <c r="Q12" s="9">
        <v>1.975611</v>
      </c>
      <c r="R12" s="9">
        <v>1.236</v>
      </c>
      <c r="S12" s="9">
        <v>4.014</v>
      </c>
    </row>
    <row r="13" ht="14.25" customHeight="1">
      <c r="A13" s="5" t="s">
        <v>7</v>
      </c>
      <c r="B13" s="8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9">
        <v>6.0</v>
      </c>
      <c r="I13" s="9">
        <v>0.438</v>
      </c>
      <c r="J13" s="9">
        <v>4.11</v>
      </c>
      <c r="K13" s="9">
        <v>0.7453416149068323</v>
      </c>
      <c r="L13" s="9">
        <v>0.6153846153846153</v>
      </c>
      <c r="M13" s="9">
        <v>0.31840796019900497</v>
      </c>
      <c r="N13" s="9">
        <v>1.0344827586206897</v>
      </c>
      <c r="O13" s="9">
        <v>1.006896551724138</v>
      </c>
      <c r="P13" s="9">
        <v>0.9733333333333333</v>
      </c>
      <c r="Q13" s="9">
        <v>0.6784810126582278</v>
      </c>
      <c r="R13" s="9">
        <v>0.5172413793103449</v>
      </c>
      <c r="S13" s="9">
        <v>1.9901714285714285</v>
      </c>
    </row>
    <row r="14" ht="14.25" customHeight="1">
      <c r="A14" s="5" t="s">
        <v>7</v>
      </c>
      <c r="B14" s="8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9">
        <v>1.8</v>
      </c>
      <c r="I14" s="9">
        <v>1.8</v>
      </c>
      <c r="J14" s="9">
        <v>1.8</v>
      </c>
      <c r="K14" s="9">
        <v>1.8</v>
      </c>
      <c r="L14" s="9">
        <v>1.8</v>
      </c>
      <c r="M14" s="9">
        <v>1.8</v>
      </c>
      <c r="N14" s="9">
        <v>1.8</v>
      </c>
      <c r="O14" s="9">
        <v>1.8</v>
      </c>
      <c r="P14" s="9">
        <v>1.8</v>
      </c>
      <c r="Q14" s="9">
        <v>1.8</v>
      </c>
      <c r="R14" s="9">
        <v>1.8</v>
      </c>
      <c r="S14" s="9">
        <v>3.168</v>
      </c>
    </row>
    <row r="15" ht="14.25" customHeight="1">
      <c r="A15" s="5" t="s">
        <v>7</v>
      </c>
      <c r="B15" s="8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9">
        <v>1.8</v>
      </c>
      <c r="I15" s="9">
        <v>1.8</v>
      </c>
      <c r="J15" s="9">
        <v>1.8</v>
      </c>
      <c r="K15" s="9">
        <v>1.8</v>
      </c>
      <c r="L15" s="9">
        <v>1.8</v>
      </c>
      <c r="M15" s="9">
        <v>1.8</v>
      </c>
      <c r="N15" s="9">
        <v>1.8</v>
      </c>
      <c r="O15" s="9">
        <v>3.5999999999999996</v>
      </c>
      <c r="P15" s="9">
        <v>0.8999999999999999</v>
      </c>
      <c r="Q15" s="9">
        <v>1.7999999999999998</v>
      </c>
      <c r="R15" s="9">
        <v>6.0</v>
      </c>
      <c r="S15" s="9">
        <v>0.6299999999999996</v>
      </c>
    </row>
    <row r="16" ht="14.25" customHeight="1">
      <c r="A16" s="5" t="s">
        <v>7</v>
      </c>
      <c r="B16" s="8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9">
        <v>1.8</v>
      </c>
      <c r="I16" s="9">
        <v>1.8</v>
      </c>
      <c r="J16" s="9">
        <v>1.8</v>
      </c>
      <c r="K16" s="9">
        <v>1.8</v>
      </c>
      <c r="L16" s="9">
        <v>1.8</v>
      </c>
      <c r="M16" s="9">
        <v>1.8</v>
      </c>
      <c r="N16" s="9">
        <v>1.8</v>
      </c>
      <c r="O16" s="9">
        <v>1.8</v>
      </c>
      <c r="P16" s="9">
        <v>1.8</v>
      </c>
      <c r="Q16" s="9">
        <v>1.8</v>
      </c>
      <c r="R16" s="9">
        <v>1.8</v>
      </c>
      <c r="S16" s="9">
        <v>0.8999999999999999</v>
      </c>
    </row>
    <row r="17" ht="14.25" customHeight="1">
      <c r="A17" s="5" t="s">
        <v>7</v>
      </c>
      <c r="B17" s="8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9">
        <v>1.5154285714285713</v>
      </c>
      <c r="I17" s="9">
        <v>1.8857142857142857</v>
      </c>
      <c r="J17" s="9">
        <v>1.8745714285714283</v>
      </c>
      <c r="K17" s="9">
        <v>2.0940000000000003</v>
      </c>
      <c r="L17" s="9">
        <v>1.6999999999999997</v>
      </c>
      <c r="M17" s="9">
        <v>1.5428571428571427</v>
      </c>
      <c r="N17" s="9">
        <v>2.8000000000000003</v>
      </c>
      <c r="O17" s="9">
        <v>2.2507979999999996</v>
      </c>
      <c r="P17" s="9">
        <v>1.182</v>
      </c>
      <c r="Q17" s="9">
        <v>2.50425</v>
      </c>
      <c r="R17" s="9">
        <v>2.7199999999999998</v>
      </c>
      <c r="S17" s="9">
        <v>0.8220000000000002</v>
      </c>
    </row>
    <row r="18" ht="14.25" customHeight="1">
      <c r="A18" s="5" t="s">
        <v>7</v>
      </c>
      <c r="B18" s="8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9">
        <v>0.726</v>
      </c>
      <c r="I18" s="9">
        <v>0.186</v>
      </c>
      <c r="J18" s="9">
        <v>1.8</v>
      </c>
      <c r="K18" s="9">
        <v>1.8</v>
      </c>
      <c r="L18" s="9">
        <v>1.8</v>
      </c>
      <c r="M18" s="9">
        <v>1.8</v>
      </c>
      <c r="N18" s="9">
        <v>1.8</v>
      </c>
      <c r="O18" s="9">
        <v>1.8</v>
      </c>
      <c r="P18" s="9">
        <v>1.8</v>
      </c>
      <c r="Q18" s="9">
        <v>1.8</v>
      </c>
      <c r="R18" s="9">
        <v>1.8</v>
      </c>
      <c r="S18" s="9">
        <v>1.8</v>
      </c>
    </row>
    <row r="19" ht="14.25" customHeight="1">
      <c r="A19" s="5" t="s">
        <v>7</v>
      </c>
      <c r="B19" s="8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9">
        <v>1.2</v>
      </c>
      <c r="I19" s="9">
        <v>1.2299999999999998</v>
      </c>
      <c r="J19" s="9">
        <v>1.6363636363636362</v>
      </c>
      <c r="K19" s="9">
        <v>1.4697247706422019</v>
      </c>
      <c r="L19" s="9">
        <v>1.32</v>
      </c>
      <c r="M19" s="9">
        <v>1.25</v>
      </c>
      <c r="N19" s="9">
        <v>1.0153846153846153</v>
      </c>
      <c r="O19" s="9">
        <v>1.02</v>
      </c>
      <c r="P19" s="9">
        <v>1.44</v>
      </c>
      <c r="Q19" s="9">
        <v>1.038</v>
      </c>
      <c r="R19" s="9">
        <v>0.4800000000000001</v>
      </c>
      <c r="S19" s="9">
        <v>-0.44727272727272716</v>
      </c>
    </row>
    <row r="20" ht="14.25" customHeight="1">
      <c r="A20" s="5" t="s">
        <v>7</v>
      </c>
      <c r="B20" s="8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9">
        <v>1.2972972972972974</v>
      </c>
      <c r="I20" s="9">
        <v>1.65</v>
      </c>
      <c r="J20" s="9">
        <v>1.7249999999999999</v>
      </c>
      <c r="K20" s="9">
        <v>1.8075</v>
      </c>
      <c r="L20" s="9">
        <v>1.90875</v>
      </c>
      <c r="M20" s="9">
        <v>1.90875</v>
      </c>
      <c r="N20" s="9">
        <v>1.3499999999999999</v>
      </c>
      <c r="O20" s="9">
        <v>1.090909090909091</v>
      </c>
      <c r="P20" s="9">
        <v>0.96</v>
      </c>
      <c r="Q20" s="9">
        <v>1.6889999999999998</v>
      </c>
      <c r="R20" s="9">
        <v>1.5</v>
      </c>
      <c r="S20" s="9">
        <v>2.3085</v>
      </c>
    </row>
    <row r="21" ht="14.25" customHeight="1">
      <c r="A21" s="5" t="s">
        <v>7</v>
      </c>
      <c r="B21" s="8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9">
        <v>1.3333333333333333</v>
      </c>
      <c r="I21" s="9">
        <v>1.8413793103448273</v>
      </c>
      <c r="J21" s="9">
        <v>2.0607210626185957</v>
      </c>
      <c r="K21" s="9">
        <v>1.867704280155642</v>
      </c>
      <c r="L21" s="9">
        <v>2.057142857142857</v>
      </c>
      <c r="M21" s="9">
        <v>2.467924528301887</v>
      </c>
      <c r="N21" s="9">
        <v>2.2153846153846155</v>
      </c>
      <c r="O21" s="9">
        <v>2.64</v>
      </c>
      <c r="P21" s="9">
        <v>1.9961538461538462</v>
      </c>
      <c r="Q21" s="9">
        <v>2.13622641509434</v>
      </c>
      <c r="R21" s="9">
        <v>2.2</v>
      </c>
      <c r="S21" s="9">
        <v>1.5716814159292036</v>
      </c>
    </row>
    <row r="22" ht="14.25" customHeight="1">
      <c r="A22" s="5" t="s">
        <v>7</v>
      </c>
      <c r="B22" s="8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9">
        <v>1.5692307692307692</v>
      </c>
      <c r="I22" s="9">
        <v>2.1</v>
      </c>
      <c r="J22" s="9">
        <v>1.5272727272727271</v>
      </c>
      <c r="K22" s="9">
        <v>1.3090909090909089</v>
      </c>
      <c r="L22" s="9">
        <v>1.6363636363636362</v>
      </c>
      <c r="M22" s="9">
        <v>2.0727272727272728</v>
      </c>
      <c r="N22" s="9">
        <v>1.2</v>
      </c>
      <c r="O22" s="9">
        <v>1.2</v>
      </c>
      <c r="P22" s="9">
        <v>1.418181818181818</v>
      </c>
      <c r="Q22" s="9">
        <v>1.1527391999999999</v>
      </c>
      <c r="R22" s="9">
        <v>0.6526666666666666</v>
      </c>
      <c r="S22" s="9">
        <v>0.36133333333333345</v>
      </c>
    </row>
    <row r="23" ht="14.25" customHeight="1">
      <c r="A23" s="5" t="s">
        <v>7</v>
      </c>
      <c r="B23" s="8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9">
        <v>0.9818181818181818</v>
      </c>
      <c r="I23" s="9">
        <v>1.1636363636363636</v>
      </c>
      <c r="J23" s="9">
        <v>1.4190257879656163</v>
      </c>
      <c r="K23" s="9">
        <v>1.6814159292035395</v>
      </c>
      <c r="L23" s="9">
        <v>1.6</v>
      </c>
      <c r="M23" s="9">
        <v>1.5804878048780489</v>
      </c>
      <c r="N23" s="9">
        <v>0.75</v>
      </c>
      <c r="O23" s="9">
        <v>1.337625</v>
      </c>
      <c r="P23" s="9">
        <v>3.0784285714285717</v>
      </c>
      <c r="Q23" s="9">
        <v>0.9552</v>
      </c>
      <c r="R23" s="9">
        <v>1.4666666666666666</v>
      </c>
      <c r="S23" s="9">
        <v>-2.68</v>
      </c>
    </row>
    <row r="24" ht="14.25" customHeight="1">
      <c r="A24" s="5" t="s">
        <v>7</v>
      </c>
      <c r="B24" s="8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9">
        <v>0.39069767441860465</v>
      </c>
      <c r="I24" s="9">
        <v>0.46199999999999997</v>
      </c>
      <c r="J24" s="9">
        <v>0.5233187368421053</v>
      </c>
      <c r="K24" s="9">
        <v>0.5333333333333333</v>
      </c>
      <c r="L24" s="9">
        <v>0.516</v>
      </c>
      <c r="M24" s="9">
        <v>0.6</v>
      </c>
      <c r="N24" s="9">
        <v>0.08275862068965517</v>
      </c>
      <c r="O24" s="9">
        <v>0.16</v>
      </c>
      <c r="P24" s="9">
        <v>0.5172413793103449</v>
      </c>
      <c r="Q24" s="9">
        <v>0.3176470588235294</v>
      </c>
      <c r="R24" s="9">
        <v>0.47727272727272724</v>
      </c>
      <c r="S24" s="9">
        <v>-0.5004</v>
      </c>
    </row>
    <row r="25" ht="14.25" customHeight="1">
      <c r="A25" s="5" t="s">
        <v>7</v>
      </c>
      <c r="B25" s="8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9">
        <v>0.8999999999999999</v>
      </c>
      <c r="I25" s="9">
        <v>2.1</v>
      </c>
      <c r="J25" s="9">
        <v>0.49135135135135133</v>
      </c>
      <c r="K25" s="9">
        <v>1.976470588235294</v>
      </c>
      <c r="L25" s="9">
        <v>1.8</v>
      </c>
      <c r="M25" s="9">
        <v>1.8</v>
      </c>
      <c r="N25" s="9">
        <v>1.8</v>
      </c>
      <c r="O25" s="9">
        <v>1.8</v>
      </c>
      <c r="P25" s="9">
        <v>1.8</v>
      </c>
      <c r="Q25" s="9">
        <v>1.8</v>
      </c>
      <c r="R25" s="9">
        <v>1.8</v>
      </c>
      <c r="S25" s="9">
        <v>1.8</v>
      </c>
    </row>
    <row r="26" ht="14.25" customHeight="1">
      <c r="A26" s="5" t="s">
        <v>7</v>
      </c>
      <c r="B26" s="8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9">
        <v>0.504</v>
      </c>
      <c r="I26" s="9">
        <v>1.248</v>
      </c>
      <c r="J26" s="9">
        <v>1.8</v>
      </c>
      <c r="K26" s="9">
        <v>0.864</v>
      </c>
      <c r="L26" s="9">
        <v>2.88</v>
      </c>
      <c r="M26" s="9">
        <v>1.8</v>
      </c>
      <c r="N26" s="9">
        <v>1.68</v>
      </c>
      <c r="O26" s="9">
        <v>1.8</v>
      </c>
      <c r="P26" s="9">
        <v>1.8</v>
      </c>
      <c r="Q26" s="9">
        <v>1.8</v>
      </c>
      <c r="R26" s="9">
        <v>1.8</v>
      </c>
      <c r="S26" s="9">
        <v>1.8</v>
      </c>
    </row>
    <row r="27" ht="14.25" customHeight="1">
      <c r="A27" s="5" t="s">
        <v>7</v>
      </c>
      <c r="B27" s="8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9">
        <v>1.8</v>
      </c>
      <c r="I27" s="9">
        <v>1.8</v>
      </c>
      <c r="J27" s="9">
        <v>1.14</v>
      </c>
      <c r="K27" s="9">
        <v>0.5625</v>
      </c>
      <c r="L27" s="9">
        <v>0.8</v>
      </c>
      <c r="M27" s="9">
        <v>0.825</v>
      </c>
      <c r="N27" s="9">
        <v>1.090909090909091</v>
      </c>
      <c r="O27" s="9">
        <v>1.2</v>
      </c>
      <c r="P27" s="9">
        <v>1.2</v>
      </c>
      <c r="Q27" s="9">
        <v>1.5708933333333333</v>
      </c>
      <c r="R27" s="9">
        <v>1.2152</v>
      </c>
      <c r="S27" s="9">
        <v>3.025714285714285</v>
      </c>
    </row>
    <row r="28" ht="14.25" customHeight="1">
      <c r="A28" s="5" t="s">
        <v>7</v>
      </c>
      <c r="B28" s="8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9">
        <v>1.8</v>
      </c>
      <c r="I28" s="9">
        <v>1.8</v>
      </c>
      <c r="J28" s="9">
        <v>0.24</v>
      </c>
      <c r="K28" s="9">
        <v>0.852</v>
      </c>
      <c r="L28" s="9">
        <v>0.426</v>
      </c>
      <c r="M28" s="9">
        <v>0.4</v>
      </c>
      <c r="N28" s="9">
        <v>0.6</v>
      </c>
      <c r="O28" s="9">
        <v>3.5999999999999996</v>
      </c>
      <c r="P28" s="9">
        <v>1.8</v>
      </c>
      <c r="Q28" s="9">
        <v>1.8</v>
      </c>
      <c r="R28" s="9">
        <v>1.8</v>
      </c>
      <c r="S28" s="9">
        <v>-1.0284</v>
      </c>
    </row>
    <row r="29" ht="14.25" customHeight="1">
      <c r="A29" s="5" t="s">
        <v>7</v>
      </c>
      <c r="B29" s="8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9">
        <v>1.8</v>
      </c>
      <c r="I29" s="9">
        <v>3.0</v>
      </c>
      <c r="J29" s="9">
        <v>1.362162162162162</v>
      </c>
      <c r="K29" s="9">
        <v>0.9299999999999999</v>
      </c>
      <c r="L29" s="9">
        <v>1.2</v>
      </c>
      <c r="M29" s="9">
        <v>2.6999999999999997</v>
      </c>
      <c r="N29" s="9">
        <v>0.75</v>
      </c>
      <c r="O29" s="9">
        <v>0.9999999999999999</v>
      </c>
      <c r="P29" s="9">
        <v>1.2</v>
      </c>
      <c r="Q29" s="9">
        <v>3.4167359999999998</v>
      </c>
      <c r="R29" s="9">
        <v>1.2668571428571427</v>
      </c>
      <c r="S29" s="9">
        <v>0.3822857142857145</v>
      </c>
    </row>
    <row r="30" ht="14.25" customHeight="1">
      <c r="A30" s="5" t="s">
        <v>7</v>
      </c>
      <c r="B30" s="8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9">
        <v>1.8</v>
      </c>
      <c r="I30" s="9">
        <v>1.8</v>
      </c>
      <c r="J30" s="9">
        <v>1.8</v>
      </c>
      <c r="K30" s="9">
        <v>1.8</v>
      </c>
      <c r="L30" s="9">
        <v>1.8</v>
      </c>
      <c r="M30" s="9">
        <v>6.0</v>
      </c>
      <c r="N30" s="9">
        <v>1.9999999999999998</v>
      </c>
      <c r="O30" s="9">
        <v>1.1786399999999997</v>
      </c>
      <c r="P30" s="9">
        <v>2.4</v>
      </c>
      <c r="Q30" s="9">
        <v>1.9344000000000001</v>
      </c>
      <c r="R30" s="9">
        <v>1.4136</v>
      </c>
      <c r="S30" s="9">
        <v>1.1952</v>
      </c>
    </row>
    <row r="31" ht="14.25" customHeight="1">
      <c r="A31" s="5" t="s">
        <v>7</v>
      </c>
      <c r="B31" s="8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9">
        <v>1.8</v>
      </c>
      <c r="I31" s="9">
        <v>1.8</v>
      </c>
      <c r="J31" s="9">
        <v>1.8</v>
      </c>
      <c r="K31" s="9">
        <v>1.8</v>
      </c>
      <c r="L31" s="9">
        <v>1.8</v>
      </c>
      <c r="M31" s="9">
        <v>1.8</v>
      </c>
      <c r="N31" s="9">
        <v>1.8</v>
      </c>
      <c r="O31" s="9">
        <v>0.9035294117647058</v>
      </c>
      <c r="P31" s="9">
        <v>0.6063157894736843</v>
      </c>
      <c r="Q31" s="9">
        <v>0.46153846153846156</v>
      </c>
      <c r="R31" s="9">
        <v>1.308411214953271</v>
      </c>
      <c r="S31" s="9">
        <v>6.591044776119403</v>
      </c>
    </row>
    <row r="32" ht="14.25" customHeight="1">
      <c r="A32" s="5" t="s">
        <v>7</v>
      </c>
      <c r="B32" s="8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9">
        <v>1.8</v>
      </c>
      <c r="I32" s="9">
        <v>1.8</v>
      </c>
      <c r="J32" s="9">
        <v>1.8</v>
      </c>
      <c r="K32" s="9">
        <v>1.8</v>
      </c>
      <c r="L32" s="9">
        <v>1.8</v>
      </c>
      <c r="M32" s="9">
        <v>1.8</v>
      </c>
      <c r="N32" s="9">
        <v>1.8</v>
      </c>
      <c r="O32" s="9">
        <v>1.8</v>
      </c>
      <c r="P32" s="9">
        <v>1.8</v>
      </c>
      <c r="Q32" s="9">
        <v>0.6</v>
      </c>
      <c r="R32" s="9">
        <v>0.4</v>
      </c>
      <c r="S32" s="9">
        <v>0.7885714285714286</v>
      </c>
    </row>
    <row r="33" ht="14.25" customHeight="1">
      <c r="A33" s="5" t="s">
        <v>7</v>
      </c>
      <c r="B33" s="8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9">
        <v>1.3104925053533187</v>
      </c>
      <c r="I33" s="9">
        <v>1.3043478260869563</v>
      </c>
      <c r="J33" s="9">
        <v>2.181818181818182</v>
      </c>
      <c r="K33" s="9">
        <v>2.0769230769230766</v>
      </c>
      <c r="L33" s="9">
        <v>2.191304347826087</v>
      </c>
      <c r="M33" s="9">
        <v>1.9714285714285713</v>
      </c>
      <c r="N33" s="9">
        <v>1.4666666666666666</v>
      </c>
      <c r="O33" s="9">
        <v>1.6</v>
      </c>
      <c r="P33" s="9">
        <v>2.057142857142857</v>
      </c>
      <c r="Q33" s="9">
        <v>2.8000000000000003</v>
      </c>
      <c r="R33" s="9">
        <v>2.4</v>
      </c>
      <c r="S33" s="9">
        <v>2.057142857142857</v>
      </c>
    </row>
    <row r="34" ht="14.25" customHeight="1">
      <c r="A34" s="5" t="s">
        <v>7</v>
      </c>
      <c r="B34" s="8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9">
        <v>1.8</v>
      </c>
      <c r="I34" s="9">
        <v>5.6000000000000005</v>
      </c>
      <c r="J34" s="9">
        <v>0.8999999999999999</v>
      </c>
      <c r="K34" s="9">
        <v>0.64</v>
      </c>
      <c r="L34" s="9">
        <v>0.96</v>
      </c>
      <c r="M34" s="9">
        <v>1.8</v>
      </c>
      <c r="N34" s="9">
        <v>1.8</v>
      </c>
      <c r="O34" s="9">
        <v>1.8</v>
      </c>
      <c r="P34" s="9">
        <v>1.8</v>
      </c>
      <c r="Q34" s="9">
        <v>1.8</v>
      </c>
      <c r="R34" s="9">
        <v>1.8</v>
      </c>
      <c r="S34" s="9">
        <v>1.8</v>
      </c>
    </row>
    <row r="35" ht="14.25" customHeight="1">
      <c r="A35" s="5" t="s">
        <v>7</v>
      </c>
      <c r="B35" s="8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9">
        <v>3.2432432432432425</v>
      </c>
      <c r="I35" s="9">
        <v>3.9999999999999996</v>
      </c>
      <c r="J35" s="9">
        <v>3.0716</v>
      </c>
      <c r="K35" s="9">
        <v>3.9999999999999996</v>
      </c>
      <c r="L35" s="9">
        <v>3.3999999999999995</v>
      </c>
      <c r="M35" s="9">
        <v>1.7999999999999998</v>
      </c>
      <c r="N35" s="9">
        <v>2.4</v>
      </c>
      <c r="O35" s="9">
        <v>1.76</v>
      </c>
      <c r="P35" s="9">
        <v>1.9999999999999998</v>
      </c>
      <c r="Q35" s="9">
        <v>0.48</v>
      </c>
      <c r="R35" s="9">
        <v>0.704</v>
      </c>
      <c r="S35" s="9">
        <v>1.6</v>
      </c>
    </row>
    <row r="36" ht="14.25" customHeight="1">
      <c r="A36" s="5" t="s">
        <v>7</v>
      </c>
      <c r="B36" s="8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9">
        <v>0.2</v>
      </c>
      <c r="I36" s="9">
        <v>1.4000000000000001</v>
      </c>
      <c r="J36" s="9">
        <v>0.096</v>
      </c>
      <c r="K36" s="9">
        <v>0.4</v>
      </c>
      <c r="L36" s="9">
        <v>1.8</v>
      </c>
      <c r="M36" s="9">
        <v>1.8</v>
      </c>
      <c r="N36" s="9">
        <v>1.8</v>
      </c>
      <c r="O36" s="9">
        <v>1.8</v>
      </c>
      <c r="P36" s="9">
        <v>1.8</v>
      </c>
      <c r="Q36" s="9">
        <v>1.8</v>
      </c>
      <c r="R36" s="9">
        <v>1.8</v>
      </c>
      <c r="S36" s="9">
        <v>1.8</v>
      </c>
    </row>
    <row r="37" ht="14.25" customHeight="1">
      <c r="A37" s="5" t="s">
        <v>7</v>
      </c>
      <c r="B37" s="8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9">
        <v>1.8</v>
      </c>
      <c r="I37" s="9">
        <v>0.6</v>
      </c>
      <c r="J37" s="9">
        <v>0.13333333333333333</v>
      </c>
      <c r="K37" s="9">
        <v>1.5428571428571427</v>
      </c>
      <c r="L37" s="9">
        <v>1.7142857142857142</v>
      </c>
      <c r="M37" s="9">
        <v>1.7999999999999998</v>
      </c>
      <c r="N37" s="9">
        <v>1.2</v>
      </c>
      <c r="O37" s="9">
        <v>2.25</v>
      </c>
      <c r="P37" s="9">
        <v>2.25</v>
      </c>
      <c r="Q37" s="9">
        <v>2.3249999999999997</v>
      </c>
      <c r="R37" s="9">
        <v>1.2</v>
      </c>
      <c r="S37" s="9">
        <v>2.2</v>
      </c>
    </row>
    <row r="38" ht="14.25" customHeight="1">
      <c r="A38" s="5" t="s">
        <v>7</v>
      </c>
      <c r="B38" s="8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9">
        <v>1.8</v>
      </c>
      <c r="I38" s="9">
        <v>4.8</v>
      </c>
      <c r="J38" s="9">
        <v>0.4</v>
      </c>
      <c r="K38" s="9">
        <v>0.2</v>
      </c>
      <c r="L38" s="9">
        <v>1.8</v>
      </c>
      <c r="M38" s="9">
        <v>1.8</v>
      </c>
      <c r="N38" s="9">
        <v>1.8</v>
      </c>
      <c r="O38" s="9">
        <v>1.8</v>
      </c>
      <c r="P38" s="9">
        <v>1.8</v>
      </c>
      <c r="Q38" s="9">
        <v>1.8</v>
      </c>
      <c r="R38" s="9">
        <v>1.8</v>
      </c>
      <c r="S38" s="9">
        <v>1.8</v>
      </c>
    </row>
    <row r="39" ht="14.25" customHeight="1">
      <c r="A39" s="5" t="s">
        <v>7</v>
      </c>
      <c r="B39" s="8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9">
        <v>1.8999999999999995</v>
      </c>
      <c r="I39" s="9">
        <v>2.5</v>
      </c>
      <c r="J39" s="9">
        <v>2.5</v>
      </c>
      <c r="K39" s="9">
        <v>1.7999999999999998</v>
      </c>
      <c r="L39" s="9">
        <v>1.26</v>
      </c>
      <c r="M39" s="9">
        <v>1.7999999999999998</v>
      </c>
      <c r="N39" s="9">
        <v>1.7999999999999998</v>
      </c>
      <c r="O39" s="9">
        <v>4.215864</v>
      </c>
      <c r="P39" s="9">
        <v>1.8</v>
      </c>
      <c r="Q39" s="9">
        <v>1.9466579999999998</v>
      </c>
      <c r="R39" s="9">
        <v>1.8413579999999998</v>
      </c>
      <c r="S39" s="9">
        <v>4.564806</v>
      </c>
    </row>
    <row r="40" ht="14.25" customHeight="1">
      <c r="A40" s="5" t="s">
        <v>7</v>
      </c>
      <c r="B40" s="8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9">
        <v>1.8999999999999995</v>
      </c>
      <c r="I40" s="9">
        <v>1.92</v>
      </c>
      <c r="J40" s="9">
        <v>1.92</v>
      </c>
      <c r="K40" s="9">
        <v>2.112</v>
      </c>
      <c r="L40" s="9">
        <v>2.112</v>
      </c>
      <c r="M40" s="9">
        <v>2.112</v>
      </c>
      <c r="N40" s="9">
        <v>2.112</v>
      </c>
      <c r="O40" s="9">
        <v>2.112</v>
      </c>
      <c r="P40" s="9">
        <v>2.112</v>
      </c>
      <c r="Q40" s="9">
        <v>2.112</v>
      </c>
      <c r="R40" s="9">
        <v>2.112</v>
      </c>
      <c r="S40" s="9">
        <v>2.112</v>
      </c>
    </row>
    <row r="41" ht="14.25" customHeight="1">
      <c r="A41" s="5" t="s">
        <v>7</v>
      </c>
      <c r="B41" s="8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9">
        <v>1.8</v>
      </c>
      <c r="I41" s="9">
        <v>1.8</v>
      </c>
      <c r="J41" s="9">
        <v>1.8</v>
      </c>
      <c r="K41" s="9">
        <v>1.8</v>
      </c>
      <c r="L41" s="9">
        <v>1.8</v>
      </c>
      <c r="M41" s="9">
        <v>1.8</v>
      </c>
      <c r="N41" s="9">
        <v>1.8</v>
      </c>
      <c r="O41" s="9">
        <v>1.8</v>
      </c>
      <c r="P41" s="9">
        <v>1.8</v>
      </c>
      <c r="Q41" s="9">
        <v>1.8</v>
      </c>
      <c r="R41" s="9">
        <v>1.8</v>
      </c>
      <c r="S41" s="9">
        <v>1.8</v>
      </c>
    </row>
    <row r="42" ht="14.25" customHeight="1">
      <c r="A42" s="5" t="s">
        <v>7</v>
      </c>
      <c r="B42" s="8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9">
        <v>7.418181818181819</v>
      </c>
      <c r="I42" s="9">
        <v>7.250962</v>
      </c>
      <c r="J42" s="9">
        <v>3.54</v>
      </c>
      <c r="K42" s="9">
        <v>2.5999999999999996</v>
      </c>
      <c r="L42" s="9">
        <v>5.0</v>
      </c>
      <c r="M42" s="9">
        <v>4.4</v>
      </c>
      <c r="N42" s="9">
        <v>3.1111111111111103</v>
      </c>
      <c r="O42" s="9">
        <v>9.797473714285713</v>
      </c>
      <c r="P42" s="9">
        <v>4.146857142857143</v>
      </c>
      <c r="Q42" s="9">
        <v>3.4648285714285714</v>
      </c>
      <c r="R42" s="9">
        <v>4.400965714285714</v>
      </c>
      <c r="S42" s="9">
        <v>2.9936009999999995</v>
      </c>
    </row>
    <row r="43" ht="14.25" customHeight="1">
      <c r="A43" s="5" t="s">
        <v>7</v>
      </c>
      <c r="B43" s="8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9">
        <v>0.8999999999999999</v>
      </c>
      <c r="I43" s="9">
        <v>0.75</v>
      </c>
      <c r="J43" s="9">
        <v>2.693877551020408</v>
      </c>
      <c r="K43" s="9">
        <v>1.92</v>
      </c>
      <c r="L43" s="9">
        <v>1.44</v>
      </c>
      <c r="M43" s="9">
        <v>2.88</v>
      </c>
      <c r="N43" s="9">
        <v>2.1999999999999997</v>
      </c>
      <c r="O43" s="9">
        <v>-1.4652</v>
      </c>
      <c r="P43" s="9">
        <v>2.25</v>
      </c>
      <c r="Q43" s="9">
        <v>2.1491279999999997</v>
      </c>
      <c r="R43" s="9">
        <v>2.64</v>
      </c>
      <c r="S43" s="9">
        <v>3.0749039999999996</v>
      </c>
    </row>
    <row r="44" ht="14.25" customHeight="1">
      <c r="A44" s="5" t="s">
        <v>7</v>
      </c>
      <c r="B44" s="8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9">
        <v>2.23</v>
      </c>
      <c r="I44" s="9">
        <v>0.75</v>
      </c>
      <c r="J44" s="9">
        <v>0.36500000000000005</v>
      </c>
      <c r="K44" s="9">
        <v>0.8999999999999999</v>
      </c>
      <c r="L44" s="9">
        <v>1.4919999999999998</v>
      </c>
      <c r="M44" s="9">
        <v>3.2</v>
      </c>
      <c r="N44" s="9">
        <v>3.9</v>
      </c>
      <c r="O44" s="9">
        <v>4.8</v>
      </c>
      <c r="P44" s="9">
        <v>0.9000000000000004</v>
      </c>
      <c r="Q44" s="9">
        <v>1.0704</v>
      </c>
      <c r="R44" s="9">
        <v>1.8</v>
      </c>
      <c r="S44" s="9">
        <v>2.8715999999999995</v>
      </c>
    </row>
    <row r="45" ht="14.25" customHeight="1">
      <c r="A45" s="5" t="s">
        <v>7</v>
      </c>
      <c r="B45" s="8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9">
        <v>1.8</v>
      </c>
      <c r="I45" s="9">
        <v>1.8</v>
      </c>
      <c r="J45" s="9">
        <v>1.8</v>
      </c>
      <c r="K45" s="9">
        <v>1.8</v>
      </c>
      <c r="L45" s="9">
        <v>1.8</v>
      </c>
      <c r="M45" s="9">
        <v>1.8</v>
      </c>
      <c r="N45" s="9">
        <v>1.8</v>
      </c>
      <c r="O45" s="9">
        <v>1.8</v>
      </c>
      <c r="P45" s="9">
        <v>1.8</v>
      </c>
      <c r="Q45" s="9">
        <v>1.8</v>
      </c>
      <c r="R45" s="9">
        <v>1.8</v>
      </c>
      <c r="S45" s="9">
        <v>1.8</v>
      </c>
    </row>
    <row r="46" ht="14.25" customHeight="1">
      <c r="A46" s="5" t="s">
        <v>7</v>
      </c>
      <c r="B46" s="8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9">
        <v>1.8</v>
      </c>
      <c r="I46" s="9">
        <v>1.8</v>
      </c>
      <c r="J46" s="9">
        <v>1.8</v>
      </c>
      <c r="K46" s="9">
        <v>1.8</v>
      </c>
      <c r="L46" s="9">
        <v>1.8</v>
      </c>
      <c r="M46" s="9">
        <v>1.8</v>
      </c>
      <c r="N46" s="9">
        <v>1.8</v>
      </c>
      <c r="O46" s="9">
        <v>1.513</v>
      </c>
      <c r="P46" s="9">
        <v>0.12</v>
      </c>
      <c r="Q46" s="9">
        <v>1.494</v>
      </c>
      <c r="R46" s="9">
        <v>1.1614285714285715</v>
      </c>
      <c r="S46" s="9">
        <v>4.58783</v>
      </c>
    </row>
    <row r="47" ht="14.25" customHeight="1">
      <c r="A47" s="5" t="s">
        <v>7</v>
      </c>
      <c r="B47" s="8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9">
        <v>1.8</v>
      </c>
      <c r="I47" s="9">
        <v>1.8</v>
      </c>
      <c r="J47" s="9">
        <v>1.8</v>
      </c>
      <c r="K47" s="9">
        <v>1.8</v>
      </c>
      <c r="L47" s="9">
        <v>1.8</v>
      </c>
      <c r="M47" s="9">
        <v>1.8</v>
      </c>
      <c r="N47" s="9">
        <v>1.8</v>
      </c>
      <c r="O47" s="9">
        <v>1.8</v>
      </c>
      <c r="P47" s="9">
        <v>0.6</v>
      </c>
      <c r="Q47" s="9">
        <v>0.705</v>
      </c>
      <c r="R47" s="9">
        <v>1.83792</v>
      </c>
      <c r="S47" s="9">
        <v>1.1035200000000003</v>
      </c>
    </row>
    <row r="48" ht="14.25" customHeight="1">
      <c r="A48" s="5" t="s">
        <v>7</v>
      </c>
      <c r="B48" s="8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9">
        <v>1.8</v>
      </c>
      <c r="I48" s="9">
        <v>1.8</v>
      </c>
      <c r="J48" s="9">
        <v>1.8</v>
      </c>
      <c r="K48" s="9">
        <v>1.8</v>
      </c>
      <c r="L48" s="9">
        <v>1.8</v>
      </c>
      <c r="M48" s="9">
        <v>1.8</v>
      </c>
      <c r="N48" s="9">
        <v>1.8</v>
      </c>
      <c r="O48" s="9">
        <v>1.8</v>
      </c>
      <c r="P48" s="9">
        <v>1.8</v>
      </c>
      <c r="Q48" s="9">
        <v>1.8</v>
      </c>
      <c r="R48" s="9">
        <v>1.8</v>
      </c>
      <c r="S48" s="9">
        <v>0.75</v>
      </c>
    </row>
    <row r="49" ht="14.25" customHeight="1">
      <c r="A49" s="5" t="s">
        <v>7</v>
      </c>
      <c r="B49" s="8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9">
        <v>3.9139784946236555</v>
      </c>
      <c r="I49" s="9">
        <v>3.254237288135593</v>
      </c>
      <c r="J49" s="9">
        <v>3.2603725423728815</v>
      </c>
      <c r="K49" s="9">
        <v>3.3305263157894727</v>
      </c>
      <c r="L49" s="9">
        <v>3.065777777777778</v>
      </c>
      <c r="M49" s="9">
        <v>3.177777777777778</v>
      </c>
      <c r="N49" s="9">
        <v>3.066666666666667</v>
      </c>
      <c r="O49" s="9">
        <v>2.8735632183908044</v>
      </c>
      <c r="P49" s="9">
        <v>4.072000000000008</v>
      </c>
      <c r="Q49" s="9">
        <v>3.048</v>
      </c>
      <c r="R49" s="9">
        <v>0.9061224489795917</v>
      </c>
      <c r="S49" s="9">
        <v>3.4749999999999996</v>
      </c>
    </row>
    <row r="50" ht="14.25" customHeight="1">
      <c r="A50" s="5" t="s">
        <v>7</v>
      </c>
      <c r="B50" s="8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9">
        <v>1.180327868852459</v>
      </c>
      <c r="I50" s="9">
        <v>2.9</v>
      </c>
      <c r="J50" s="9">
        <v>2.1</v>
      </c>
      <c r="K50" s="9">
        <v>2.3</v>
      </c>
      <c r="L50" s="9">
        <v>2.3</v>
      </c>
      <c r="M50" s="9">
        <v>2.35</v>
      </c>
      <c r="N50" s="9">
        <v>2.0945454545454547</v>
      </c>
      <c r="O50" s="9">
        <v>1.5144999999999997</v>
      </c>
      <c r="P50" s="9">
        <v>2.9155</v>
      </c>
      <c r="Q50" s="9">
        <v>1.1</v>
      </c>
      <c r="R50" s="9">
        <v>1.05</v>
      </c>
      <c r="S50" s="9">
        <v>1.9902857142857142</v>
      </c>
    </row>
    <row r="51" ht="14.25" customHeight="1">
      <c r="A51" s="5" t="s">
        <v>7</v>
      </c>
      <c r="B51" s="8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9">
        <v>0.516</v>
      </c>
      <c r="I51" s="9">
        <v>0.13028571428571428</v>
      </c>
      <c r="J51" s="9">
        <v>0.546</v>
      </c>
      <c r="K51" s="9">
        <v>1.48</v>
      </c>
      <c r="L51" s="9">
        <v>0.6</v>
      </c>
      <c r="M51" s="9">
        <v>0.38999999999999996</v>
      </c>
      <c r="N51" s="9">
        <v>1.8</v>
      </c>
      <c r="O51" s="9">
        <v>1.8</v>
      </c>
      <c r="P51" s="9">
        <v>1.8</v>
      </c>
      <c r="Q51" s="9">
        <v>1.8</v>
      </c>
      <c r="R51" s="9">
        <v>1.8</v>
      </c>
      <c r="S51" s="9">
        <v>1.8</v>
      </c>
    </row>
    <row r="52" ht="14.25" customHeight="1">
      <c r="A52" s="5" t="s">
        <v>7</v>
      </c>
      <c r="B52" s="8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9">
        <v>1.3155555555555556</v>
      </c>
      <c r="I52" s="9">
        <v>1.3381977600000001</v>
      </c>
      <c r="J52" s="9">
        <v>1.9591836734693877</v>
      </c>
      <c r="K52" s="9">
        <v>2.784615384615385</v>
      </c>
      <c r="L52" s="9">
        <v>2.4558139534883723</v>
      </c>
      <c r="M52" s="9">
        <v>4.295454545454545</v>
      </c>
      <c r="N52" s="9">
        <v>2.171764705882353</v>
      </c>
      <c r="O52" s="9">
        <v>2.0987291338582676</v>
      </c>
      <c r="P52" s="9">
        <v>2.876626153846154</v>
      </c>
      <c r="Q52" s="9">
        <v>2.0719846153846153</v>
      </c>
      <c r="R52" s="9">
        <v>4.636363636363636</v>
      </c>
      <c r="S52" s="9">
        <v>2.8744186046511624</v>
      </c>
    </row>
    <row r="53" ht="14.25" customHeight="1">
      <c r="A53" s="5" t="s">
        <v>7</v>
      </c>
      <c r="B53" s="8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9">
        <v>2.8000000000000003</v>
      </c>
      <c r="I53" s="9">
        <v>2.4</v>
      </c>
      <c r="J53" s="9">
        <v>4.759119999999999</v>
      </c>
      <c r="K53" s="9">
        <v>2.8000000000000003</v>
      </c>
      <c r="L53" s="9">
        <v>4.8</v>
      </c>
      <c r="M53" s="9">
        <v>5.3999999999999995</v>
      </c>
      <c r="N53" s="9">
        <v>3.0</v>
      </c>
      <c r="O53" s="9">
        <v>2.52</v>
      </c>
      <c r="P53" s="9">
        <v>3.0</v>
      </c>
      <c r="Q53" s="9">
        <v>3.9086999999999996</v>
      </c>
      <c r="R53" s="9">
        <v>3.3</v>
      </c>
      <c r="S53" s="9">
        <v>5.7</v>
      </c>
    </row>
    <row r="54" ht="14.25" customHeight="1">
      <c r="A54" s="5" t="s">
        <v>7</v>
      </c>
      <c r="B54" s="8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9">
        <v>4.000000000000001</v>
      </c>
      <c r="I54" s="9">
        <v>3.9999999999999996</v>
      </c>
      <c r="J54" s="9">
        <v>-3.1999919999999995</v>
      </c>
      <c r="K54" s="9">
        <v>1.32</v>
      </c>
      <c r="L54" s="9">
        <v>1.2</v>
      </c>
      <c r="M54" s="9">
        <v>1.7999999999999998</v>
      </c>
      <c r="N54" s="9">
        <v>2.0000000000000004</v>
      </c>
      <c r="O54" s="9">
        <v>2.04</v>
      </c>
      <c r="P54" s="9">
        <v>1.9600000000000002</v>
      </c>
      <c r="Q54" s="9">
        <v>1.7999999999999998</v>
      </c>
      <c r="R54" s="9">
        <v>2.4</v>
      </c>
      <c r="S54" s="9">
        <v>1.668996</v>
      </c>
    </row>
    <row r="55" ht="14.25" customHeight="1">
      <c r="A55" s="5" t="s">
        <v>7</v>
      </c>
      <c r="B55" s="8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9">
        <v>0.6204740719999999</v>
      </c>
      <c r="I55" s="9">
        <v>1.65</v>
      </c>
      <c r="J55" s="9">
        <v>3.3</v>
      </c>
      <c r="K55" s="9">
        <v>0.6</v>
      </c>
      <c r="L55" s="9">
        <v>0.9999999999999999</v>
      </c>
      <c r="M55" s="9">
        <v>1.2</v>
      </c>
      <c r="N55" s="9">
        <v>0.44999999999999996</v>
      </c>
      <c r="O55" s="9">
        <v>0.895304347826087</v>
      </c>
      <c r="P55" s="9">
        <v>1.043076923076923</v>
      </c>
      <c r="Q55" s="9">
        <v>0.9952680000000002</v>
      </c>
      <c r="R55" s="9">
        <v>1.8</v>
      </c>
      <c r="S55" s="9">
        <v>1.8</v>
      </c>
    </row>
    <row r="56" ht="14.25" customHeight="1">
      <c r="A56" s="5" t="s">
        <v>7</v>
      </c>
      <c r="B56" s="8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9">
        <v>1.8</v>
      </c>
      <c r="I56" s="9">
        <v>1.8</v>
      </c>
      <c r="J56" s="9">
        <v>1.8</v>
      </c>
      <c r="K56" s="9">
        <v>1.8</v>
      </c>
      <c r="L56" s="9">
        <v>1.8</v>
      </c>
      <c r="M56" s="9">
        <v>1.8</v>
      </c>
      <c r="N56" s="9">
        <v>1.8</v>
      </c>
      <c r="O56" s="9">
        <v>1.8</v>
      </c>
      <c r="P56" s="9">
        <v>1.8</v>
      </c>
      <c r="Q56" s="9">
        <v>1.8</v>
      </c>
      <c r="R56" s="9">
        <v>1.8</v>
      </c>
      <c r="S56" s="9">
        <v>1.8</v>
      </c>
    </row>
    <row r="57" ht="14.25" customHeight="1">
      <c r="A57" s="5" t="s">
        <v>7</v>
      </c>
      <c r="B57" s="8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9">
        <v>1.8</v>
      </c>
      <c r="I57" s="9">
        <v>1.8</v>
      </c>
      <c r="J57" s="9">
        <v>1.8</v>
      </c>
      <c r="K57" s="9">
        <v>1.8</v>
      </c>
      <c r="L57" s="9">
        <v>1.8</v>
      </c>
      <c r="M57" s="9">
        <v>1.8</v>
      </c>
      <c r="N57" s="9">
        <v>1.8</v>
      </c>
      <c r="O57" s="9">
        <v>1.8</v>
      </c>
      <c r="P57" s="9">
        <v>1.8</v>
      </c>
      <c r="Q57" s="9">
        <v>1.8</v>
      </c>
      <c r="R57" s="9">
        <v>1.8</v>
      </c>
      <c r="S57" s="9">
        <v>1.8</v>
      </c>
    </row>
    <row r="58" ht="14.25" customHeight="1">
      <c r="A58" s="5" t="s">
        <v>7</v>
      </c>
      <c r="B58" s="10" t="s">
        <v>64</v>
      </c>
      <c r="C58" s="1" t="str">
        <f>VLOOKUP(B58,Mapping!B:C,2,0)</f>
        <v>Lateral</v>
      </c>
      <c r="D58" s="1" t="str">
        <f>VLOOKUP(B58,Mapping!B:D,3,0)</f>
        <v>New Sales</v>
      </c>
      <c r="E58" s="1" t="str">
        <f>VLOOKUP(B58,Mapping!B:E,4,0)</f>
        <v>New Sales</v>
      </c>
      <c r="F58" s="1" t="str">
        <f>VLOOKUP(B58,Mapping!B:F,5,0)</f>
        <v>Nizar</v>
      </c>
      <c r="G58" s="6" t="str">
        <f>VLOOKUP(B58,Mapping!B:G,6,0)</f>
        <v>Nizar</v>
      </c>
      <c r="H58" s="9">
        <v>1.8</v>
      </c>
      <c r="I58" s="9">
        <v>1.8</v>
      </c>
      <c r="J58" s="9">
        <v>1.8</v>
      </c>
      <c r="K58" s="9">
        <v>1.8</v>
      </c>
      <c r="L58" s="9">
        <v>1.8</v>
      </c>
      <c r="M58" s="9">
        <v>1.8</v>
      </c>
      <c r="N58" s="9">
        <v>1.8</v>
      </c>
      <c r="O58" s="9">
        <v>1.8</v>
      </c>
      <c r="P58" s="9">
        <v>1.8</v>
      </c>
      <c r="Q58" s="9">
        <v>1.8</v>
      </c>
      <c r="R58" s="9">
        <v>1.8</v>
      </c>
      <c r="S58" s="9">
        <v>1.8</v>
      </c>
    </row>
    <row r="59" ht="14.25" customHeight="1">
      <c r="H59" s="7" t="s">
        <v>67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8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1">
        <v>25.0</v>
      </c>
      <c r="I2" s="11">
        <v>35.0</v>
      </c>
      <c r="J2" s="11">
        <v>40.0</v>
      </c>
      <c r="K2" s="11">
        <v>43.5</v>
      </c>
      <c r="L2" s="11">
        <v>60.9</v>
      </c>
      <c r="M2" s="11">
        <v>69.60000000000001</v>
      </c>
      <c r="N2" s="11">
        <v>49.025</v>
      </c>
      <c r="O2" s="11">
        <v>68.63499999999999</v>
      </c>
      <c r="P2" s="11">
        <v>78.44</v>
      </c>
      <c r="Q2" s="12">
        <v>50.8825</v>
      </c>
      <c r="R2" s="12">
        <v>71.2355</v>
      </c>
      <c r="S2" s="12">
        <v>81.412</v>
      </c>
    </row>
    <row r="3" ht="14.25" customHeight="1">
      <c r="A3" s="5" t="s">
        <v>7</v>
      </c>
      <c r="B3" s="8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1">
        <v>6.175000000000001</v>
      </c>
      <c r="I3" s="11">
        <v>8.645</v>
      </c>
      <c r="J3" s="11">
        <v>9.880000000000003</v>
      </c>
      <c r="K3" s="11">
        <v>6.3500000000000005</v>
      </c>
      <c r="L3" s="11">
        <v>8.89</v>
      </c>
      <c r="M3" s="11">
        <v>10.160000000000002</v>
      </c>
      <c r="N3" s="11">
        <v>6.650000000000001</v>
      </c>
      <c r="O3" s="11">
        <v>9.31</v>
      </c>
      <c r="P3" s="11">
        <v>10.640000000000002</v>
      </c>
      <c r="Q3" s="12">
        <v>7.032499999999999</v>
      </c>
      <c r="R3" s="12">
        <v>9.845499999999998</v>
      </c>
      <c r="S3" s="12">
        <v>11.251999999999999</v>
      </c>
    </row>
    <row r="4" ht="14.25" customHeight="1">
      <c r="A4" s="5" t="s">
        <v>7</v>
      </c>
      <c r="B4" s="8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1">
        <v>3.0</v>
      </c>
      <c r="I4" s="11">
        <v>4.199999999999999</v>
      </c>
      <c r="J4" s="11">
        <v>4.800000000000001</v>
      </c>
      <c r="K4" s="11">
        <v>3.675</v>
      </c>
      <c r="L4" s="11">
        <v>5.145</v>
      </c>
      <c r="M4" s="11">
        <v>5.88</v>
      </c>
      <c r="N4" s="11">
        <v>3.825</v>
      </c>
      <c r="O4" s="11">
        <v>5.3549999999999995</v>
      </c>
      <c r="P4" s="11">
        <v>6.120000000000001</v>
      </c>
      <c r="Q4" s="12">
        <v>4.057500000000001</v>
      </c>
      <c r="R4" s="12">
        <v>5.680500000000001</v>
      </c>
      <c r="S4" s="12">
        <v>6.492000000000002</v>
      </c>
    </row>
    <row r="5" ht="14.25" customHeight="1">
      <c r="A5" s="5" t="s">
        <v>7</v>
      </c>
      <c r="B5" s="8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1">
        <v>1.125</v>
      </c>
      <c r="I5" s="11">
        <v>1.575</v>
      </c>
      <c r="J5" s="11">
        <v>1.8</v>
      </c>
      <c r="K5" s="11">
        <v>1.125</v>
      </c>
      <c r="L5" s="11">
        <v>1.575</v>
      </c>
      <c r="M5" s="11">
        <v>1.8</v>
      </c>
      <c r="N5" s="11">
        <v>1.125</v>
      </c>
      <c r="O5" s="11">
        <v>1.575</v>
      </c>
      <c r="P5" s="11">
        <v>1.8</v>
      </c>
      <c r="Q5" s="12">
        <v>1.2075</v>
      </c>
      <c r="R5" s="12">
        <v>1.6905</v>
      </c>
      <c r="S5" s="12">
        <v>1.9320000000000002</v>
      </c>
    </row>
    <row r="6" ht="14.25" customHeight="1">
      <c r="A6" s="5" t="s">
        <v>7</v>
      </c>
      <c r="B6" s="8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1">
        <v>15.399999999999999</v>
      </c>
      <c r="I6" s="11">
        <v>21.559999999999995</v>
      </c>
      <c r="J6" s="11">
        <v>24.64</v>
      </c>
      <c r="K6" s="11">
        <v>15.924999999999999</v>
      </c>
      <c r="L6" s="11">
        <v>22.294999999999998</v>
      </c>
      <c r="M6" s="11">
        <v>25.48</v>
      </c>
      <c r="N6" s="11">
        <v>16.575</v>
      </c>
      <c r="O6" s="11">
        <v>23.205</v>
      </c>
      <c r="P6" s="11">
        <v>26.52</v>
      </c>
      <c r="Q6" s="12">
        <v>17.307500000000008</v>
      </c>
      <c r="R6" s="12">
        <v>24.23050000000001</v>
      </c>
      <c r="S6" s="12">
        <v>27.692000000000014</v>
      </c>
    </row>
    <row r="7" ht="14.25" customHeight="1">
      <c r="A7" s="5" t="s">
        <v>7</v>
      </c>
      <c r="B7" s="8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1">
        <v>0.375</v>
      </c>
      <c r="I7" s="11">
        <v>0.5249999999999999</v>
      </c>
      <c r="J7" s="11">
        <v>0.6000000000000001</v>
      </c>
      <c r="K7" s="11">
        <v>1.7999999999999998</v>
      </c>
      <c r="L7" s="11">
        <v>2.5199999999999996</v>
      </c>
      <c r="M7" s="11">
        <v>2.88</v>
      </c>
      <c r="N7" s="11">
        <v>1.9500000000000002</v>
      </c>
      <c r="O7" s="11">
        <v>2.73</v>
      </c>
      <c r="P7" s="11">
        <v>3.1200000000000006</v>
      </c>
      <c r="Q7" s="12">
        <v>2.1825</v>
      </c>
      <c r="R7" s="12">
        <v>3.0555</v>
      </c>
      <c r="S7" s="12">
        <v>3.4920000000000004</v>
      </c>
    </row>
    <row r="8" ht="14.25" customHeight="1">
      <c r="A8" s="5" t="s">
        <v>7</v>
      </c>
      <c r="B8" s="8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1">
        <v>3.125</v>
      </c>
      <c r="I8" s="11">
        <v>4.375</v>
      </c>
      <c r="J8" s="11">
        <v>5.0</v>
      </c>
      <c r="K8" s="11">
        <v>6.25</v>
      </c>
      <c r="L8" s="11">
        <v>8.75</v>
      </c>
      <c r="M8" s="11">
        <v>10.0</v>
      </c>
      <c r="N8" s="11">
        <v>6.25</v>
      </c>
      <c r="O8" s="11">
        <v>8.75</v>
      </c>
      <c r="P8" s="11">
        <v>10.0</v>
      </c>
      <c r="Q8" s="12">
        <v>6.3325</v>
      </c>
      <c r="R8" s="12">
        <v>8.865499999999999</v>
      </c>
      <c r="S8" s="12">
        <v>10.132</v>
      </c>
    </row>
    <row r="9" ht="14.25" customHeight="1">
      <c r="A9" s="5" t="s">
        <v>7</v>
      </c>
      <c r="B9" s="8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1">
        <v>3.75</v>
      </c>
      <c r="I9" s="11">
        <v>5.25</v>
      </c>
      <c r="J9" s="11">
        <v>6.0</v>
      </c>
      <c r="K9" s="11">
        <v>7.5</v>
      </c>
      <c r="L9" s="11">
        <v>10.5</v>
      </c>
      <c r="M9" s="11">
        <v>12.0</v>
      </c>
      <c r="N9" s="11">
        <v>10.0</v>
      </c>
      <c r="O9" s="11">
        <v>14.0</v>
      </c>
      <c r="P9" s="11">
        <v>16.0</v>
      </c>
      <c r="Q9" s="12">
        <v>8.0</v>
      </c>
      <c r="R9" s="12">
        <v>11.2</v>
      </c>
      <c r="S9" s="12">
        <v>12.8</v>
      </c>
    </row>
    <row r="10" ht="14.25" customHeight="1">
      <c r="A10" s="5" t="s">
        <v>7</v>
      </c>
      <c r="B10" s="8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2">
        <v>0.0</v>
      </c>
      <c r="R10" s="12">
        <v>0.0</v>
      </c>
      <c r="S10" s="12">
        <v>0.0</v>
      </c>
    </row>
    <row r="11" ht="14.25" customHeight="1">
      <c r="A11" s="5" t="s">
        <v>7</v>
      </c>
      <c r="B11" s="8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1">
        <v>11.375</v>
      </c>
      <c r="I11" s="11">
        <v>15.924999999999999</v>
      </c>
      <c r="J11" s="11">
        <v>18.2</v>
      </c>
      <c r="K11" s="11">
        <v>11.5</v>
      </c>
      <c r="L11" s="11">
        <v>16.099999999999998</v>
      </c>
      <c r="M11" s="11">
        <v>18.400000000000002</v>
      </c>
      <c r="N11" s="11">
        <v>11.5</v>
      </c>
      <c r="O11" s="11">
        <v>16.099999999999998</v>
      </c>
      <c r="P11" s="11">
        <v>18.400000000000002</v>
      </c>
      <c r="Q11" s="12">
        <v>11.5825</v>
      </c>
      <c r="R11" s="12">
        <v>16.2155</v>
      </c>
      <c r="S11" s="12">
        <v>18.532</v>
      </c>
    </row>
    <row r="12" ht="14.25" customHeight="1">
      <c r="A12" s="5" t="s">
        <v>7</v>
      </c>
      <c r="B12" s="8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1">
        <v>9.0</v>
      </c>
      <c r="I12" s="11">
        <v>12.6</v>
      </c>
      <c r="J12" s="11">
        <v>14.4</v>
      </c>
      <c r="K12" s="11">
        <v>7.907500000000001</v>
      </c>
      <c r="L12" s="11">
        <v>11.070500000000001</v>
      </c>
      <c r="M12" s="11">
        <v>12.652000000000001</v>
      </c>
      <c r="N12" s="11">
        <v>7.657500000000001</v>
      </c>
      <c r="O12" s="11">
        <v>10.7205</v>
      </c>
      <c r="P12" s="11">
        <v>12.252000000000002</v>
      </c>
      <c r="Q12" s="12">
        <v>7.865</v>
      </c>
      <c r="R12" s="12">
        <v>11.011</v>
      </c>
      <c r="S12" s="12">
        <v>12.584000000000001</v>
      </c>
    </row>
    <row r="13" ht="14.25" customHeight="1">
      <c r="A13" s="5" t="s">
        <v>7</v>
      </c>
      <c r="B13" s="8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1">
        <v>4.25</v>
      </c>
      <c r="I13" s="11">
        <v>5.949999999999999</v>
      </c>
      <c r="J13" s="11">
        <v>6.800000000000001</v>
      </c>
      <c r="K13" s="11">
        <v>7.5</v>
      </c>
      <c r="L13" s="11">
        <v>10.5</v>
      </c>
      <c r="M13" s="11">
        <v>12.0</v>
      </c>
      <c r="N13" s="11">
        <v>8.75</v>
      </c>
      <c r="O13" s="11">
        <v>12.25</v>
      </c>
      <c r="P13" s="11">
        <v>14.0</v>
      </c>
      <c r="Q13" s="12">
        <v>10.0</v>
      </c>
      <c r="R13" s="12">
        <v>14.0</v>
      </c>
      <c r="S13" s="12">
        <v>16.0</v>
      </c>
    </row>
    <row r="14" ht="14.25" customHeight="1">
      <c r="A14" s="5" t="s">
        <v>7</v>
      </c>
      <c r="B14" s="8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2">
        <v>0.0</v>
      </c>
      <c r="R14" s="12">
        <v>0.0</v>
      </c>
      <c r="S14" s="12">
        <v>0.0</v>
      </c>
    </row>
    <row r="15" ht="14.25" customHeight="1">
      <c r="A15" s="5" t="s">
        <v>7</v>
      </c>
      <c r="B15" s="8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1">
        <v>0.0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1">
        <v>0.0</v>
      </c>
      <c r="Q15" s="12">
        <v>0.0</v>
      </c>
      <c r="R15" s="12">
        <v>0.0</v>
      </c>
      <c r="S15" s="12">
        <v>0.0</v>
      </c>
    </row>
    <row r="16" ht="14.25" customHeight="1">
      <c r="A16" s="5" t="s">
        <v>7</v>
      </c>
      <c r="B16" s="8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1">
        <v>0.0</v>
      </c>
      <c r="I16" s="11">
        <v>0.0</v>
      </c>
      <c r="J16" s="11">
        <v>0.0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2">
        <v>0.0</v>
      </c>
      <c r="R16" s="12">
        <v>0.0</v>
      </c>
      <c r="S16" s="12">
        <v>0.0</v>
      </c>
    </row>
    <row r="17" ht="14.25" customHeight="1">
      <c r="A17" s="5" t="s">
        <v>7</v>
      </c>
      <c r="B17" s="8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1">
        <v>7.5</v>
      </c>
      <c r="I17" s="11">
        <v>10.5</v>
      </c>
      <c r="J17" s="11">
        <v>12.0</v>
      </c>
      <c r="K17" s="11">
        <v>11.25</v>
      </c>
      <c r="L17" s="11">
        <v>15.749999999999998</v>
      </c>
      <c r="M17" s="11">
        <v>18.0</v>
      </c>
      <c r="N17" s="11">
        <v>11.25</v>
      </c>
      <c r="O17" s="11">
        <v>15.749999999999998</v>
      </c>
      <c r="P17" s="11">
        <v>18.0</v>
      </c>
      <c r="Q17" s="12">
        <v>11.3325</v>
      </c>
      <c r="R17" s="12">
        <v>15.865499999999999</v>
      </c>
      <c r="S17" s="12">
        <v>18.132</v>
      </c>
    </row>
    <row r="18" ht="14.25" customHeight="1">
      <c r="A18" s="5" t="s">
        <v>7</v>
      </c>
      <c r="B18" s="8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1">
        <v>5.125</v>
      </c>
      <c r="I18" s="11">
        <v>7.175</v>
      </c>
      <c r="J18" s="11">
        <v>8.200000000000001</v>
      </c>
      <c r="K18" s="11">
        <v>5.0</v>
      </c>
      <c r="L18" s="11">
        <v>7.0</v>
      </c>
      <c r="M18" s="11">
        <v>8.0</v>
      </c>
      <c r="N18" s="11">
        <v>5.0</v>
      </c>
      <c r="O18" s="11">
        <v>7.0</v>
      </c>
      <c r="P18" s="11">
        <v>8.0</v>
      </c>
      <c r="Q18" s="12">
        <v>5.0825</v>
      </c>
      <c r="R18" s="12">
        <v>7.115499999999999</v>
      </c>
      <c r="S18" s="12">
        <v>8.132</v>
      </c>
    </row>
    <row r="19" ht="14.25" customHeight="1">
      <c r="A19" s="5" t="s">
        <v>7</v>
      </c>
      <c r="B19" s="8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1">
        <v>13.0</v>
      </c>
      <c r="I19" s="11">
        <v>18.2</v>
      </c>
      <c r="J19" s="11">
        <v>20.8</v>
      </c>
      <c r="K19" s="11">
        <v>13.75</v>
      </c>
      <c r="L19" s="11">
        <v>19.25</v>
      </c>
      <c r="M19" s="11">
        <v>22.0</v>
      </c>
      <c r="N19" s="11">
        <v>15.0</v>
      </c>
      <c r="O19" s="11">
        <v>21.0</v>
      </c>
      <c r="P19" s="11">
        <v>24.0</v>
      </c>
      <c r="Q19" s="12">
        <v>12.5825</v>
      </c>
      <c r="R19" s="12">
        <v>17.615499999999997</v>
      </c>
      <c r="S19" s="12">
        <v>20.132</v>
      </c>
    </row>
    <row r="20" ht="14.25" customHeight="1">
      <c r="A20" s="5" t="s">
        <v>7</v>
      </c>
      <c r="B20" s="8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1">
        <v>14.8125</v>
      </c>
      <c r="I20" s="11">
        <v>20.737499999999997</v>
      </c>
      <c r="J20" s="11">
        <v>23.700000000000003</v>
      </c>
      <c r="K20" s="11">
        <v>15.3125</v>
      </c>
      <c r="L20" s="11">
        <v>21.4375</v>
      </c>
      <c r="M20" s="11">
        <v>24.5</v>
      </c>
      <c r="N20" s="11">
        <v>15.9375</v>
      </c>
      <c r="O20" s="11">
        <v>22.3125</v>
      </c>
      <c r="P20" s="11">
        <v>25.5</v>
      </c>
      <c r="Q20" s="12">
        <v>16.645</v>
      </c>
      <c r="R20" s="12">
        <v>23.302999999999997</v>
      </c>
      <c r="S20" s="12">
        <v>26.632</v>
      </c>
    </row>
    <row r="21" ht="14.25" customHeight="1">
      <c r="A21" s="5" t="s">
        <v>7</v>
      </c>
      <c r="B21" s="8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1">
        <v>60.125</v>
      </c>
      <c r="I21" s="11">
        <v>84.175</v>
      </c>
      <c r="J21" s="11">
        <v>96.2</v>
      </c>
      <c r="K21" s="11">
        <v>70.0</v>
      </c>
      <c r="L21" s="11">
        <v>98.0</v>
      </c>
      <c r="M21" s="11">
        <v>112.0</v>
      </c>
      <c r="N21" s="11">
        <v>77.5</v>
      </c>
      <c r="O21" s="11">
        <v>108.5</v>
      </c>
      <c r="P21" s="11">
        <v>124.0</v>
      </c>
      <c r="Q21" s="12">
        <v>77.5825</v>
      </c>
      <c r="R21" s="12">
        <v>108.61549999999998</v>
      </c>
      <c r="S21" s="12">
        <v>124.132</v>
      </c>
    </row>
    <row r="22" ht="14.25" customHeight="1">
      <c r="A22" s="5" t="s">
        <v>7</v>
      </c>
      <c r="B22" s="8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1">
        <v>13.875</v>
      </c>
      <c r="I22" s="11">
        <v>19.424999999999997</v>
      </c>
      <c r="J22" s="11">
        <v>22.200000000000003</v>
      </c>
      <c r="K22" s="11">
        <v>13.75</v>
      </c>
      <c r="L22" s="11">
        <v>19.25</v>
      </c>
      <c r="M22" s="11">
        <v>22.0</v>
      </c>
      <c r="N22" s="11">
        <v>13.75</v>
      </c>
      <c r="O22" s="11">
        <v>19.25</v>
      </c>
      <c r="P22" s="11">
        <v>22.0</v>
      </c>
      <c r="Q22" s="12">
        <v>13.8325</v>
      </c>
      <c r="R22" s="12">
        <v>19.365499999999997</v>
      </c>
      <c r="S22" s="12">
        <v>22.132</v>
      </c>
    </row>
    <row r="23" ht="14.25" customHeight="1">
      <c r="A23" s="5" t="s">
        <v>7</v>
      </c>
      <c r="B23" s="8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1">
        <v>22.625</v>
      </c>
      <c r="I23" s="11">
        <v>31.674999999999997</v>
      </c>
      <c r="J23" s="11">
        <v>36.2</v>
      </c>
      <c r="K23" s="11">
        <v>24.475</v>
      </c>
      <c r="L23" s="11">
        <v>34.265</v>
      </c>
      <c r="M23" s="11">
        <v>39.160000000000004</v>
      </c>
      <c r="N23" s="11">
        <v>25.525</v>
      </c>
      <c r="O23" s="11">
        <v>35.73499999999999</v>
      </c>
      <c r="P23" s="11">
        <v>40.84</v>
      </c>
      <c r="Q23" s="12">
        <v>27.482499999999998</v>
      </c>
      <c r="R23" s="12">
        <v>38.4755</v>
      </c>
      <c r="S23" s="12">
        <v>43.972</v>
      </c>
    </row>
    <row r="24" ht="14.25" customHeight="1">
      <c r="A24" s="5" t="s">
        <v>7</v>
      </c>
      <c r="B24" s="8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1">
        <v>10.0</v>
      </c>
      <c r="I24" s="11">
        <v>14.0</v>
      </c>
      <c r="J24" s="11">
        <v>16.0</v>
      </c>
      <c r="K24" s="11">
        <v>12.5</v>
      </c>
      <c r="L24" s="11">
        <v>17.5</v>
      </c>
      <c r="M24" s="11">
        <v>20.0</v>
      </c>
      <c r="N24" s="11">
        <v>12.5</v>
      </c>
      <c r="O24" s="11">
        <v>17.5</v>
      </c>
      <c r="P24" s="11">
        <v>20.0</v>
      </c>
      <c r="Q24" s="12">
        <v>12.5825</v>
      </c>
      <c r="R24" s="12">
        <v>17.615499999999997</v>
      </c>
      <c r="S24" s="12">
        <v>20.132</v>
      </c>
    </row>
    <row r="25" ht="14.25" customHeight="1">
      <c r="A25" s="5" t="s">
        <v>7</v>
      </c>
      <c r="B25" s="8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1">
        <v>3.875</v>
      </c>
      <c r="I25" s="11">
        <v>5.425</v>
      </c>
      <c r="J25" s="11">
        <v>6.2</v>
      </c>
      <c r="K25" s="11">
        <v>3.875</v>
      </c>
      <c r="L25" s="11">
        <v>5.425</v>
      </c>
      <c r="M25" s="11">
        <v>6.2</v>
      </c>
      <c r="N25" s="11">
        <v>12.5</v>
      </c>
      <c r="O25" s="11">
        <v>17.5</v>
      </c>
      <c r="P25" s="11">
        <v>20.0</v>
      </c>
      <c r="Q25" s="12">
        <v>12.5825</v>
      </c>
      <c r="R25" s="12">
        <v>17.615499999999997</v>
      </c>
      <c r="S25" s="12">
        <v>20.132</v>
      </c>
    </row>
    <row r="26" ht="14.25" customHeight="1">
      <c r="A26" s="5" t="s">
        <v>7</v>
      </c>
      <c r="B26" s="8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1">
        <v>1.25</v>
      </c>
      <c r="I26" s="11">
        <v>1.75</v>
      </c>
      <c r="J26" s="11">
        <v>2.0</v>
      </c>
      <c r="K26" s="11">
        <v>6.25</v>
      </c>
      <c r="L26" s="11">
        <v>8.75</v>
      </c>
      <c r="M26" s="11">
        <v>10.0</v>
      </c>
      <c r="N26" s="11">
        <v>6.25</v>
      </c>
      <c r="O26" s="11">
        <v>8.75</v>
      </c>
      <c r="P26" s="11">
        <v>10.0</v>
      </c>
      <c r="Q26" s="12">
        <v>6.3325</v>
      </c>
      <c r="R26" s="12">
        <v>8.865499999999999</v>
      </c>
      <c r="S26" s="12">
        <v>10.132</v>
      </c>
    </row>
    <row r="27" ht="14.25" customHeight="1">
      <c r="A27" s="5" t="s">
        <v>7</v>
      </c>
      <c r="B27" s="8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1">
        <v>0.0</v>
      </c>
      <c r="I27" s="11">
        <v>0.0</v>
      </c>
      <c r="J27" s="11">
        <v>0.0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2">
        <v>0.0</v>
      </c>
      <c r="R27" s="12">
        <v>0.0</v>
      </c>
      <c r="S27" s="12">
        <v>0.0</v>
      </c>
    </row>
    <row r="28" ht="14.25" customHeight="1">
      <c r="A28" s="5" t="s">
        <v>7</v>
      </c>
      <c r="B28" s="8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1">
        <v>0.0</v>
      </c>
      <c r="I28" s="11">
        <v>0.0</v>
      </c>
      <c r="J28" s="11">
        <v>0.0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2">
        <v>0.0</v>
      </c>
      <c r="R28" s="12">
        <v>0.0</v>
      </c>
      <c r="S28" s="12">
        <v>0.0</v>
      </c>
    </row>
    <row r="29" ht="14.25" customHeight="1">
      <c r="A29" s="5" t="s">
        <v>7</v>
      </c>
      <c r="B29" s="8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1">
        <v>0.0</v>
      </c>
      <c r="I29" s="11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2">
        <v>0.0</v>
      </c>
      <c r="R29" s="12">
        <v>0.0</v>
      </c>
      <c r="S29" s="12">
        <v>0.0</v>
      </c>
    </row>
    <row r="30" ht="14.25" customHeight="1">
      <c r="A30" s="5" t="s">
        <v>7</v>
      </c>
      <c r="B30" s="8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1">
        <v>0.0</v>
      </c>
      <c r="I30" s="11">
        <v>0.0</v>
      </c>
      <c r="J30" s="11">
        <v>0.0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2">
        <v>0.0</v>
      </c>
      <c r="R30" s="12">
        <v>0.0</v>
      </c>
      <c r="S30" s="12">
        <v>0.0</v>
      </c>
    </row>
    <row r="31" ht="14.25" customHeight="1">
      <c r="A31" s="5" t="s">
        <v>7</v>
      </c>
      <c r="B31" s="8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1">
        <v>0.0</v>
      </c>
      <c r="I31" s="11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2">
        <v>0.0</v>
      </c>
      <c r="R31" s="12">
        <v>0.0</v>
      </c>
      <c r="S31" s="12">
        <v>0.0</v>
      </c>
    </row>
    <row r="32" ht="14.25" customHeight="1">
      <c r="A32" s="5" t="s">
        <v>7</v>
      </c>
      <c r="B32" s="8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1">
        <v>0.0</v>
      </c>
      <c r="I32" s="11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2">
        <v>0.0</v>
      </c>
      <c r="R32" s="12">
        <v>0.0</v>
      </c>
      <c r="S32" s="12">
        <v>0.0</v>
      </c>
    </row>
    <row r="33" ht="14.25" customHeight="1">
      <c r="A33" s="5" t="s">
        <v>7</v>
      </c>
      <c r="B33" s="8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1">
        <v>9.375</v>
      </c>
      <c r="I33" s="11">
        <v>13.125</v>
      </c>
      <c r="J33" s="11">
        <v>15.0</v>
      </c>
      <c r="K33" s="11">
        <v>13.0</v>
      </c>
      <c r="L33" s="11">
        <v>18.2</v>
      </c>
      <c r="M33" s="11">
        <v>20.8</v>
      </c>
      <c r="N33" s="11">
        <v>13.5</v>
      </c>
      <c r="O33" s="11">
        <v>18.9</v>
      </c>
      <c r="P33" s="11">
        <v>21.6</v>
      </c>
      <c r="Q33" s="12">
        <v>14.3325</v>
      </c>
      <c r="R33" s="12">
        <v>20.065499999999997</v>
      </c>
      <c r="S33" s="12">
        <v>22.932000000000002</v>
      </c>
    </row>
    <row r="34" ht="14.25" customHeight="1">
      <c r="A34" s="5" t="s">
        <v>7</v>
      </c>
      <c r="B34" s="8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1">
        <v>6.0</v>
      </c>
      <c r="I34" s="11">
        <v>8.399999999999999</v>
      </c>
      <c r="J34" s="11">
        <v>9.600000000000001</v>
      </c>
      <c r="K34" s="11">
        <v>6.125</v>
      </c>
      <c r="L34" s="11">
        <v>8.575</v>
      </c>
      <c r="M34" s="11">
        <v>9.8</v>
      </c>
      <c r="N34" s="11">
        <v>6.375</v>
      </c>
      <c r="O34" s="11">
        <v>8.924999999999999</v>
      </c>
      <c r="P34" s="11">
        <v>10.200000000000001</v>
      </c>
      <c r="Q34" s="12">
        <v>6.7075</v>
      </c>
      <c r="R34" s="12">
        <v>9.3905</v>
      </c>
      <c r="S34" s="12">
        <v>10.732</v>
      </c>
    </row>
    <row r="35" ht="14.25" customHeight="1">
      <c r="A35" s="5" t="s">
        <v>7</v>
      </c>
      <c r="B35" s="8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1">
        <v>3.875</v>
      </c>
      <c r="I35" s="11">
        <v>5.425</v>
      </c>
      <c r="J35" s="11">
        <v>6.2</v>
      </c>
      <c r="K35" s="11">
        <v>3.75</v>
      </c>
      <c r="L35" s="11">
        <v>5.25</v>
      </c>
      <c r="M35" s="11">
        <v>6.0</v>
      </c>
      <c r="N35" s="11">
        <v>3.75</v>
      </c>
      <c r="O35" s="11">
        <v>5.25</v>
      </c>
      <c r="P35" s="11">
        <v>6.0</v>
      </c>
      <c r="Q35" s="12">
        <v>3.75</v>
      </c>
      <c r="R35" s="12">
        <v>5.25</v>
      </c>
      <c r="S35" s="12">
        <v>6.0</v>
      </c>
    </row>
    <row r="36" ht="14.25" customHeight="1">
      <c r="A36" s="5" t="s">
        <v>7</v>
      </c>
      <c r="B36" s="8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1">
        <v>0.0</v>
      </c>
      <c r="I36" s="11">
        <v>0.0</v>
      </c>
      <c r="J36" s="11">
        <v>0.0</v>
      </c>
      <c r="K36" s="11">
        <v>0.0</v>
      </c>
      <c r="L36" s="11">
        <v>0.0</v>
      </c>
      <c r="M36" s="11">
        <v>0.0</v>
      </c>
      <c r="N36" s="11">
        <v>0.0</v>
      </c>
      <c r="O36" s="11">
        <v>0.0</v>
      </c>
      <c r="P36" s="11">
        <v>0.0</v>
      </c>
      <c r="Q36" s="12">
        <v>0.0</v>
      </c>
      <c r="R36" s="12">
        <v>0.0</v>
      </c>
      <c r="S36" s="12">
        <v>0.0</v>
      </c>
    </row>
    <row r="37" ht="14.25" customHeight="1">
      <c r="A37" s="5" t="s">
        <v>7</v>
      </c>
      <c r="B37" s="8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1">
        <v>7.5</v>
      </c>
      <c r="I37" s="11">
        <v>10.5</v>
      </c>
      <c r="J37" s="11">
        <v>12.0</v>
      </c>
      <c r="K37" s="11">
        <v>10.0</v>
      </c>
      <c r="L37" s="11">
        <v>14.0</v>
      </c>
      <c r="M37" s="11">
        <v>16.0</v>
      </c>
      <c r="N37" s="11">
        <v>10.0</v>
      </c>
      <c r="O37" s="11">
        <v>14.0</v>
      </c>
      <c r="P37" s="11">
        <v>16.0</v>
      </c>
      <c r="Q37" s="12">
        <v>10.0</v>
      </c>
      <c r="R37" s="12">
        <v>14.0</v>
      </c>
      <c r="S37" s="12">
        <v>16.0</v>
      </c>
    </row>
    <row r="38" ht="14.25" customHeight="1">
      <c r="A38" s="5" t="s">
        <v>7</v>
      </c>
      <c r="B38" s="8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1">
        <v>0.0</v>
      </c>
      <c r="I38" s="11">
        <v>0.0</v>
      </c>
      <c r="J38" s="11">
        <v>0.0</v>
      </c>
      <c r="K38" s="11">
        <v>0.0</v>
      </c>
      <c r="L38" s="11">
        <v>0.0</v>
      </c>
      <c r="M38" s="11">
        <v>0.0</v>
      </c>
      <c r="N38" s="11">
        <v>0.0</v>
      </c>
      <c r="O38" s="11">
        <v>0.0</v>
      </c>
      <c r="P38" s="11">
        <v>0.0</v>
      </c>
      <c r="Q38" s="12">
        <v>0.0</v>
      </c>
      <c r="R38" s="12">
        <v>0.0</v>
      </c>
      <c r="S38" s="12">
        <v>0.0</v>
      </c>
    </row>
    <row r="39" ht="14.25" customHeight="1">
      <c r="A39" s="5" t="s">
        <v>7</v>
      </c>
      <c r="B39" s="8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1">
        <v>2.375</v>
      </c>
      <c r="I39" s="11">
        <v>3.3249999999999997</v>
      </c>
      <c r="J39" s="11">
        <v>3.8000000000000003</v>
      </c>
      <c r="K39" s="11">
        <v>2.25</v>
      </c>
      <c r="L39" s="11">
        <v>3.15</v>
      </c>
      <c r="M39" s="11">
        <v>3.6</v>
      </c>
      <c r="N39" s="11">
        <v>2.25</v>
      </c>
      <c r="O39" s="11">
        <v>3.15</v>
      </c>
      <c r="P39" s="11">
        <v>3.6</v>
      </c>
      <c r="Q39" s="12">
        <v>2.3325</v>
      </c>
      <c r="R39" s="12">
        <v>3.2655</v>
      </c>
      <c r="S39" s="12">
        <v>3.732</v>
      </c>
    </row>
    <row r="40" ht="14.25" customHeight="1">
      <c r="A40" s="5" t="s">
        <v>7</v>
      </c>
      <c r="B40" s="8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1">
        <v>1.1875</v>
      </c>
      <c r="I40" s="11">
        <v>1.6624999999999999</v>
      </c>
      <c r="J40" s="11">
        <v>1.9000000000000001</v>
      </c>
      <c r="K40" s="11">
        <v>1.1875</v>
      </c>
      <c r="L40" s="11">
        <v>1.6624999999999999</v>
      </c>
      <c r="M40" s="11">
        <v>1.9000000000000001</v>
      </c>
      <c r="N40" s="11">
        <v>1.1875</v>
      </c>
      <c r="O40" s="11">
        <v>1.6624999999999999</v>
      </c>
      <c r="P40" s="11">
        <v>1.9000000000000001</v>
      </c>
      <c r="Q40" s="12">
        <v>1.27</v>
      </c>
      <c r="R40" s="12">
        <v>1.7779999999999998</v>
      </c>
      <c r="S40" s="12">
        <v>2.032</v>
      </c>
    </row>
    <row r="41" ht="14.25" customHeight="1">
      <c r="A41" s="5" t="s">
        <v>7</v>
      </c>
      <c r="B41" s="8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1">
        <v>0.0</v>
      </c>
      <c r="I41" s="11">
        <v>0.0</v>
      </c>
      <c r="J41" s="11">
        <v>0.0</v>
      </c>
      <c r="K41" s="11">
        <v>0.0</v>
      </c>
      <c r="L41" s="11">
        <v>0.0</v>
      </c>
      <c r="M41" s="11">
        <v>0.0</v>
      </c>
      <c r="N41" s="11">
        <v>0.0</v>
      </c>
      <c r="O41" s="11">
        <v>0.0</v>
      </c>
      <c r="P41" s="11">
        <v>0.0</v>
      </c>
      <c r="Q41" s="12">
        <v>0.0</v>
      </c>
      <c r="R41" s="12">
        <v>0.0</v>
      </c>
      <c r="S41" s="12">
        <v>0.0</v>
      </c>
    </row>
    <row r="42" ht="14.25" customHeight="1">
      <c r="A42" s="5" t="s">
        <v>7</v>
      </c>
      <c r="B42" s="8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1">
        <v>12.5</v>
      </c>
      <c r="I42" s="11">
        <v>17.5</v>
      </c>
      <c r="J42" s="11">
        <v>20.0</v>
      </c>
      <c r="K42" s="11">
        <v>11.25</v>
      </c>
      <c r="L42" s="11">
        <v>15.749999999999998</v>
      </c>
      <c r="M42" s="11">
        <v>18.0</v>
      </c>
      <c r="N42" s="11">
        <v>11.25</v>
      </c>
      <c r="O42" s="11">
        <v>15.749999999999998</v>
      </c>
      <c r="P42" s="11">
        <v>18.0</v>
      </c>
      <c r="Q42" s="12">
        <v>11.3325</v>
      </c>
      <c r="R42" s="12">
        <v>15.865499999999999</v>
      </c>
      <c r="S42" s="12">
        <v>18.132</v>
      </c>
    </row>
    <row r="43" ht="14.25" customHeight="1">
      <c r="A43" s="5" t="s">
        <v>7</v>
      </c>
      <c r="B43" s="8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1">
        <v>3.75</v>
      </c>
      <c r="I43" s="11">
        <v>5.25</v>
      </c>
      <c r="J43" s="11">
        <v>6.0</v>
      </c>
      <c r="K43" s="11">
        <v>4.586399999999999</v>
      </c>
      <c r="L43" s="11">
        <v>6.420959999999999</v>
      </c>
      <c r="M43" s="11">
        <v>7.338239999999999</v>
      </c>
      <c r="N43" s="11">
        <v>4.7736</v>
      </c>
      <c r="O43" s="11">
        <v>6.68304</v>
      </c>
      <c r="P43" s="11">
        <v>7.63776</v>
      </c>
      <c r="Q43" s="12">
        <v>5.0433</v>
      </c>
      <c r="R43" s="12">
        <v>7.06062</v>
      </c>
      <c r="S43" s="12">
        <v>8.069280000000001</v>
      </c>
    </row>
    <row r="44" ht="14.25" customHeight="1">
      <c r="A44" s="5" t="s">
        <v>7</v>
      </c>
      <c r="B44" s="8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1">
        <v>1.39375</v>
      </c>
      <c r="I44" s="11">
        <v>1.95125</v>
      </c>
      <c r="J44" s="11">
        <v>2.23</v>
      </c>
      <c r="K44" s="11">
        <v>4.31875</v>
      </c>
      <c r="L44" s="11">
        <v>6.046249999999999</v>
      </c>
      <c r="M44" s="11">
        <v>6.91</v>
      </c>
      <c r="N44" s="11">
        <v>4.31875</v>
      </c>
      <c r="O44" s="11">
        <v>6.046249999999999</v>
      </c>
      <c r="P44" s="11">
        <v>6.91</v>
      </c>
      <c r="Q44" s="12">
        <v>4.31875</v>
      </c>
      <c r="R44" s="12">
        <v>6.046249999999999</v>
      </c>
      <c r="S44" s="12">
        <v>6.91</v>
      </c>
    </row>
    <row r="45" ht="14.25" customHeight="1">
      <c r="A45" s="5" t="s">
        <v>7</v>
      </c>
      <c r="B45" s="8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1">
        <v>1.5</v>
      </c>
      <c r="I45" s="11">
        <v>2.0999999999999996</v>
      </c>
      <c r="J45" s="11">
        <v>2.4000000000000004</v>
      </c>
      <c r="K45" s="11">
        <v>0.0</v>
      </c>
      <c r="L45" s="11">
        <v>0.0</v>
      </c>
      <c r="M45" s="11">
        <v>0.0</v>
      </c>
      <c r="N45" s="11">
        <v>0.0</v>
      </c>
      <c r="O45" s="11">
        <v>0.0</v>
      </c>
      <c r="P45" s="11">
        <v>0.0</v>
      </c>
      <c r="Q45" s="12">
        <v>0.0</v>
      </c>
      <c r="R45" s="12">
        <v>0.0</v>
      </c>
      <c r="S45" s="12">
        <v>0.0</v>
      </c>
    </row>
    <row r="46" ht="14.25" customHeight="1">
      <c r="A46" s="5" t="s">
        <v>7</v>
      </c>
      <c r="B46" s="8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1">
        <v>0.0</v>
      </c>
      <c r="I46" s="11">
        <v>0.0</v>
      </c>
      <c r="J46" s="11">
        <v>0.0</v>
      </c>
      <c r="K46" s="11">
        <v>0.0</v>
      </c>
      <c r="L46" s="11">
        <v>0.0</v>
      </c>
      <c r="M46" s="11">
        <v>0.0</v>
      </c>
      <c r="N46" s="11">
        <v>0.0</v>
      </c>
      <c r="O46" s="11">
        <v>0.0</v>
      </c>
      <c r="P46" s="11">
        <v>0.0</v>
      </c>
      <c r="Q46" s="12">
        <v>0.0</v>
      </c>
      <c r="R46" s="12">
        <v>0.0</v>
      </c>
      <c r="S46" s="12">
        <v>0.0</v>
      </c>
    </row>
    <row r="47" ht="14.25" customHeight="1">
      <c r="A47" s="5" t="s">
        <v>7</v>
      </c>
      <c r="B47" s="8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1">
        <v>0.0</v>
      </c>
      <c r="I47" s="11">
        <v>0.0</v>
      </c>
      <c r="J47" s="11">
        <v>0.0</v>
      </c>
      <c r="K47" s="11">
        <v>0.0</v>
      </c>
      <c r="L47" s="11">
        <v>0.0</v>
      </c>
      <c r="M47" s="11">
        <v>0.0</v>
      </c>
      <c r="N47" s="11">
        <v>0.0</v>
      </c>
      <c r="O47" s="11">
        <v>0.0</v>
      </c>
      <c r="P47" s="11">
        <v>0.0</v>
      </c>
      <c r="Q47" s="12">
        <v>0.0</v>
      </c>
      <c r="R47" s="12">
        <v>0.0</v>
      </c>
      <c r="S47" s="12">
        <v>0.0</v>
      </c>
    </row>
    <row r="48" ht="14.25" customHeight="1">
      <c r="A48" s="5" t="s">
        <v>7</v>
      </c>
      <c r="B48" s="8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1">
        <v>0.0</v>
      </c>
      <c r="I48" s="11">
        <v>0.0</v>
      </c>
      <c r="J48" s="11">
        <v>0.0</v>
      </c>
      <c r="K48" s="11">
        <v>0.0</v>
      </c>
      <c r="L48" s="11">
        <v>0.0</v>
      </c>
      <c r="M48" s="11">
        <v>0.0</v>
      </c>
      <c r="N48" s="11">
        <v>0.0</v>
      </c>
      <c r="O48" s="11">
        <v>0.0</v>
      </c>
      <c r="P48" s="11">
        <v>0.0</v>
      </c>
      <c r="Q48" s="12">
        <v>0.0</v>
      </c>
      <c r="R48" s="12">
        <v>0.0</v>
      </c>
      <c r="S48" s="12">
        <v>0.0</v>
      </c>
    </row>
    <row r="49" ht="14.25" customHeight="1">
      <c r="A49" s="5" t="s">
        <v>7</v>
      </c>
      <c r="B49" s="8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1">
        <v>112.5</v>
      </c>
      <c r="I49" s="11">
        <v>157.5</v>
      </c>
      <c r="J49" s="11">
        <v>180.0</v>
      </c>
      <c r="K49" s="11">
        <v>103.625</v>
      </c>
      <c r="L49" s="11">
        <v>145.075</v>
      </c>
      <c r="M49" s="11">
        <v>165.8</v>
      </c>
      <c r="N49" s="11">
        <v>88.875</v>
      </c>
      <c r="O49" s="11">
        <v>124.425</v>
      </c>
      <c r="P49" s="11">
        <v>142.20000000000002</v>
      </c>
      <c r="Q49" s="12">
        <v>89.9575</v>
      </c>
      <c r="R49" s="12">
        <v>125.94049999999999</v>
      </c>
      <c r="S49" s="12">
        <v>143.932</v>
      </c>
    </row>
    <row r="50" ht="14.25" customHeight="1">
      <c r="A50" s="5" t="s">
        <v>7</v>
      </c>
      <c r="B50" s="8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1">
        <v>12.5</v>
      </c>
      <c r="I50" s="11">
        <v>17.5</v>
      </c>
      <c r="J50" s="11">
        <v>20.0</v>
      </c>
      <c r="K50" s="11">
        <v>15.0</v>
      </c>
      <c r="L50" s="11">
        <v>21.0</v>
      </c>
      <c r="M50" s="11">
        <v>24.0</v>
      </c>
      <c r="N50" s="11">
        <v>14.0</v>
      </c>
      <c r="O50" s="11">
        <v>19.599999999999998</v>
      </c>
      <c r="P50" s="11">
        <v>22.400000000000002</v>
      </c>
      <c r="Q50" s="12">
        <v>15.5825</v>
      </c>
      <c r="R50" s="12">
        <v>21.815499999999997</v>
      </c>
      <c r="S50" s="12">
        <v>24.932000000000002</v>
      </c>
    </row>
    <row r="51" ht="14.25" customHeight="1">
      <c r="A51" s="5" t="s">
        <v>7</v>
      </c>
      <c r="B51" s="8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1">
        <v>6.5</v>
      </c>
      <c r="I51" s="11">
        <v>9.1</v>
      </c>
      <c r="J51" s="11">
        <v>10.4</v>
      </c>
      <c r="K51" s="11">
        <v>16.875</v>
      </c>
      <c r="L51" s="11">
        <v>23.625</v>
      </c>
      <c r="M51" s="11">
        <v>27.0</v>
      </c>
      <c r="N51" s="11">
        <v>11.875</v>
      </c>
      <c r="O51" s="11">
        <v>16.625</v>
      </c>
      <c r="P51" s="11">
        <v>19.0</v>
      </c>
      <c r="Q51" s="12">
        <v>16.9575</v>
      </c>
      <c r="R51" s="12">
        <v>23.740499999999997</v>
      </c>
      <c r="S51" s="12">
        <v>27.132</v>
      </c>
    </row>
    <row r="52" ht="14.25" customHeight="1">
      <c r="A52" s="5" t="s">
        <v>7</v>
      </c>
      <c r="B52" s="8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1">
        <v>87.0</v>
      </c>
      <c r="I52" s="11">
        <v>121.8</v>
      </c>
      <c r="J52" s="11">
        <v>139.20000000000002</v>
      </c>
      <c r="K52" s="11">
        <v>89.375</v>
      </c>
      <c r="L52" s="11">
        <v>125.12499999999999</v>
      </c>
      <c r="M52" s="11">
        <v>143.0</v>
      </c>
      <c r="N52" s="11">
        <v>81.875</v>
      </c>
      <c r="O52" s="11">
        <v>114.62499999999999</v>
      </c>
      <c r="P52" s="11">
        <v>131.0</v>
      </c>
      <c r="Q52" s="12">
        <v>89.4575</v>
      </c>
      <c r="R52" s="12">
        <v>125.24049999999998</v>
      </c>
      <c r="S52" s="12">
        <v>143.132</v>
      </c>
    </row>
    <row r="53" ht="14.25" customHeight="1">
      <c r="A53" s="5" t="s">
        <v>7</v>
      </c>
      <c r="B53" s="8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1">
        <v>6.0</v>
      </c>
      <c r="I53" s="11">
        <v>8.399999999999999</v>
      </c>
      <c r="J53" s="11">
        <v>9.600000000000001</v>
      </c>
      <c r="K53" s="11">
        <v>5.916666666666667</v>
      </c>
      <c r="L53" s="11">
        <v>8.283333333333333</v>
      </c>
      <c r="M53" s="11">
        <v>9.466666666666667</v>
      </c>
      <c r="N53" s="11">
        <v>5.916666666666667</v>
      </c>
      <c r="O53" s="11">
        <v>8.283333333333333</v>
      </c>
      <c r="P53" s="11">
        <v>9.466666666666667</v>
      </c>
      <c r="Q53" s="12">
        <v>5.9991666666666665</v>
      </c>
      <c r="R53" s="12">
        <v>8.398833333333332</v>
      </c>
      <c r="S53" s="12">
        <v>9.598666666666666</v>
      </c>
    </row>
    <row r="54" ht="14.25" customHeight="1">
      <c r="A54" s="5" t="s">
        <v>7</v>
      </c>
      <c r="B54" s="8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1">
        <v>2.5</v>
      </c>
      <c r="I54" s="11">
        <v>3.5</v>
      </c>
      <c r="J54" s="11">
        <v>4.0</v>
      </c>
      <c r="K54" s="11">
        <v>2.9166666666666665</v>
      </c>
      <c r="L54" s="11">
        <v>4.083333333333333</v>
      </c>
      <c r="M54" s="11">
        <v>4.666666666666667</v>
      </c>
      <c r="N54" s="11">
        <v>2.9166666666666665</v>
      </c>
      <c r="O54" s="11">
        <v>4.083333333333333</v>
      </c>
      <c r="P54" s="11">
        <v>4.666666666666667</v>
      </c>
      <c r="Q54" s="12">
        <v>2.9991666666666665</v>
      </c>
      <c r="R54" s="12">
        <v>4.198833333333333</v>
      </c>
      <c r="S54" s="12">
        <v>4.798666666666667</v>
      </c>
    </row>
    <row r="55" ht="14.25" customHeight="1">
      <c r="A55" s="5" t="s">
        <v>7</v>
      </c>
      <c r="B55" s="8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1">
        <v>3.75</v>
      </c>
      <c r="I55" s="11">
        <v>5.25</v>
      </c>
      <c r="J55" s="11">
        <v>6.0</v>
      </c>
      <c r="K55" s="11">
        <v>0.0</v>
      </c>
      <c r="L55" s="11">
        <v>0.0</v>
      </c>
      <c r="M55" s="11">
        <v>0.0</v>
      </c>
      <c r="N55" s="11">
        <v>0.0</v>
      </c>
      <c r="O55" s="11">
        <v>0.0</v>
      </c>
      <c r="P55" s="11">
        <v>0.0</v>
      </c>
      <c r="Q55" s="12">
        <v>0.0</v>
      </c>
      <c r="R55" s="12">
        <v>0.0</v>
      </c>
      <c r="S55" s="12">
        <v>0.0</v>
      </c>
    </row>
    <row r="56" ht="14.25" customHeight="1">
      <c r="A56" s="5" t="s">
        <v>7</v>
      </c>
      <c r="B56" s="8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1">
        <v>0.0</v>
      </c>
      <c r="I56" s="11">
        <v>0.0</v>
      </c>
      <c r="J56" s="11">
        <v>0.0</v>
      </c>
      <c r="K56" s="11">
        <v>0.0</v>
      </c>
      <c r="L56" s="11">
        <v>0.0</v>
      </c>
      <c r="M56" s="11">
        <v>0.0</v>
      </c>
      <c r="N56" s="11">
        <v>0.0</v>
      </c>
      <c r="O56" s="11">
        <v>0.0</v>
      </c>
      <c r="P56" s="11">
        <v>0.0</v>
      </c>
      <c r="Q56" s="12">
        <v>0.0</v>
      </c>
      <c r="R56" s="12">
        <v>0.0</v>
      </c>
      <c r="S56" s="12">
        <v>0.0</v>
      </c>
    </row>
    <row r="57" ht="14.25" customHeight="1">
      <c r="A57" s="5" t="s">
        <v>7</v>
      </c>
      <c r="B57" s="8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1">
        <v>12.5</v>
      </c>
      <c r="I57" s="11">
        <v>17.5</v>
      </c>
      <c r="J57" s="11">
        <v>20.0</v>
      </c>
      <c r="K57" s="11">
        <v>0.0</v>
      </c>
      <c r="L57" s="11">
        <v>0.0</v>
      </c>
      <c r="M57" s="11">
        <v>0.0</v>
      </c>
      <c r="N57" s="11">
        <v>0.0</v>
      </c>
      <c r="O57" s="11">
        <v>0.0</v>
      </c>
      <c r="P57" s="11">
        <v>0.0</v>
      </c>
      <c r="Q57" s="12">
        <v>0.0</v>
      </c>
      <c r="R57" s="12">
        <v>0.0</v>
      </c>
      <c r="S57" s="12">
        <v>0.0</v>
      </c>
    </row>
    <row r="58" ht="14.25" customHeight="1">
      <c r="B58" s="8"/>
      <c r="C58" s="8"/>
      <c r="D58" s="8"/>
      <c r="E58" s="8"/>
      <c r="F58" s="8"/>
      <c r="G58" s="8"/>
      <c r="H58" s="11"/>
      <c r="I58" s="13" t="s">
        <v>68</v>
      </c>
      <c r="J58" s="11"/>
      <c r="K58" s="11"/>
      <c r="L58" s="11"/>
      <c r="M58" s="11"/>
      <c r="N58" s="11"/>
      <c r="O58" s="11"/>
      <c r="P58" s="11"/>
      <c r="Q58" s="12"/>
      <c r="R58" s="12"/>
      <c r="S58" s="12"/>
    </row>
    <row r="59" ht="14.25" customHeight="1">
      <c r="B59" s="8"/>
      <c r="C59" s="8"/>
      <c r="D59" s="8"/>
      <c r="E59" s="8"/>
      <c r="F59" s="8"/>
      <c r="G59" s="8"/>
      <c r="H59" s="11"/>
      <c r="I59" s="11"/>
      <c r="J59" s="11"/>
      <c r="K59" s="11"/>
      <c r="L59" s="11"/>
      <c r="M59" s="11"/>
      <c r="N59" s="11"/>
      <c r="O59" s="11"/>
      <c r="P59" s="11"/>
      <c r="Q59" s="12"/>
      <c r="R59" s="12"/>
      <c r="S59" s="12"/>
    </row>
    <row r="60" ht="14.25" customHeight="1">
      <c r="B60" s="8"/>
      <c r="C60" s="8"/>
      <c r="D60" s="8"/>
      <c r="E60" s="8"/>
      <c r="F60" s="8"/>
      <c r="G60" s="8"/>
      <c r="H60" s="11"/>
      <c r="I60" s="11"/>
      <c r="J60" s="11"/>
      <c r="K60" s="11"/>
      <c r="L60" s="11"/>
      <c r="M60" s="11"/>
      <c r="N60" s="11"/>
      <c r="O60" s="11"/>
      <c r="P60" s="11"/>
      <c r="Q60" s="12"/>
      <c r="R60" s="12"/>
      <c r="S60" s="12"/>
    </row>
    <row r="61" ht="14.25" customHeight="1">
      <c r="B61" s="8"/>
      <c r="C61" s="8"/>
      <c r="D61" s="8"/>
      <c r="E61" s="8"/>
      <c r="F61" s="8"/>
      <c r="G61" s="8"/>
      <c r="H61" s="11"/>
      <c r="I61" s="11"/>
      <c r="J61" s="11"/>
      <c r="K61" s="11"/>
      <c r="L61" s="11"/>
      <c r="M61" s="11"/>
      <c r="N61" s="11"/>
      <c r="O61" s="11"/>
      <c r="P61" s="11"/>
      <c r="Q61" s="12"/>
      <c r="R61" s="12"/>
      <c r="S61" s="12"/>
    </row>
    <row r="62" ht="14.25" customHeight="1">
      <c r="B62" s="8"/>
      <c r="C62" s="8"/>
      <c r="D62" s="8"/>
      <c r="E62" s="8"/>
      <c r="F62" s="8"/>
      <c r="G62" s="8"/>
      <c r="H62" s="11"/>
      <c r="I62" s="11"/>
      <c r="J62" s="11"/>
      <c r="K62" s="11"/>
      <c r="L62" s="11"/>
      <c r="M62" s="11"/>
      <c r="N62" s="11"/>
      <c r="O62" s="11"/>
      <c r="P62" s="11"/>
      <c r="Q62" s="12"/>
      <c r="R62" s="12"/>
      <c r="S62" s="12"/>
    </row>
    <row r="63" ht="14.25" customHeight="1">
      <c r="B63" s="8"/>
      <c r="C63" s="8"/>
      <c r="D63" s="8"/>
      <c r="E63" s="8"/>
      <c r="F63" s="8"/>
      <c r="G63" s="8"/>
      <c r="H63" s="11"/>
      <c r="I63" s="11"/>
      <c r="J63" s="11"/>
      <c r="K63" s="11"/>
      <c r="L63" s="11"/>
      <c r="M63" s="11"/>
      <c r="N63" s="11"/>
      <c r="O63" s="11"/>
      <c r="P63" s="11"/>
      <c r="Q63" s="12"/>
      <c r="R63" s="12"/>
      <c r="S63" s="12"/>
    </row>
    <row r="64" ht="14.25" customHeight="1">
      <c r="B64" s="4"/>
      <c r="C64" s="4"/>
      <c r="D64" s="4"/>
      <c r="E64" s="10"/>
      <c r="F64" s="10"/>
      <c r="G64" s="10"/>
      <c r="H64" s="11"/>
      <c r="I64" s="11"/>
      <c r="J64" s="11"/>
      <c r="K64" s="11"/>
      <c r="L64" s="11"/>
      <c r="M64" s="11"/>
      <c r="N64" s="11"/>
      <c r="O64" s="11"/>
      <c r="P64" s="11"/>
      <c r="Q64" s="12"/>
      <c r="R64" s="12"/>
      <c r="S64" s="12"/>
    </row>
    <row r="65" ht="14.25" customHeight="1">
      <c r="B65" s="14"/>
      <c r="C65" s="14"/>
      <c r="D65" s="14"/>
      <c r="E65" s="10"/>
      <c r="F65" s="10"/>
      <c r="G65" s="10"/>
      <c r="H65" s="4"/>
      <c r="I65" s="4"/>
      <c r="J65" s="4"/>
      <c r="K65" s="4"/>
      <c r="L65" s="4"/>
      <c r="M65" s="4"/>
      <c r="N65" s="4"/>
      <c r="O65" s="11"/>
      <c r="P65" s="11"/>
      <c r="Q65" s="12"/>
      <c r="R65" s="12"/>
      <c r="S65" s="12"/>
    </row>
    <row r="66" ht="14.25" customHeight="1">
      <c r="B66" s="4"/>
      <c r="C66" s="4"/>
      <c r="D66" s="4"/>
      <c r="E66" s="10"/>
      <c r="F66" s="10"/>
      <c r="G66" s="10"/>
      <c r="H66" s="4"/>
      <c r="I66" s="4"/>
      <c r="J66" s="4"/>
      <c r="K66" s="4"/>
      <c r="L66" s="4"/>
      <c r="M66" s="4"/>
      <c r="N66" s="4"/>
      <c r="O66" s="4"/>
      <c r="P66" s="4"/>
      <c r="Q66" s="4"/>
      <c r="R66" s="12"/>
      <c r="S66" s="12"/>
    </row>
    <row r="67" ht="14.25" customHeight="1">
      <c r="B67" s="4"/>
      <c r="C67" s="4"/>
      <c r="D67" s="4"/>
      <c r="E67" s="10"/>
      <c r="F67" s="10"/>
      <c r="G67" s="10"/>
      <c r="H67" s="4"/>
      <c r="I67" s="4"/>
      <c r="J67" s="4"/>
      <c r="K67" s="4"/>
      <c r="L67" s="4"/>
      <c r="M67" s="4"/>
      <c r="N67" s="4"/>
      <c r="O67" s="4"/>
      <c r="P67" s="4"/>
      <c r="Q67" s="4"/>
      <c r="R67" s="12"/>
      <c r="S67" s="12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8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5">
        <f>CM_Budget!H2-95%</f>
        <v>9.55</v>
      </c>
      <c r="I2" s="15">
        <f>CM_Budget!I2-95%</f>
        <v>13.75</v>
      </c>
      <c r="J2" s="15">
        <f>CM_Budget!J2-95%</f>
        <v>15.85</v>
      </c>
      <c r="K2" s="15">
        <f>CM_Budget!K2-95%</f>
        <v>17.32</v>
      </c>
      <c r="L2" s="15">
        <f>CM_Budget!L2-95%</f>
        <v>24.628</v>
      </c>
      <c r="M2" s="15">
        <f>CM_Budget!M2-95%</f>
        <v>28.282</v>
      </c>
      <c r="N2" s="15">
        <f>CM_Budget!N2-95%</f>
        <v>19.6405</v>
      </c>
      <c r="O2" s="15">
        <f>CM_Budget!O2-95%</f>
        <v>27.8767</v>
      </c>
      <c r="P2" s="15">
        <f>CM_Budget!P2-95%</f>
        <v>31.9948</v>
      </c>
      <c r="Q2" s="15">
        <f>CM_Budget!Q2-95%</f>
        <v>20.42065</v>
      </c>
      <c r="R2" s="15">
        <f>CM_Budget!R2-95%</f>
        <v>28.96891</v>
      </c>
      <c r="S2" s="15">
        <f>CM_Budget!S2-95%</f>
        <v>33.24304</v>
      </c>
    </row>
    <row r="3" ht="14.25" customHeight="1">
      <c r="A3" s="5" t="s">
        <v>7</v>
      </c>
      <c r="B3" s="8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5">
        <f>CM_Budget!H3-95%</f>
        <v>1.6435</v>
      </c>
      <c r="I3" s="15">
        <f>CM_Budget!I3-95%</f>
        <v>2.6809</v>
      </c>
      <c r="J3" s="15">
        <f>CM_Budget!J3-95%</f>
        <v>3.1996</v>
      </c>
      <c r="K3" s="15">
        <f>CM_Budget!K3-95%</f>
        <v>1.717</v>
      </c>
      <c r="L3" s="15">
        <f>CM_Budget!L3-95%</f>
        <v>2.7838</v>
      </c>
      <c r="M3" s="15">
        <f>CM_Budget!M3-95%</f>
        <v>3.3172</v>
      </c>
      <c r="N3" s="15">
        <f>CM_Budget!N3-95%</f>
        <v>1.843</v>
      </c>
      <c r="O3" s="15">
        <f>CM_Budget!O3-95%</f>
        <v>2.9602</v>
      </c>
      <c r="P3" s="15">
        <f>CM_Budget!P3-95%</f>
        <v>3.5188</v>
      </c>
      <c r="Q3" s="15">
        <f>CM_Budget!Q3-95%</f>
        <v>2.00365</v>
      </c>
      <c r="R3" s="15">
        <f>CM_Budget!R3-95%</f>
        <v>3.18511</v>
      </c>
      <c r="S3" s="15">
        <f>CM_Budget!S3-95%</f>
        <v>3.77584</v>
      </c>
    </row>
    <row r="4" ht="14.25" customHeight="1">
      <c r="A4" s="5" t="s">
        <v>7</v>
      </c>
      <c r="B4" s="8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5">
        <f>CM_Budget!H4-95%</f>
        <v>0.31</v>
      </c>
      <c r="I4" s="15">
        <f>CM_Budget!I4-95%</f>
        <v>0.814</v>
      </c>
      <c r="J4" s="15">
        <f>CM_Budget!J4-95%</f>
        <v>1.066</v>
      </c>
      <c r="K4" s="15">
        <f>CM_Budget!K4-95%</f>
        <v>0.5935</v>
      </c>
      <c r="L4" s="15">
        <f>CM_Budget!L4-95%</f>
        <v>1.2109</v>
      </c>
      <c r="M4" s="15">
        <f>CM_Budget!M4-95%</f>
        <v>1.5196</v>
      </c>
      <c r="N4" s="15">
        <f>CM_Budget!N4-95%</f>
        <v>0.6565</v>
      </c>
      <c r="O4" s="15">
        <f>CM_Budget!O4-95%</f>
        <v>1.2991</v>
      </c>
      <c r="P4" s="15">
        <f>CM_Budget!P4-95%</f>
        <v>1.6204</v>
      </c>
      <c r="Q4" s="15">
        <f>CM_Budget!Q4-95%</f>
        <v>0.75415</v>
      </c>
      <c r="R4" s="15">
        <f>CM_Budget!R4-95%</f>
        <v>1.43581</v>
      </c>
      <c r="S4" s="15">
        <f>CM_Budget!S4-95%</f>
        <v>1.77664</v>
      </c>
    </row>
    <row r="5" ht="14.25" customHeight="1">
      <c r="A5" s="5" t="s">
        <v>7</v>
      </c>
      <c r="B5" s="8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5">
        <f>CM_Budget!H5-95%</f>
        <v>-0.4775</v>
      </c>
      <c r="I5" s="15">
        <f>CM_Budget!I5-95%</f>
        <v>-0.2885</v>
      </c>
      <c r="J5" s="15">
        <f>CM_Budget!J5-95%</f>
        <v>-0.194</v>
      </c>
      <c r="K5" s="15">
        <f>CM_Budget!K5-95%</f>
        <v>-0.4775</v>
      </c>
      <c r="L5" s="15">
        <f>CM_Budget!L5-95%</f>
        <v>-0.2885</v>
      </c>
      <c r="M5" s="15">
        <f>CM_Budget!M5-95%</f>
        <v>-0.194</v>
      </c>
      <c r="N5" s="15">
        <f>CM_Budget!N5-95%</f>
        <v>-0.4775</v>
      </c>
      <c r="O5" s="15">
        <f>CM_Budget!O5-95%</f>
        <v>-0.2885</v>
      </c>
      <c r="P5" s="15">
        <f>CM_Budget!P5-95%</f>
        <v>-0.194</v>
      </c>
      <c r="Q5" s="15">
        <f>CM_Budget!Q5-95%</f>
        <v>-0.44285</v>
      </c>
      <c r="R5" s="15">
        <f>CM_Budget!R5-95%</f>
        <v>-0.23999</v>
      </c>
      <c r="S5" s="15">
        <f>CM_Budget!S5-95%</f>
        <v>-0.13856</v>
      </c>
    </row>
    <row r="6" ht="14.25" customHeight="1">
      <c r="A6" s="5" t="s">
        <v>7</v>
      </c>
      <c r="B6" s="8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5">
        <f>CM_Budget!H6-95%</f>
        <v>5.518</v>
      </c>
      <c r="I6" s="15">
        <f>CM_Budget!I6-95%</f>
        <v>8.1052</v>
      </c>
      <c r="J6" s="15">
        <f>CM_Budget!J6-95%</f>
        <v>9.3988</v>
      </c>
      <c r="K6" s="15">
        <f>CM_Budget!K6-95%</f>
        <v>5.7385</v>
      </c>
      <c r="L6" s="15">
        <f>CM_Budget!L6-95%</f>
        <v>8.4139</v>
      </c>
      <c r="M6" s="15">
        <f>CM_Budget!M6-95%</f>
        <v>9.7516</v>
      </c>
      <c r="N6" s="15">
        <f>CM_Budget!N6-95%</f>
        <v>6.0115</v>
      </c>
      <c r="O6" s="15">
        <f>CM_Budget!O6-95%</f>
        <v>8.7961</v>
      </c>
      <c r="P6" s="15">
        <f>CM_Budget!P6-95%</f>
        <v>10.1884</v>
      </c>
      <c r="Q6" s="15">
        <f>CM_Budget!Q6-95%</f>
        <v>6.31915</v>
      </c>
      <c r="R6" s="15">
        <f>CM_Budget!R6-95%</f>
        <v>9.22681</v>
      </c>
      <c r="S6" s="15">
        <f>CM_Budget!S6-95%</f>
        <v>10.68064</v>
      </c>
    </row>
    <row r="7" ht="14.25" customHeight="1">
      <c r="A7" s="5" t="s">
        <v>7</v>
      </c>
      <c r="B7" s="8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5">
        <f>CM_Budget!H7-95%</f>
        <v>-0.7925</v>
      </c>
      <c r="I7" s="15">
        <f>CM_Budget!I7-95%</f>
        <v>-0.7295</v>
      </c>
      <c r="J7" s="15">
        <f>CM_Budget!J7-95%</f>
        <v>-0.698</v>
      </c>
      <c r="K7" s="15">
        <f>CM_Budget!K7-95%</f>
        <v>-0.194</v>
      </c>
      <c r="L7" s="15">
        <f>CM_Budget!L7-95%</f>
        <v>0.1084</v>
      </c>
      <c r="M7" s="15">
        <f>CM_Budget!M7-95%</f>
        <v>0.2596</v>
      </c>
      <c r="N7" s="15">
        <f>CM_Budget!N7-95%</f>
        <v>-0.131</v>
      </c>
      <c r="O7" s="15">
        <f>CM_Budget!O7-95%</f>
        <v>0.1966</v>
      </c>
      <c r="P7" s="15">
        <f>CM_Budget!P7-95%</f>
        <v>0.3604</v>
      </c>
      <c r="Q7" s="15">
        <f>CM_Budget!Q7-95%</f>
        <v>-0.03335</v>
      </c>
      <c r="R7" s="15">
        <f>CM_Budget!R7-95%</f>
        <v>0.33331</v>
      </c>
      <c r="S7" s="15">
        <f>CM_Budget!S7-95%</f>
        <v>0.51664</v>
      </c>
    </row>
    <row r="8" ht="14.25" customHeight="1">
      <c r="A8" s="5" t="s">
        <v>7</v>
      </c>
      <c r="B8" s="8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5">
        <f>CM_Budget!H8-95%</f>
        <v>0.3625</v>
      </c>
      <c r="I8" s="15">
        <f>CM_Budget!I8-95%</f>
        <v>0.8875</v>
      </c>
      <c r="J8" s="15">
        <f>CM_Budget!J8-95%</f>
        <v>1.15</v>
      </c>
      <c r="K8" s="15">
        <f>CM_Budget!K8-95%</f>
        <v>1.675</v>
      </c>
      <c r="L8" s="15">
        <f>CM_Budget!L8-95%</f>
        <v>2.725</v>
      </c>
      <c r="M8" s="15">
        <f>CM_Budget!M8-95%</f>
        <v>3.25</v>
      </c>
      <c r="N8" s="15">
        <f>CM_Budget!N8-95%</f>
        <v>1.675</v>
      </c>
      <c r="O8" s="15">
        <f>CM_Budget!O8-95%</f>
        <v>2.725</v>
      </c>
      <c r="P8" s="15">
        <f>CM_Budget!P8-95%</f>
        <v>3.25</v>
      </c>
      <c r="Q8" s="15">
        <f>CM_Budget!Q8-95%</f>
        <v>1.70965</v>
      </c>
      <c r="R8" s="15">
        <f>CM_Budget!R8-95%</f>
        <v>2.77351</v>
      </c>
      <c r="S8" s="15">
        <f>CM_Budget!S8-95%</f>
        <v>3.30544</v>
      </c>
    </row>
    <row r="9" ht="14.25" customHeight="1">
      <c r="A9" s="5" t="s">
        <v>7</v>
      </c>
      <c r="B9" s="8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5">
        <f>CM_Budget!H9-95%</f>
        <v>0.625</v>
      </c>
      <c r="I9" s="15">
        <f>CM_Budget!I9-95%</f>
        <v>1.255</v>
      </c>
      <c r="J9" s="15">
        <f>CM_Budget!J9-95%</f>
        <v>1.57</v>
      </c>
      <c r="K9" s="15">
        <f>CM_Budget!K9-95%</f>
        <v>2.2</v>
      </c>
      <c r="L9" s="15">
        <f>CM_Budget!L9-95%</f>
        <v>3.46</v>
      </c>
      <c r="M9" s="15">
        <f>CM_Budget!M9-95%</f>
        <v>4.09</v>
      </c>
      <c r="N9" s="15">
        <f>CM_Budget!N9-95%</f>
        <v>3.25</v>
      </c>
      <c r="O9" s="15">
        <f>CM_Budget!O9-95%</f>
        <v>4.93</v>
      </c>
      <c r="P9" s="15">
        <f>CM_Budget!P9-95%</f>
        <v>5.77</v>
      </c>
      <c r="Q9" s="15">
        <f>CM_Budget!Q9-95%</f>
        <v>2.41</v>
      </c>
      <c r="R9" s="15">
        <f>CM_Budget!R9-95%</f>
        <v>3.754</v>
      </c>
      <c r="S9" s="15">
        <f>CM_Budget!S9-95%</f>
        <v>4.426</v>
      </c>
    </row>
    <row r="10" ht="14.25" customHeight="1">
      <c r="A10" s="5" t="s">
        <v>7</v>
      </c>
      <c r="B10" s="8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5">
        <f>CM_Budget!H10-95%</f>
        <v>-0.95</v>
      </c>
      <c r="I10" s="15">
        <f>CM_Budget!I10-95%</f>
        <v>-0.95</v>
      </c>
      <c r="J10" s="15">
        <f>CM_Budget!J10-95%</f>
        <v>-0.95</v>
      </c>
      <c r="K10" s="15">
        <f>CM_Budget!K10-95%</f>
        <v>-0.95</v>
      </c>
      <c r="L10" s="15">
        <f>CM_Budget!L10-95%</f>
        <v>-0.95</v>
      </c>
      <c r="M10" s="15">
        <f>CM_Budget!M10-95%</f>
        <v>-0.95</v>
      </c>
      <c r="N10" s="15">
        <f>CM_Budget!N10-95%</f>
        <v>-0.95</v>
      </c>
      <c r="O10" s="15">
        <f>CM_Budget!O10-95%</f>
        <v>-0.95</v>
      </c>
      <c r="P10" s="15">
        <f>CM_Budget!P10-95%</f>
        <v>-0.95</v>
      </c>
      <c r="Q10" s="15">
        <f>CM_Budget!Q10-95%</f>
        <v>-0.95</v>
      </c>
      <c r="R10" s="15">
        <f>CM_Budget!R10-95%</f>
        <v>-0.95</v>
      </c>
      <c r="S10" s="15">
        <f>CM_Budget!S10-95%</f>
        <v>-0.95</v>
      </c>
    </row>
    <row r="11" ht="14.25" customHeight="1">
      <c r="A11" s="5" t="s">
        <v>7</v>
      </c>
      <c r="B11" s="8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5">
        <f>CM_Budget!H11-95%</f>
        <v>3.8275</v>
      </c>
      <c r="I11" s="15">
        <f>CM_Budget!I11-95%</f>
        <v>5.7385</v>
      </c>
      <c r="J11" s="15">
        <f>CM_Budget!J11-95%</f>
        <v>6.694</v>
      </c>
      <c r="K11" s="15">
        <f>CM_Budget!K11-95%</f>
        <v>3.88</v>
      </c>
      <c r="L11" s="15">
        <f>CM_Budget!L11-95%</f>
        <v>5.812</v>
      </c>
      <c r="M11" s="15">
        <f>CM_Budget!M11-95%</f>
        <v>6.778</v>
      </c>
      <c r="N11" s="15">
        <f>CM_Budget!N11-95%</f>
        <v>3.88</v>
      </c>
      <c r="O11" s="15">
        <f>CM_Budget!O11-95%</f>
        <v>5.812</v>
      </c>
      <c r="P11" s="15">
        <f>CM_Budget!P11-95%</f>
        <v>6.778</v>
      </c>
      <c r="Q11" s="15">
        <f>CM_Budget!Q11-95%</f>
        <v>3.91465</v>
      </c>
      <c r="R11" s="15">
        <f>CM_Budget!R11-95%</f>
        <v>5.86051</v>
      </c>
      <c r="S11" s="15">
        <f>CM_Budget!S11-95%</f>
        <v>6.83344</v>
      </c>
    </row>
    <row r="12" ht="14.25" customHeight="1">
      <c r="A12" s="5" t="s">
        <v>7</v>
      </c>
      <c r="B12" s="8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5">
        <f>CM_Budget!H12-95%</f>
        <v>2.83</v>
      </c>
      <c r="I12" s="15">
        <f>CM_Budget!I12-95%</f>
        <v>4.342</v>
      </c>
      <c r="J12" s="15">
        <f>CM_Budget!J12-95%</f>
        <v>5.098</v>
      </c>
      <c r="K12" s="15">
        <f>CM_Budget!K12-95%</f>
        <v>2.37115</v>
      </c>
      <c r="L12" s="15">
        <f>CM_Budget!L12-95%</f>
        <v>3.69961</v>
      </c>
      <c r="M12" s="15">
        <f>CM_Budget!M12-95%</f>
        <v>4.36384</v>
      </c>
      <c r="N12" s="15">
        <f>CM_Budget!N12-95%</f>
        <v>2.26615</v>
      </c>
      <c r="O12" s="15">
        <f>CM_Budget!O12-95%</f>
        <v>3.55261</v>
      </c>
      <c r="P12" s="15">
        <f>CM_Budget!P12-95%</f>
        <v>4.19584</v>
      </c>
      <c r="Q12" s="15">
        <f>CM_Budget!Q12-95%</f>
        <v>2.3533</v>
      </c>
      <c r="R12" s="15">
        <f>CM_Budget!R12-95%</f>
        <v>3.67462</v>
      </c>
      <c r="S12" s="15">
        <f>CM_Budget!S12-95%</f>
        <v>4.33528</v>
      </c>
    </row>
    <row r="13" ht="14.25" customHeight="1">
      <c r="A13" s="5" t="s">
        <v>7</v>
      </c>
      <c r="B13" s="8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5">
        <f>CM_Budget!H13-95%</f>
        <v>0.835</v>
      </c>
      <c r="I13" s="15">
        <f>CM_Budget!I13-95%</f>
        <v>1.549</v>
      </c>
      <c r="J13" s="15">
        <f>CM_Budget!J13-95%</f>
        <v>1.906</v>
      </c>
      <c r="K13" s="15">
        <f>CM_Budget!K13-95%</f>
        <v>2.2</v>
      </c>
      <c r="L13" s="15">
        <f>CM_Budget!L13-95%</f>
        <v>3.46</v>
      </c>
      <c r="M13" s="15">
        <f>CM_Budget!M13-95%</f>
        <v>4.09</v>
      </c>
      <c r="N13" s="15">
        <f>CM_Budget!N13-95%</f>
        <v>2.725</v>
      </c>
      <c r="O13" s="15">
        <f>CM_Budget!O13-95%</f>
        <v>4.195</v>
      </c>
      <c r="P13" s="15">
        <f>CM_Budget!P13-95%</f>
        <v>4.93</v>
      </c>
      <c r="Q13" s="15">
        <f>CM_Budget!Q13-95%</f>
        <v>3.25</v>
      </c>
      <c r="R13" s="15">
        <f>CM_Budget!R13-95%</f>
        <v>4.93</v>
      </c>
      <c r="S13" s="15">
        <f>CM_Budget!S13-95%</f>
        <v>5.77</v>
      </c>
    </row>
    <row r="14" ht="14.25" customHeight="1">
      <c r="A14" s="5" t="s">
        <v>7</v>
      </c>
      <c r="B14" s="8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5">
        <f>CM_Budget!H14-95%</f>
        <v>-0.95</v>
      </c>
      <c r="I14" s="15">
        <f>CM_Budget!I14-95%</f>
        <v>-0.95</v>
      </c>
      <c r="J14" s="15">
        <f>CM_Budget!J14-95%</f>
        <v>-0.95</v>
      </c>
      <c r="K14" s="15">
        <f>CM_Budget!K14-95%</f>
        <v>-0.95</v>
      </c>
      <c r="L14" s="15">
        <f>CM_Budget!L14-95%</f>
        <v>-0.95</v>
      </c>
      <c r="M14" s="15">
        <f>CM_Budget!M14-95%</f>
        <v>-0.95</v>
      </c>
      <c r="N14" s="15">
        <f>CM_Budget!N14-95%</f>
        <v>-0.95</v>
      </c>
      <c r="O14" s="15">
        <f>CM_Budget!O14-95%</f>
        <v>-0.95</v>
      </c>
      <c r="P14" s="15">
        <f>CM_Budget!P14-95%</f>
        <v>-0.95</v>
      </c>
      <c r="Q14" s="15">
        <f>CM_Budget!Q14-95%</f>
        <v>-0.95</v>
      </c>
      <c r="R14" s="15">
        <f>CM_Budget!R14-95%</f>
        <v>-0.95</v>
      </c>
      <c r="S14" s="15">
        <f>CM_Budget!S14-95%</f>
        <v>-0.95</v>
      </c>
    </row>
    <row r="15" ht="14.25" customHeight="1">
      <c r="A15" s="5" t="s">
        <v>7</v>
      </c>
      <c r="B15" s="8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5">
        <f>CM_Budget!H15-95%</f>
        <v>-0.95</v>
      </c>
      <c r="I15" s="15">
        <f>CM_Budget!I15-95%</f>
        <v>-0.95</v>
      </c>
      <c r="J15" s="15">
        <f>CM_Budget!J15-95%</f>
        <v>-0.95</v>
      </c>
      <c r="K15" s="15">
        <f>CM_Budget!K15-95%</f>
        <v>-0.95</v>
      </c>
      <c r="L15" s="15">
        <f>CM_Budget!L15-95%</f>
        <v>-0.95</v>
      </c>
      <c r="M15" s="15">
        <f>CM_Budget!M15-95%</f>
        <v>-0.95</v>
      </c>
      <c r="N15" s="15">
        <f>CM_Budget!N15-95%</f>
        <v>-0.95</v>
      </c>
      <c r="O15" s="15">
        <f>CM_Budget!O15-95%</f>
        <v>-0.95</v>
      </c>
      <c r="P15" s="15">
        <f>CM_Budget!P15-95%</f>
        <v>-0.95</v>
      </c>
      <c r="Q15" s="15">
        <f>CM_Budget!Q15-95%</f>
        <v>-0.95</v>
      </c>
      <c r="R15" s="15">
        <f>CM_Budget!R15-95%</f>
        <v>-0.95</v>
      </c>
      <c r="S15" s="15">
        <f>CM_Budget!S15-95%</f>
        <v>-0.95</v>
      </c>
    </row>
    <row r="16" ht="14.25" customHeight="1">
      <c r="A16" s="5" t="s">
        <v>7</v>
      </c>
      <c r="B16" s="8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5">
        <f>CM_Budget!H16-95%</f>
        <v>-0.95</v>
      </c>
      <c r="I16" s="15">
        <f>CM_Budget!I16-95%</f>
        <v>-0.95</v>
      </c>
      <c r="J16" s="15">
        <f>CM_Budget!J16-95%</f>
        <v>-0.95</v>
      </c>
      <c r="K16" s="15">
        <f>CM_Budget!K16-95%</f>
        <v>-0.95</v>
      </c>
      <c r="L16" s="15">
        <f>CM_Budget!L16-95%</f>
        <v>-0.95</v>
      </c>
      <c r="M16" s="15">
        <f>CM_Budget!M16-95%</f>
        <v>-0.95</v>
      </c>
      <c r="N16" s="15">
        <f>CM_Budget!N16-95%</f>
        <v>-0.95</v>
      </c>
      <c r="O16" s="15">
        <f>CM_Budget!O16-95%</f>
        <v>-0.95</v>
      </c>
      <c r="P16" s="15">
        <f>CM_Budget!P16-95%</f>
        <v>-0.95</v>
      </c>
      <c r="Q16" s="15">
        <f>CM_Budget!Q16-95%</f>
        <v>-0.95</v>
      </c>
      <c r="R16" s="15">
        <f>CM_Budget!R16-95%</f>
        <v>-0.95</v>
      </c>
      <c r="S16" s="15">
        <f>CM_Budget!S16-95%</f>
        <v>-0.95</v>
      </c>
    </row>
    <row r="17" ht="14.25" customHeight="1">
      <c r="A17" s="5" t="s">
        <v>7</v>
      </c>
      <c r="B17" s="8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5">
        <f>CM_Budget!H17-95%</f>
        <v>2.2</v>
      </c>
      <c r="I17" s="15">
        <f>CM_Budget!I17-95%</f>
        <v>3.46</v>
      </c>
      <c r="J17" s="15">
        <f>CM_Budget!J17-95%</f>
        <v>4.09</v>
      </c>
      <c r="K17" s="15">
        <f>CM_Budget!K17-95%</f>
        <v>3.775</v>
      </c>
      <c r="L17" s="15">
        <f>CM_Budget!L17-95%</f>
        <v>5.665</v>
      </c>
      <c r="M17" s="15">
        <f>CM_Budget!M17-95%</f>
        <v>6.61</v>
      </c>
      <c r="N17" s="15">
        <f>CM_Budget!N17-95%</f>
        <v>3.775</v>
      </c>
      <c r="O17" s="15">
        <f>CM_Budget!O17-95%</f>
        <v>5.665</v>
      </c>
      <c r="P17" s="15">
        <f>CM_Budget!P17-95%</f>
        <v>6.61</v>
      </c>
      <c r="Q17" s="15">
        <f>CM_Budget!Q17-95%</f>
        <v>3.80965</v>
      </c>
      <c r="R17" s="15">
        <f>CM_Budget!R17-95%</f>
        <v>5.71351</v>
      </c>
      <c r="S17" s="15">
        <f>CM_Budget!S17-95%</f>
        <v>6.66544</v>
      </c>
    </row>
    <row r="18" ht="14.25" customHeight="1">
      <c r="A18" s="5" t="s">
        <v>7</v>
      </c>
      <c r="B18" s="8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5">
        <f>CM_Budget!H18-95%</f>
        <v>1.2025</v>
      </c>
      <c r="I18" s="15">
        <f>CM_Budget!I18-95%</f>
        <v>2.0635</v>
      </c>
      <c r="J18" s="15">
        <f>CM_Budget!J18-95%</f>
        <v>2.494</v>
      </c>
      <c r="K18" s="15">
        <f>CM_Budget!K18-95%</f>
        <v>1.15</v>
      </c>
      <c r="L18" s="15">
        <f>CM_Budget!L18-95%</f>
        <v>1.99</v>
      </c>
      <c r="M18" s="15">
        <f>CM_Budget!M18-95%</f>
        <v>2.41</v>
      </c>
      <c r="N18" s="15">
        <f>CM_Budget!N18-95%</f>
        <v>1.15</v>
      </c>
      <c r="O18" s="15">
        <f>CM_Budget!O18-95%</f>
        <v>1.99</v>
      </c>
      <c r="P18" s="15">
        <f>CM_Budget!P18-95%</f>
        <v>2.41</v>
      </c>
      <c r="Q18" s="15">
        <f>CM_Budget!Q18-95%</f>
        <v>1.18465</v>
      </c>
      <c r="R18" s="15">
        <f>CM_Budget!R18-95%</f>
        <v>2.03851</v>
      </c>
      <c r="S18" s="15">
        <f>CM_Budget!S18-95%</f>
        <v>2.46544</v>
      </c>
    </row>
    <row r="19" ht="14.25" customHeight="1">
      <c r="A19" s="5" t="s">
        <v>7</v>
      </c>
      <c r="B19" s="8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5">
        <f>CM_Budget!H19-95%</f>
        <v>4.51</v>
      </c>
      <c r="I19" s="15">
        <f>CM_Budget!I19-95%</f>
        <v>6.694</v>
      </c>
      <c r="J19" s="15">
        <f>CM_Budget!J19-95%</f>
        <v>7.786</v>
      </c>
      <c r="K19" s="15">
        <f>CM_Budget!K19-95%</f>
        <v>4.825</v>
      </c>
      <c r="L19" s="15">
        <f>CM_Budget!L19-95%</f>
        <v>7.135</v>
      </c>
      <c r="M19" s="15">
        <f>CM_Budget!M19-95%</f>
        <v>8.29</v>
      </c>
      <c r="N19" s="15">
        <f>CM_Budget!N19-95%</f>
        <v>5.35</v>
      </c>
      <c r="O19" s="15">
        <f>CM_Budget!O19-95%</f>
        <v>7.87</v>
      </c>
      <c r="P19" s="15">
        <f>CM_Budget!P19-95%</f>
        <v>9.13</v>
      </c>
      <c r="Q19" s="15">
        <f>CM_Budget!Q19-95%</f>
        <v>4.33465</v>
      </c>
      <c r="R19" s="15">
        <f>CM_Budget!R19-95%</f>
        <v>6.44851</v>
      </c>
      <c r="S19" s="15">
        <f>CM_Budget!S19-95%</f>
        <v>7.50544</v>
      </c>
    </row>
    <row r="20" ht="14.25" customHeight="1">
      <c r="A20" s="5" t="s">
        <v>7</v>
      </c>
      <c r="B20" s="8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5">
        <f>CM_Budget!H20-95%</f>
        <v>5.27125</v>
      </c>
      <c r="I20" s="15">
        <f>CM_Budget!I20-95%</f>
        <v>7.75975</v>
      </c>
      <c r="J20" s="15">
        <f>CM_Budget!J20-95%</f>
        <v>9.004</v>
      </c>
      <c r="K20" s="15">
        <f>CM_Budget!K20-95%</f>
        <v>5.48125</v>
      </c>
      <c r="L20" s="15">
        <f>CM_Budget!L20-95%</f>
        <v>8.05375</v>
      </c>
      <c r="M20" s="15">
        <f>CM_Budget!M20-95%</f>
        <v>9.34</v>
      </c>
      <c r="N20" s="15">
        <f>CM_Budget!N20-95%</f>
        <v>5.74375</v>
      </c>
      <c r="O20" s="15">
        <f>CM_Budget!O20-95%</f>
        <v>8.42125</v>
      </c>
      <c r="P20" s="15">
        <f>CM_Budget!P20-95%</f>
        <v>9.76</v>
      </c>
      <c r="Q20" s="15">
        <f>CM_Budget!Q20-95%</f>
        <v>6.0409</v>
      </c>
      <c r="R20" s="15">
        <f>CM_Budget!R20-95%</f>
        <v>8.83726</v>
      </c>
      <c r="S20" s="15">
        <f>CM_Budget!S20-95%</f>
        <v>10.23544</v>
      </c>
    </row>
    <row r="21" ht="14.25" customHeight="1">
      <c r="A21" s="5" t="s">
        <v>7</v>
      </c>
      <c r="B21" s="8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5">
        <f>CM_Budget!H21-95%</f>
        <v>24.3025</v>
      </c>
      <c r="I21" s="15">
        <f>CM_Budget!I21-95%</f>
        <v>34.4035</v>
      </c>
      <c r="J21" s="15">
        <f>CM_Budget!J21-95%</f>
        <v>39.454</v>
      </c>
      <c r="K21" s="15">
        <f>CM_Budget!K21-95%</f>
        <v>28.45</v>
      </c>
      <c r="L21" s="15">
        <f>CM_Budget!L21-95%</f>
        <v>40.21</v>
      </c>
      <c r="M21" s="15">
        <f>CM_Budget!M21-95%</f>
        <v>46.09</v>
      </c>
      <c r="N21" s="15">
        <f>CM_Budget!N21-95%</f>
        <v>31.6</v>
      </c>
      <c r="O21" s="15">
        <f>CM_Budget!O21-95%</f>
        <v>44.62</v>
      </c>
      <c r="P21" s="15">
        <f>CM_Budget!P21-95%</f>
        <v>51.13</v>
      </c>
      <c r="Q21" s="15">
        <f>CM_Budget!Q21-95%</f>
        <v>31.63465</v>
      </c>
      <c r="R21" s="15">
        <f>CM_Budget!R21-95%</f>
        <v>44.66851</v>
      </c>
      <c r="S21" s="15">
        <f>CM_Budget!S21-95%</f>
        <v>51.18544</v>
      </c>
    </row>
    <row r="22" ht="14.25" customHeight="1">
      <c r="A22" s="5" t="s">
        <v>7</v>
      </c>
      <c r="B22" s="8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5">
        <f>CM_Budget!H22-95%</f>
        <v>4.8775</v>
      </c>
      <c r="I22" s="15">
        <f>CM_Budget!I22-95%</f>
        <v>7.2085</v>
      </c>
      <c r="J22" s="15">
        <f>CM_Budget!J22-95%</f>
        <v>8.374</v>
      </c>
      <c r="K22" s="15">
        <f>CM_Budget!K22-95%</f>
        <v>4.825</v>
      </c>
      <c r="L22" s="15">
        <f>CM_Budget!L22-95%</f>
        <v>7.135</v>
      </c>
      <c r="M22" s="15">
        <f>CM_Budget!M22-95%</f>
        <v>8.29</v>
      </c>
      <c r="N22" s="15">
        <f>CM_Budget!N22-95%</f>
        <v>4.825</v>
      </c>
      <c r="O22" s="15">
        <f>CM_Budget!O22-95%</f>
        <v>7.135</v>
      </c>
      <c r="P22" s="15">
        <f>CM_Budget!P22-95%</f>
        <v>8.29</v>
      </c>
      <c r="Q22" s="15">
        <f>CM_Budget!Q22-95%</f>
        <v>4.85965</v>
      </c>
      <c r="R22" s="15">
        <f>CM_Budget!R22-95%</f>
        <v>7.18351</v>
      </c>
      <c r="S22" s="15">
        <f>CM_Budget!S22-95%</f>
        <v>8.34544</v>
      </c>
    </row>
    <row r="23" ht="14.25" customHeight="1">
      <c r="A23" s="5" t="s">
        <v>7</v>
      </c>
      <c r="B23" s="8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5">
        <f>CM_Budget!H23-95%</f>
        <v>8.5525</v>
      </c>
      <c r="I23" s="15">
        <f>CM_Budget!I23-95%</f>
        <v>12.3535</v>
      </c>
      <c r="J23" s="15">
        <f>CM_Budget!J23-95%</f>
        <v>14.254</v>
      </c>
      <c r="K23" s="15">
        <f>CM_Budget!K23-95%</f>
        <v>9.3295</v>
      </c>
      <c r="L23" s="15">
        <f>CM_Budget!L23-95%</f>
        <v>13.4413</v>
      </c>
      <c r="M23" s="15">
        <f>CM_Budget!M23-95%</f>
        <v>15.4972</v>
      </c>
      <c r="N23" s="15">
        <f>CM_Budget!N23-95%</f>
        <v>9.7705</v>
      </c>
      <c r="O23" s="15">
        <f>CM_Budget!O23-95%</f>
        <v>14.0587</v>
      </c>
      <c r="P23" s="15">
        <f>CM_Budget!P23-95%</f>
        <v>16.2028</v>
      </c>
      <c r="Q23" s="15">
        <f>CM_Budget!Q23-95%</f>
        <v>10.59265</v>
      </c>
      <c r="R23" s="15">
        <f>CM_Budget!R23-95%</f>
        <v>15.20971</v>
      </c>
      <c r="S23" s="15">
        <f>CM_Budget!S23-95%</f>
        <v>17.51824</v>
      </c>
    </row>
    <row r="24" ht="14.25" customHeight="1">
      <c r="A24" s="5" t="s">
        <v>7</v>
      </c>
      <c r="B24" s="8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5">
        <f>CM_Budget!H24-95%</f>
        <v>3.25</v>
      </c>
      <c r="I24" s="15">
        <f>CM_Budget!I24-95%</f>
        <v>4.93</v>
      </c>
      <c r="J24" s="15">
        <f>CM_Budget!J24-95%</f>
        <v>5.77</v>
      </c>
      <c r="K24" s="15">
        <f>CM_Budget!K24-95%</f>
        <v>4.3</v>
      </c>
      <c r="L24" s="15">
        <f>CM_Budget!L24-95%</f>
        <v>6.4</v>
      </c>
      <c r="M24" s="15">
        <f>CM_Budget!M24-95%</f>
        <v>7.45</v>
      </c>
      <c r="N24" s="15">
        <f>CM_Budget!N24-95%</f>
        <v>4.3</v>
      </c>
      <c r="O24" s="15">
        <f>CM_Budget!O24-95%</f>
        <v>6.4</v>
      </c>
      <c r="P24" s="15">
        <f>CM_Budget!P24-95%</f>
        <v>7.45</v>
      </c>
      <c r="Q24" s="15">
        <f>CM_Budget!Q24-95%</f>
        <v>4.33465</v>
      </c>
      <c r="R24" s="15">
        <f>CM_Budget!R24-95%</f>
        <v>6.44851</v>
      </c>
      <c r="S24" s="15">
        <f>CM_Budget!S24-95%</f>
        <v>7.50544</v>
      </c>
    </row>
    <row r="25" ht="14.25" customHeight="1">
      <c r="A25" s="5" t="s">
        <v>7</v>
      </c>
      <c r="B25" s="8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5">
        <f>CM_Budget!H25-95%</f>
        <v>0.6775</v>
      </c>
      <c r="I25" s="15">
        <f>CM_Budget!I25-95%</f>
        <v>1.3285</v>
      </c>
      <c r="J25" s="15">
        <f>CM_Budget!J25-95%</f>
        <v>1.654</v>
      </c>
      <c r="K25" s="15">
        <f>CM_Budget!K25-95%</f>
        <v>0.6775</v>
      </c>
      <c r="L25" s="15">
        <f>CM_Budget!L25-95%</f>
        <v>1.3285</v>
      </c>
      <c r="M25" s="15">
        <f>CM_Budget!M25-95%</f>
        <v>1.654</v>
      </c>
      <c r="N25" s="15">
        <f>CM_Budget!N25-95%</f>
        <v>4.3</v>
      </c>
      <c r="O25" s="15">
        <f>CM_Budget!O25-95%</f>
        <v>6.4</v>
      </c>
      <c r="P25" s="15">
        <f>CM_Budget!P25-95%</f>
        <v>7.45</v>
      </c>
      <c r="Q25" s="15">
        <f>CM_Budget!Q25-95%</f>
        <v>4.33465</v>
      </c>
      <c r="R25" s="15">
        <f>CM_Budget!R25-95%</f>
        <v>6.44851</v>
      </c>
      <c r="S25" s="15">
        <f>CM_Budget!S25-95%</f>
        <v>7.50544</v>
      </c>
    </row>
    <row r="26" ht="14.25" customHeight="1">
      <c r="A26" s="5" t="s">
        <v>7</v>
      </c>
      <c r="B26" s="8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5">
        <f>CM_Budget!H26-95%</f>
        <v>-0.425</v>
      </c>
      <c r="I26" s="15">
        <f>CM_Budget!I26-95%</f>
        <v>-0.215</v>
      </c>
      <c r="J26" s="15">
        <f>CM_Budget!J26-95%</f>
        <v>-0.11</v>
      </c>
      <c r="K26" s="15">
        <f>CM_Budget!K26-95%</f>
        <v>1.675</v>
      </c>
      <c r="L26" s="15">
        <f>CM_Budget!L26-95%</f>
        <v>2.725</v>
      </c>
      <c r="M26" s="15">
        <f>CM_Budget!M26-95%</f>
        <v>3.25</v>
      </c>
      <c r="N26" s="15">
        <f>CM_Budget!N26-95%</f>
        <v>1.675</v>
      </c>
      <c r="O26" s="15">
        <f>CM_Budget!O26-95%</f>
        <v>2.725</v>
      </c>
      <c r="P26" s="15">
        <f>CM_Budget!P26-95%</f>
        <v>3.25</v>
      </c>
      <c r="Q26" s="15">
        <f>CM_Budget!Q26-95%</f>
        <v>1.70965</v>
      </c>
      <c r="R26" s="15">
        <f>CM_Budget!R26-95%</f>
        <v>2.77351</v>
      </c>
      <c r="S26" s="15">
        <f>CM_Budget!S26-95%</f>
        <v>3.30544</v>
      </c>
    </row>
    <row r="27" ht="14.25" customHeight="1">
      <c r="A27" s="5" t="s">
        <v>7</v>
      </c>
      <c r="B27" s="8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5">
        <f>CM_Budget!H27-95%</f>
        <v>-0.95</v>
      </c>
      <c r="I27" s="15">
        <f>CM_Budget!I27-95%</f>
        <v>-0.95</v>
      </c>
      <c r="J27" s="15">
        <f>CM_Budget!J27-95%</f>
        <v>-0.95</v>
      </c>
      <c r="K27" s="15">
        <f>CM_Budget!K27-95%</f>
        <v>-0.95</v>
      </c>
      <c r="L27" s="15">
        <f>CM_Budget!L27-95%</f>
        <v>-0.95</v>
      </c>
      <c r="M27" s="15">
        <f>CM_Budget!M27-95%</f>
        <v>-0.95</v>
      </c>
      <c r="N27" s="15">
        <f>CM_Budget!N27-95%</f>
        <v>-0.95</v>
      </c>
      <c r="O27" s="15">
        <f>CM_Budget!O27-95%</f>
        <v>-0.95</v>
      </c>
      <c r="P27" s="15">
        <f>CM_Budget!P27-95%</f>
        <v>-0.95</v>
      </c>
      <c r="Q27" s="15">
        <f>CM_Budget!Q27-95%</f>
        <v>-0.95</v>
      </c>
      <c r="R27" s="15">
        <f>CM_Budget!R27-95%</f>
        <v>-0.95</v>
      </c>
      <c r="S27" s="15">
        <f>CM_Budget!S27-95%</f>
        <v>-0.95</v>
      </c>
    </row>
    <row r="28" ht="14.25" customHeight="1">
      <c r="A28" s="5" t="s">
        <v>7</v>
      </c>
      <c r="B28" s="8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5">
        <f>CM_Budget!H28-95%</f>
        <v>-0.95</v>
      </c>
      <c r="I28" s="15">
        <f>CM_Budget!I28-95%</f>
        <v>-0.95</v>
      </c>
      <c r="J28" s="15">
        <f>CM_Budget!J28-95%</f>
        <v>-0.95</v>
      </c>
      <c r="K28" s="15">
        <f>CM_Budget!K28-95%</f>
        <v>-0.95</v>
      </c>
      <c r="L28" s="15">
        <f>CM_Budget!L28-95%</f>
        <v>-0.95</v>
      </c>
      <c r="M28" s="15">
        <f>CM_Budget!M28-95%</f>
        <v>-0.95</v>
      </c>
      <c r="N28" s="15">
        <f>CM_Budget!N28-95%</f>
        <v>-0.95</v>
      </c>
      <c r="O28" s="15">
        <f>CM_Budget!O28-95%</f>
        <v>-0.95</v>
      </c>
      <c r="P28" s="15">
        <f>CM_Budget!P28-95%</f>
        <v>-0.95</v>
      </c>
      <c r="Q28" s="15">
        <f>CM_Budget!Q28-95%</f>
        <v>-0.95</v>
      </c>
      <c r="R28" s="15">
        <f>CM_Budget!R28-95%</f>
        <v>-0.95</v>
      </c>
      <c r="S28" s="15">
        <f>CM_Budget!S28-95%</f>
        <v>-0.95</v>
      </c>
    </row>
    <row r="29" ht="14.25" customHeight="1">
      <c r="A29" s="5" t="s">
        <v>7</v>
      </c>
      <c r="B29" s="8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5">
        <f>CM_Budget!H29-95%</f>
        <v>-0.95</v>
      </c>
      <c r="I29" s="15">
        <f>CM_Budget!I29-95%</f>
        <v>-0.95</v>
      </c>
      <c r="J29" s="15">
        <f>CM_Budget!J29-95%</f>
        <v>-0.95</v>
      </c>
      <c r="K29" s="15">
        <f>CM_Budget!K29-95%</f>
        <v>-0.95</v>
      </c>
      <c r="L29" s="15">
        <f>CM_Budget!L29-95%</f>
        <v>-0.95</v>
      </c>
      <c r="M29" s="15">
        <f>CM_Budget!M29-95%</f>
        <v>-0.95</v>
      </c>
      <c r="N29" s="15">
        <f>CM_Budget!N29-95%</f>
        <v>-0.95</v>
      </c>
      <c r="O29" s="15">
        <f>CM_Budget!O29-95%</f>
        <v>-0.95</v>
      </c>
      <c r="P29" s="15">
        <f>CM_Budget!P29-95%</f>
        <v>-0.95</v>
      </c>
      <c r="Q29" s="15">
        <f>CM_Budget!Q29-95%</f>
        <v>-0.95</v>
      </c>
      <c r="R29" s="15">
        <f>CM_Budget!R29-95%</f>
        <v>-0.95</v>
      </c>
      <c r="S29" s="15">
        <f>CM_Budget!S29-95%</f>
        <v>-0.95</v>
      </c>
    </row>
    <row r="30" ht="14.25" customHeight="1">
      <c r="A30" s="5" t="s">
        <v>7</v>
      </c>
      <c r="B30" s="8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5">
        <f>CM_Budget!H30-95%</f>
        <v>-0.95</v>
      </c>
      <c r="I30" s="15">
        <f>CM_Budget!I30-95%</f>
        <v>-0.95</v>
      </c>
      <c r="J30" s="15">
        <f>CM_Budget!J30-95%</f>
        <v>-0.95</v>
      </c>
      <c r="K30" s="15">
        <f>CM_Budget!K30-95%</f>
        <v>-0.95</v>
      </c>
      <c r="L30" s="15">
        <f>CM_Budget!L30-95%</f>
        <v>-0.95</v>
      </c>
      <c r="M30" s="15">
        <f>CM_Budget!M30-95%</f>
        <v>-0.95</v>
      </c>
      <c r="N30" s="15">
        <f>CM_Budget!N30-95%</f>
        <v>-0.95</v>
      </c>
      <c r="O30" s="15">
        <f>CM_Budget!O30-95%</f>
        <v>-0.95</v>
      </c>
      <c r="P30" s="15">
        <f>CM_Budget!P30-95%</f>
        <v>-0.95</v>
      </c>
      <c r="Q30" s="15">
        <f>CM_Budget!Q30-95%</f>
        <v>-0.95</v>
      </c>
      <c r="R30" s="15">
        <f>CM_Budget!R30-95%</f>
        <v>-0.95</v>
      </c>
      <c r="S30" s="15">
        <f>CM_Budget!S30-95%</f>
        <v>-0.95</v>
      </c>
    </row>
    <row r="31" ht="14.25" customHeight="1">
      <c r="A31" s="5" t="s">
        <v>7</v>
      </c>
      <c r="B31" s="8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5">
        <f>CM_Budget!H31-95%</f>
        <v>-0.95</v>
      </c>
      <c r="I31" s="15">
        <f>CM_Budget!I31-95%</f>
        <v>-0.95</v>
      </c>
      <c r="J31" s="15">
        <f>CM_Budget!J31-95%</f>
        <v>-0.95</v>
      </c>
      <c r="K31" s="15">
        <f>CM_Budget!K31-95%</f>
        <v>-0.95</v>
      </c>
      <c r="L31" s="15">
        <f>CM_Budget!L31-95%</f>
        <v>-0.95</v>
      </c>
      <c r="M31" s="15">
        <f>CM_Budget!M31-95%</f>
        <v>-0.95</v>
      </c>
      <c r="N31" s="15">
        <f>CM_Budget!N31-95%</f>
        <v>-0.95</v>
      </c>
      <c r="O31" s="15">
        <f>CM_Budget!O31-95%</f>
        <v>-0.95</v>
      </c>
      <c r="P31" s="15">
        <f>CM_Budget!P31-95%</f>
        <v>-0.95</v>
      </c>
      <c r="Q31" s="15">
        <f>CM_Budget!Q31-95%</f>
        <v>-0.95</v>
      </c>
      <c r="R31" s="15">
        <f>CM_Budget!R31-95%</f>
        <v>-0.95</v>
      </c>
      <c r="S31" s="15">
        <f>CM_Budget!S31-95%</f>
        <v>-0.95</v>
      </c>
    </row>
    <row r="32" ht="14.25" customHeight="1">
      <c r="A32" s="5" t="s">
        <v>7</v>
      </c>
      <c r="B32" s="8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5">
        <f>CM_Budget!H32-95%</f>
        <v>-0.95</v>
      </c>
      <c r="I32" s="15">
        <f>CM_Budget!I32-95%</f>
        <v>-0.95</v>
      </c>
      <c r="J32" s="15">
        <f>CM_Budget!J32-95%</f>
        <v>-0.95</v>
      </c>
      <c r="K32" s="15">
        <f>CM_Budget!K32-95%</f>
        <v>-0.95</v>
      </c>
      <c r="L32" s="15">
        <f>CM_Budget!L32-95%</f>
        <v>-0.95</v>
      </c>
      <c r="M32" s="15">
        <f>CM_Budget!M32-95%</f>
        <v>-0.95</v>
      </c>
      <c r="N32" s="15">
        <f>CM_Budget!N32-95%</f>
        <v>-0.95</v>
      </c>
      <c r="O32" s="15">
        <f>CM_Budget!O32-95%</f>
        <v>-0.95</v>
      </c>
      <c r="P32" s="15">
        <f>CM_Budget!P32-95%</f>
        <v>-0.95</v>
      </c>
      <c r="Q32" s="15">
        <f>CM_Budget!Q32-95%</f>
        <v>-0.95</v>
      </c>
      <c r="R32" s="15">
        <f>CM_Budget!R32-95%</f>
        <v>-0.95</v>
      </c>
      <c r="S32" s="15">
        <f>CM_Budget!S32-95%</f>
        <v>-0.95</v>
      </c>
    </row>
    <row r="33" ht="14.25" customHeight="1">
      <c r="A33" s="5" t="s">
        <v>7</v>
      </c>
      <c r="B33" s="8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5">
        <f>CM_Budget!H33-95%</f>
        <v>2.9875</v>
      </c>
      <c r="I33" s="15">
        <f>CM_Budget!I33-95%</f>
        <v>4.5625</v>
      </c>
      <c r="J33" s="15">
        <f>CM_Budget!J33-95%</f>
        <v>5.35</v>
      </c>
      <c r="K33" s="15">
        <f>CM_Budget!K33-95%</f>
        <v>4.51</v>
      </c>
      <c r="L33" s="15">
        <f>CM_Budget!L33-95%</f>
        <v>6.694</v>
      </c>
      <c r="M33" s="15">
        <f>CM_Budget!M33-95%</f>
        <v>7.786</v>
      </c>
      <c r="N33" s="15">
        <f>CM_Budget!N33-95%</f>
        <v>4.72</v>
      </c>
      <c r="O33" s="15">
        <f>CM_Budget!O33-95%</f>
        <v>6.988</v>
      </c>
      <c r="P33" s="15">
        <f>CM_Budget!P33-95%</f>
        <v>8.122</v>
      </c>
      <c r="Q33" s="15">
        <f>CM_Budget!Q33-95%</f>
        <v>5.06965</v>
      </c>
      <c r="R33" s="15">
        <f>CM_Budget!R33-95%</f>
        <v>7.47751</v>
      </c>
      <c r="S33" s="15">
        <f>CM_Budget!S33-95%</f>
        <v>8.68144</v>
      </c>
    </row>
    <row r="34" ht="14.25" customHeight="1">
      <c r="A34" s="5" t="s">
        <v>7</v>
      </c>
      <c r="B34" s="8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5">
        <f>CM_Budget!H34-95%</f>
        <v>1.57</v>
      </c>
      <c r="I34" s="15">
        <f>CM_Budget!I34-95%</f>
        <v>2.578</v>
      </c>
      <c r="J34" s="15">
        <f>CM_Budget!J34-95%</f>
        <v>3.082</v>
      </c>
      <c r="K34" s="15">
        <f>CM_Budget!K34-95%</f>
        <v>1.6225</v>
      </c>
      <c r="L34" s="15">
        <f>CM_Budget!L34-95%</f>
        <v>2.6515</v>
      </c>
      <c r="M34" s="15">
        <f>CM_Budget!M34-95%</f>
        <v>3.166</v>
      </c>
      <c r="N34" s="15">
        <f>CM_Budget!N34-95%</f>
        <v>1.7275</v>
      </c>
      <c r="O34" s="15">
        <f>CM_Budget!O34-95%</f>
        <v>2.7985</v>
      </c>
      <c r="P34" s="15">
        <f>CM_Budget!P34-95%</f>
        <v>3.334</v>
      </c>
      <c r="Q34" s="15">
        <f>CM_Budget!Q34-95%</f>
        <v>1.86715</v>
      </c>
      <c r="R34" s="15">
        <f>CM_Budget!R34-95%</f>
        <v>2.99401</v>
      </c>
      <c r="S34" s="15">
        <f>CM_Budget!S34-95%</f>
        <v>3.55744</v>
      </c>
    </row>
    <row r="35" ht="14.25" customHeight="1">
      <c r="A35" s="5" t="s">
        <v>7</v>
      </c>
      <c r="B35" s="8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5">
        <f>CM_Budget!H35-95%</f>
        <v>0.6775</v>
      </c>
      <c r="I35" s="15">
        <f>CM_Budget!I35-95%</f>
        <v>1.3285</v>
      </c>
      <c r="J35" s="15">
        <f>CM_Budget!J35-95%</f>
        <v>1.654</v>
      </c>
      <c r="K35" s="15">
        <f>CM_Budget!K35-95%</f>
        <v>0.625</v>
      </c>
      <c r="L35" s="15">
        <f>CM_Budget!L35-95%</f>
        <v>1.255</v>
      </c>
      <c r="M35" s="15">
        <f>CM_Budget!M35-95%</f>
        <v>1.57</v>
      </c>
      <c r="N35" s="15">
        <f>CM_Budget!N35-95%</f>
        <v>0.625</v>
      </c>
      <c r="O35" s="15">
        <f>CM_Budget!O35-95%</f>
        <v>1.255</v>
      </c>
      <c r="P35" s="15">
        <f>CM_Budget!P35-95%</f>
        <v>1.57</v>
      </c>
      <c r="Q35" s="15">
        <f>CM_Budget!Q35-95%</f>
        <v>0.625</v>
      </c>
      <c r="R35" s="15">
        <f>CM_Budget!R35-95%</f>
        <v>1.255</v>
      </c>
      <c r="S35" s="15">
        <f>CM_Budget!S35-95%</f>
        <v>1.57</v>
      </c>
    </row>
    <row r="36" ht="14.25" customHeight="1">
      <c r="A36" s="5" t="s">
        <v>7</v>
      </c>
      <c r="B36" s="8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5">
        <f>CM_Budget!H36-95%</f>
        <v>-0.95</v>
      </c>
      <c r="I36" s="15">
        <f>CM_Budget!I36-95%</f>
        <v>-0.95</v>
      </c>
      <c r="J36" s="15">
        <f>CM_Budget!J36-95%</f>
        <v>-0.95</v>
      </c>
      <c r="K36" s="15">
        <f>CM_Budget!K36-95%</f>
        <v>-0.95</v>
      </c>
      <c r="L36" s="15">
        <f>CM_Budget!L36-95%</f>
        <v>-0.95</v>
      </c>
      <c r="M36" s="15">
        <f>CM_Budget!M36-95%</f>
        <v>-0.95</v>
      </c>
      <c r="N36" s="15">
        <f>CM_Budget!N36-95%</f>
        <v>-0.95</v>
      </c>
      <c r="O36" s="15">
        <f>CM_Budget!O36-95%</f>
        <v>-0.95</v>
      </c>
      <c r="P36" s="15">
        <f>CM_Budget!P36-95%</f>
        <v>-0.95</v>
      </c>
      <c r="Q36" s="15">
        <f>CM_Budget!Q36-95%</f>
        <v>-0.95</v>
      </c>
      <c r="R36" s="15">
        <f>CM_Budget!R36-95%</f>
        <v>-0.95</v>
      </c>
      <c r="S36" s="15">
        <f>CM_Budget!S36-95%</f>
        <v>-0.95</v>
      </c>
    </row>
    <row r="37" ht="14.25" customHeight="1">
      <c r="A37" s="5" t="s">
        <v>7</v>
      </c>
      <c r="B37" s="8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5">
        <f>CM_Budget!H37-95%</f>
        <v>2.2</v>
      </c>
      <c r="I37" s="15">
        <f>CM_Budget!I37-95%</f>
        <v>3.46</v>
      </c>
      <c r="J37" s="15">
        <f>CM_Budget!J37-95%</f>
        <v>4.09</v>
      </c>
      <c r="K37" s="15">
        <f>CM_Budget!K37-95%</f>
        <v>3.25</v>
      </c>
      <c r="L37" s="15">
        <f>CM_Budget!L37-95%</f>
        <v>4.93</v>
      </c>
      <c r="M37" s="15">
        <f>CM_Budget!M37-95%</f>
        <v>5.77</v>
      </c>
      <c r="N37" s="15">
        <f>CM_Budget!N37-95%</f>
        <v>3.25</v>
      </c>
      <c r="O37" s="15">
        <f>CM_Budget!O37-95%</f>
        <v>4.93</v>
      </c>
      <c r="P37" s="15">
        <f>CM_Budget!P37-95%</f>
        <v>5.77</v>
      </c>
      <c r="Q37" s="15">
        <f>CM_Budget!Q37-95%</f>
        <v>3.25</v>
      </c>
      <c r="R37" s="15">
        <f>CM_Budget!R37-95%</f>
        <v>4.93</v>
      </c>
      <c r="S37" s="15">
        <f>CM_Budget!S37-95%</f>
        <v>5.77</v>
      </c>
    </row>
    <row r="38" ht="14.25" customHeight="1">
      <c r="A38" s="5" t="s">
        <v>7</v>
      </c>
      <c r="B38" s="8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5">
        <f>CM_Budget!H38-95%</f>
        <v>-0.95</v>
      </c>
      <c r="I38" s="15">
        <f>CM_Budget!I38-95%</f>
        <v>-0.95</v>
      </c>
      <c r="J38" s="15">
        <f>CM_Budget!J38-95%</f>
        <v>-0.95</v>
      </c>
      <c r="K38" s="15">
        <f>CM_Budget!K38-95%</f>
        <v>-0.95</v>
      </c>
      <c r="L38" s="15">
        <f>CM_Budget!L38-95%</f>
        <v>-0.95</v>
      </c>
      <c r="M38" s="15">
        <f>CM_Budget!M38-95%</f>
        <v>-0.95</v>
      </c>
      <c r="N38" s="15">
        <f>CM_Budget!N38-95%</f>
        <v>-0.95</v>
      </c>
      <c r="O38" s="15">
        <f>CM_Budget!O38-95%</f>
        <v>-0.95</v>
      </c>
      <c r="P38" s="15">
        <f>CM_Budget!P38-95%</f>
        <v>-0.95</v>
      </c>
      <c r="Q38" s="15">
        <f>CM_Budget!Q38-95%</f>
        <v>-0.95</v>
      </c>
      <c r="R38" s="15">
        <f>CM_Budget!R38-95%</f>
        <v>-0.95</v>
      </c>
      <c r="S38" s="15">
        <f>CM_Budget!S38-95%</f>
        <v>-0.95</v>
      </c>
    </row>
    <row r="39" ht="14.25" customHeight="1">
      <c r="A39" s="5" t="s">
        <v>7</v>
      </c>
      <c r="B39" s="8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5">
        <f>CM_Budget!H39-95%</f>
        <v>0.0475</v>
      </c>
      <c r="I39" s="15">
        <f>CM_Budget!I39-95%</f>
        <v>0.4465</v>
      </c>
      <c r="J39" s="15">
        <f>CM_Budget!J39-95%</f>
        <v>0.646</v>
      </c>
      <c r="K39" s="15">
        <f>CM_Budget!K39-95%</f>
        <v>-0.005</v>
      </c>
      <c r="L39" s="15">
        <f>CM_Budget!L39-95%</f>
        <v>0.373</v>
      </c>
      <c r="M39" s="15">
        <f>CM_Budget!M39-95%</f>
        <v>0.562</v>
      </c>
      <c r="N39" s="15">
        <f>CM_Budget!N39-95%</f>
        <v>-0.005</v>
      </c>
      <c r="O39" s="15">
        <f>CM_Budget!O39-95%</f>
        <v>0.373</v>
      </c>
      <c r="P39" s="15">
        <f>CM_Budget!P39-95%</f>
        <v>0.562</v>
      </c>
      <c r="Q39" s="15">
        <f>CM_Budget!Q39-95%</f>
        <v>0.02965</v>
      </c>
      <c r="R39" s="15">
        <f>CM_Budget!R39-95%</f>
        <v>0.42151</v>
      </c>
      <c r="S39" s="15">
        <f>CM_Budget!S39-95%</f>
        <v>0.61744</v>
      </c>
    </row>
    <row r="40" ht="14.25" customHeight="1">
      <c r="A40" s="5" t="s">
        <v>7</v>
      </c>
      <c r="B40" s="8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5">
        <f>CM_Budget!H40-95%</f>
        <v>-0.45125</v>
      </c>
      <c r="I40" s="15">
        <f>CM_Budget!I40-95%</f>
        <v>-0.25175</v>
      </c>
      <c r="J40" s="15">
        <f>CM_Budget!J40-95%</f>
        <v>-0.152</v>
      </c>
      <c r="K40" s="15">
        <f>CM_Budget!K40-95%</f>
        <v>-0.45125</v>
      </c>
      <c r="L40" s="15">
        <f>CM_Budget!L40-95%</f>
        <v>-0.25175</v>
      </c>
      <c r="M40" s="15">
        <f>CM_Budget!M40-95%</f>
        <v>-0.152</v>
      </c>
      <c r="N40" s="15">
        <f>CM_Budget!N40-95%</f>
        <v>-0.45125</v>
      </c>
      <c r="O40" s="15">
        <f>CM_Budget!O40-95%</f>
        <v>-0.25175</v>
      </c>
      <c r="P40" s="15">
        <f>CM_Budget!P40-95%</f>
        <v>-0.152</v>
      </c>
      <c r="Q40" s="15">
        <f>CM_Budget!Q40-95%</f>
        <v>-0.4166</v>
      </c>
      <c r="R40" s="15">
        <f>CM_Budget!R40-95%</f>
        <v>-0.20324</v>
      </c>
      <c r="S40" s="15">
        <f>CM_Budget!S40-95%</f>
        <v>-0.09656</v>
      </c>
    </row>
    <row r="41" ht="14.25" customHeight="1">
      <c r="A41" s="5" t="s">
        <v>7</v>
      </c>
      <c r="B41" s="8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5">
        <f>CM_Budget!H41-95%</f>
        <v>-0.95</v>
      </c>
      <c r="I41" s="15">
        <f>CM_Budget!I41-95%</f>
        <v>-0.95</v>
      </c>
      <c r="J41" s="15">
        <f>CM_Budget!J41-95%</f>
        <v>-0.95</v>
      </c>
      <c r="K41" s="15">
        <f>CM_Budget!K41-95%</f>
        <v>-0.95</v>
      </c>
      <c r="L41" s="15">
        <f>CM_Budget!L41-95%</f>
        <v>-0.95</v>
      </c>
      <c r="M41" s="15">
        <f>CM_Budget!M41-95%</f>
        <v>-0.95</v>
      </c>
      <c r="N41" s="15">
        <f>CM_Budget!N41-95%</f>
        <v>-0.95</v>
      </c>
      <c r="O41" s="15">
        <f>CM_Budget!O41-95%</f>
        <v>-0.95</v>
      </c>
      <c r="P41" s="15">
        <f>CM_Budget!P41-95%</f>
        <v>-0.95</v>
      </c>
      <c r="Q41" s="15">
        <f>CM_Budget!Q41-95%</f>
        <v>-0.95</v>
      </c>
      <c r="R41" s="15">
        <f>CM_Budget!R41-95%</f>
        <v>-0.95</v>
      </c>
      <c r="S41" s="15">
        <f>CM_Budget!S41-95%</f>
        <v>-0.95</v>
      </c>
    </row>
    <row r="42" ht="14.25" customHeight="1">
      <c r="A42" s="5" t="s">
        <v>7</v>
      </c>
      <c r="B42" s="8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5">
        <f>CM_Budget!H42-95%</f>
        <v>4.3</v>
      </c>
      <c r="I42" s="15">
        <f>CM_Budget!I42-95%</f>
        <v>6.4</v>
      </c>
      <c r="J42" s="15">
        <f>CM_Budget!J42-95%</f>
        <v>7.45</v>
      </c>
      <c r="K42" s="15">
        <f>CM_Budget!K42-95%</f>
        <v>3.775</v>
      </c>
      <c r="L42" s="15">
        <f>CM_Budget!L42-95%</f>
        <v>5.665</v>
      </c>
      <c r="M42" s="15">
        <f>CM_Budget!M42-95%</f>
        <v>6.61</v>
      </c>
      <c r="N42" s="15">
        <f>CM_Budget!N42-95%</f>
        <v>3.775</v>
      </c>
      <c r="O42" s="15">
        <f>CM_Budget!O42-95%</f>
        <v>5.665</v>
      </c>
      <c r="P42" s="15">
        <f>CM_Budget!P42-95%</f>
        <v>6.61</v>
      </c>
      <c r="Q42" s="15">
        <f>CM_Budget!Q42-95%</f>
        <v>3.80965</v>
      </c>
      <c r="R42" s="15">
        <f>CM_Budget!R42-95%</f>
        <v>5.71351</v>
      </c>
      <c r="S42" s="15">
        <f>CM_Budget!S42-95%</f>
        <v>6.66544</v>
      </c>
    </row>
    <row r="43" ht="14.25" customHeight="1">
      <c r="A43" s="5" t="s">
        <v>7</v>
      </c>
      <c r="B43" s="8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5">
        <f>CM_Budget!H43-95%</f>
        <v>0.625</v>
      </c>
      <c r="I43" s="15">
        <f>CM_Budget!I43-95%</f>
        <v>1.255</v>
      </c>
      <c r="J43" s="15">
        <f>CM_Budget!J43-95%</f>
        <v>1.57</v>
      </c>
      <c r="K43" s="15">
        <f>CM_Budget!K43-95%</f>
        <v>0.976288</v>
      </c>
      <c r="L43" s="15">
        <f>CM_Budget!L43-95%</f>
        <v>1.7468032</v>
      </c>
      <c r="M43" s="15">
        <f>CM_Budget!M43-95%</f>
        <v>2.1320608</v>
      </c>
      <c r="N43" s="15">
        <f>CM_Budget!N43-95%</f>
        <v>1.054912</v>
      </c>
      <c r="O43" s="15">
        <f>CM_Budget!O43-95%</f>
        <v>1.8568768</v>
      </c>
      <c r="P43" s="15">
        <f>CM_Budget!P43-95%</f>
        <v>2.2578592</v>
      </c>
      <c r="Q43" s="15">
        <f>CM_Budget!Q43-95%</f>
        <v>1.168186</v>
      </c>
      <c r="R43" s="15">
        <f>CM_Budget!R43-95%</f>
        <v>2.0154604</v>
      </c>
      <c r="S43" s="15">
        <f>CM_Budget!S43-95%</f>
        <v>2.4390976</v>
      </c>
    </row>
    <row r="44" ht="14.25" customHeight="1">
      <c r="A44" s="5" t="s">
        <v>7</v>
      </c>
      <c r="B44" s="8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5">
        <f>CM_Budget!H44-95%</f>
        <v>-0.364625</v>
      </c>
      <c r="I44" s="15">
        <f>CM_Budget!I44-95%</f>
        <v>-0.130475</v>
      </c>
      <c r="J44" s="15">
        <f>CM_Budget!J44-95%</f>
        <v>-0.0134</v>
      </c>
      <c r="K44" s="15">
        <f>CM_Budget!K44-95%</f>
        <v>0.863875</v>
      </c>
      <c r="L44" s="15">
        <f>CM_Budget!L44-95%</f>
        <v>1.589425</v>
      </c>
      <c r="M44" s="15">
        <f>CM_Budget!M44-95%</f>
        <v>1.9522</v>
      </c>
      <c r="N44" s="15">
        <f>CM_Budget!N44-95%</f>
        <v>0.863875</v>
      </c>
      <c r="O44" s="15">
        <f>CM_Budget!O44-95%</f>
        <v>1.589425</v>
      </c>
      <c r="P44" s="15">
        <f>CM_Budget!P44-95%</f>
        <v>1.9522</v>
      </c>
      <c r="Q44" s="15">
        <f>CM_Budget!Q44-95%</f>
        <v>0.863875</v>
      </c>
      <c r="R44" s="15">
        <f>CM_Budget!R44-95%</f>
        <v>1.589425</v>
      </c>
      <c r="S44" s="15">
        <f>CM_Budget!S44-95%</f>
        <v>1.9522</v>
      </c>
    </row>
    <row r="45" ht="14.25" customHeight="1">
      <c r="A45" s="5" t="s">
        <v>7</v>
      </c>
      <c r="B45" s="8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5">
        <f>CM_Budget!H45-95%</f>
        <v>-0.32</v>
      </c>
      <c r="I45" s="15">
        <f>CM_Budget!I45-95%</f>
        <v>-0.068</v>
      </c>
      <c r="J45" s="15">
        <f>CM_Budget!J45-95%</f>
        <v>0.058</v>
      </c>
      <c r="K45" s="15">
        <f>CM_Budget!K45-95%</f>
        <v>-0.95</v>
      </c>
      <c r="L45" s="15">
        <f>CM_Budget!L45-95%</f>
        <v>-0.95</v>
      </c>
      <c r="M45" s="15">
        <f>CM_Budget!M45-95%</f>
        <v>-0.95</v>
      </c>
      <c r="N45" s="15">
        <f>CM_Budget!N45-95%</f>
        <v>-0.95</v>
      </c>
      <c r="O45" s="15">
        <f>CM_Budget!O45-95%</f>
        <v>-0.95</v>
      </c>
      <c r="P45" s="15">
        <f>CM_Budget!P45-95%</f>
        <v>-0.95</v>
      </c>
      <c r="Q45" s="15">
        <f>CM_Budget!Q45-95%</f>
        <v>-0.95</v>
      </c>
      <c r="R45" s="15">
        <f>CM_Budget!R45-95%</f>
        <v>-0.95</v>
      </c>
      <c r="S45" s="15">
        <f>CM_Budget!S45-95%</f>
        <v>-0.95</v>
      </c>
    </row>
    <row r="46" ht="14.25" customHeight="1">
      <c r="A46" s="5" t="s">
        <v>7</v>
      </c>
      <c r="B46" s="8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5">
        <f>CM_Budget!H46-95%</f>
        <v>-0.95</v>
      </c>
      <c r="I46" s="15">
        <f>CM_Budget!I46-95%</f>
        <v>-0.95</v>
      </c>
      <c r="J46" s="15">
        <f>CM_Budget!J46-95%</f>
        <v>-0.95</v>
      </c>
      <c r="K46" s="15">
        <f>CM_Budget!K46-95%</f>
        <v>-0.95</v>
      </c>
      <c r="L46" s="15">
        <f>CM_Budget!L46-95%</f>
        <v>-0.95</v>
      </c>
      <c r="M46" s="15">
        <f>CM_Budget!M46-95%</f>
        <v>-0.95</v>
      </c>
      <c r="N46" s="15">
        <f>CM_Budget!N46-95%</f>
        <v>-0.95</v>
      </c>
      <c r="O46" s="15">
        <f>CM_Budget!O46-95%</f>
        <v>-0.95</v>
      </c>
      <c r="P46" s="15">
        <f>CM_Budget!P46-95%</f>
        <v>-0.95</v>
      </c>
      <c r="Q46" s="15">
        <f>CM_Budget!Q46-95%</f>
        <v>-0.95</v>
      </c>
      <c r="R46" s="15">
        <f>CM_Budget!R46-95%</f>
        <v>-0.95</v>
      </c>
      <c r="S46" s="15">
        <f>CM_Budget!S46-95%</f>
        <v>-0.95</v>
      </c>
    </row>
    <row r="47" ht="14.25" customHeight="1">
      <c r="A47" s="5" t="s">
        <v>7</v>
      </c>
      <c r="B47" s="8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5">
        <f>CM_Budget!H47-95%</f>
        <v>-0.95</v>
      </c>
      <c r="I47" s="15">
        <f>CM_Budget!I47-95%</f>
        <v>-0.95</v>
      </c>
      <c r="J47" s="15">
        <f>CM_Budget!J47-95%</f>
        <v>-0.95</v>
      </c>
      <c r="K47" s="15">
        <f>CM_Budget!K47-95%</f>
        <v>-0.95</v>
      </c>
      <c r="L47" s="15">
        <f>CM_Budget!L47-95%</f>
        <v>-0.95</v>
      </c>
      <c r="M47" s="15">
        <f>CM_Budget!M47-95%</f>
        <v>-0.95</v>
      </c>
      <c r="N47" s="15">
        <f>CM_Budget!N47-95%</f>
        <v>-0.95</v>
      </c>
      <c r="O47" s="15">
        <f>CM_Budget!O47-95%</f>
        <v>-0.95</v>
      </c>
      <c r="P47" s="15">
        <f>CM_Budget!P47-95%</f>
        <v>-0.95</v>
      </c>
      <c r="Q47" s="15">
        <f>CM_Budget!Q47-95%</f>
        <v>-0.95</v>
      </c>
      <c r="R47" s="15">
        <f>CM_Budget!R47-95%</f>
        <v>-0.95</v>
      </c>
      <c r="S47" s="15">
        <f>CM_Budget!S47-95%</f>
        <v>-0.95</v>
      </c>
    </row>
    <row r="48" ht="14.25" customHeight="1">
      <c r="A48" s="5" t="s">
        <v>7</v>
      </c>
      <c r="B48" s="8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5">
        <f>CM_Budget!H48-95%</f>
        <v>-0.95</v>
      </c>
      <c r="I48" s="15">
        <f>CM_Budget!I48-95%</f>
        <v>-0.95</v>
      </c>
      <c r="J48" s="15">
        <f>CM_Budget!J48-95%</f>
        <v>-0.95</v>
      </c>
      <c r="K48" s="15">
        <f>CM_Budget!K48-95%</f>
        <v>-0.95</v>
      </c>
      <c r="L48" s="15">
        <f>CM_Budget!L48-95%</f>
        <v>-0.95</v>
      </c>
      <c r="M48" s="15">
        <f>CM_Budget!M48-95%</f>
        <v>-0.95</v>
      </c>
      <c r="N48" s="15">
        <f>CM_Budget!N48-95%</f>
        <v>-0.95</v>
      </c>
      <c r="O48" s="15">
        <f>CM_Budget!O48-95%</f>
        <v>-0.95</v>
      </c>
      <c r="P48" s="15">
        <f>CM_Budget!P48-95%</f>
        <v>-0.95</v>
      </c>
      <c r="Q48" s="15">
        <f>CM_Budget!Q48-95%</f>
        <v>-0.95</v>
      </c>
      <c r="R48" s="15">
        <f>CM_Budget!R48-95%</f>
        <v>-0.95</v>
      </c>
      <c r="S48" s="15">
        <f>CM_Budget!S48-95%</f>
        <v>-0.95</v>
      </c>
    </row>
    <row r="49" ht="14.25" customHeight="1">
      <c r="A49" s="5" t="s">
        <v>7</v>
      </c>
      <c r="B49" s="8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5">
        <f>CM_Budget!H49-95%</f>
        <v>46.3</v>
      </c>
      <c r="I49" s="15">
        <f>CM_Budget!I49-95%</f>
        <v>65.2</v>
      </c>
      <c r="J49" s="15">
        <f>CM_Budget!J49-95%</f>
        <v>74.65</v>
      </c>
      <c r="K49" s="15">
        <f>CM_Budget!K49-95%</f>
        <v>42.5725</v>
      </c>
      <c r="L49" s="15">
        <f>CM_Budget!L49-95%</f>
        <v>59.9815</v>
      </c>
      <c r="M49" s="15">
        <f>CM_Budget!M49-95%</f>
        <v>68.686</v>
      </c>
      <c r="N49" s="15">
        <f>CM_Budget!N49-95%</f>
        <v>36.3775</v>
      </c>
      <c r="O49" s="15">
        <f>CM_Budget!O49-95%</f>
        <v>51.3085</v>
      </c>
      <c r="P49" s="15">
        <f>CM_Budget!P49-95%</f>
        <v>58.774</v>
      </c>
      <c r="Q49" s="15">
        <f>CM_Budget!Q49-95%</f>
        <v>36.83215</v>
      </c>
      <c r="R49" s="15">
        <f>CM_Budget!R49-95%</f>
        <v>51.94501</v>
      </c>
      <c r="S49" s="15">
        <f>CM_Budget!S49-95%</f>
        <v>59.50144</v>
      </c>
    </row>
    <row r="50" ht="14.25" customHeight="1">
      <c r="A50" s="5" t="s">
        <v>7</v>
      </c>
      <c r="B50" s="8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5">
        <f>CM_Budget!H50-95%</f>
        <v>4.3</v>
      </c>
      <c r="I50" s="15">
        <f>CM_Budget!I50-95%</f>
        <v>6.4</v>
      </c>
      <c r="J50" s="15">
        <f>CM_Budget!J50-95%</f>
        <v>7.45</v>
      </c>
      <c r="K50" s="15">
        <f>CM_Budget!K50-95%</f>
        <v>5.35</v>
      </c>
      <c r="L50" s="15">
        <f>CM_Budget!L50-95%</f>
        <v>7.87</v>
      </c>
      <c r="M50" s="15">
        <f>CM_Budget!M50-95%</f>
        <v>9.13</v>
      </c>
      <c r="N50" s="15">
        <f>CM_Budget!N50-95%</f>
        <v>4.93</v>
      </c>
      <c r="O50" s="15">
        <f>CM_Budget!O50-95%</f>
        <v>7.282</v>
      </c>
      <c r="P50" s="15">
        <f>CM_Budget!P50-95%</f>
        <v>8.458</v>
      </c>
      <c r="Q50" s="15">
        <f>CM_Budget!Q50-95%</f>
        <v>5.59465</v>
      </c>
      <c r="R50" s="15">
        <f>CM_Budget!R50-95%</f>
        <v>8.21251</v>
      </c>
      <c r="S50" s="15">
        <f>CM_Budget!S50-95%</f>
        <v>9.52144</v>
      </c>
    </row>
    <row r="51" ht="14.25" customHeight="1">
      <c r="A51" s="5" t="s">
        <v>7</v>
      </c>
      <c r="B51" s="8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5">
        <f>CM_Budget!H51-95%</f>
        <v>1.78</v>
      </c>
      <c r="I51" s="15">
        <f>CM_Budget!I51-95%</f>
        <v>2.872</v>
      </c>
      <c r="J51" s="15">
        <f>CM_Budget!J51-95%</f>
        <v>3.418</v>
      </c>
      <c r="K51" s="15">
        <f>CM_Budget!K51-95%</f>
        <v>6.1375</v>
      </c>
      <c r="L51" s="15">
        <f>CM_Budget!L51-95%</f>
        <v>8.9725</v>
      </c>
      <c r="M51" s="15">
        <f>CM_Budget!M51-95%</f>
        <v>10.39</v>
      </c>
      <c r="N51" s="15">
        <f>CM_Budget!N51-95%</f>
        <v>4.0375</v>
      </c>
      <c r="O51" s="15">
        <f>CM_Budget!O51-95%</f>
        <v>6.0325</v>
      </c>
      <c r="P51" s="15">
        <f>CM_Budget!P51-95%</f>
        <v>7.03</v>
      </c>
      <c r="Q51" s="15">
        <f>CM_Budget!Q51-95%</f>
        <v>6.17215</v>
      </c>
      <c r="R51" s="15">
        <f>CM_Budget!R51-95%</f>
        <v>9.02101</v>
      </c>
      <c r="S51" s="15">
        <f>CM_Budget!S51-95%</f>
        <v>10.44544</v>
      </c>
    </row>
    <row r="52" ht="14.25" customHeight="1">
      <c r="A52" s="5" t="s">
        <v>7</v>
      </c>
      <c r="B52" s="8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5">
        <f>CM_Budget!H52-95%</f>
        <v>35.59</v>
      </c>
      <c r="I52" s="15">
        <f>CM_Budget!I52-95%</f>
        <v>50.206</v>
      </c>
      <c r="J52" s="15">
        <f>CM_Budget!J52-95%</f>
        <v>57.514</v>
      </c>
      <c r="K52" s="15">
        <f>CM_Budget!K52-95%</f>
        <v>36.5875</v>
      </c>
      <c r="L52" s="15">
        <f>CM_Budget!L52-95%</f>
        <v>51.6025</v>
      </c>
      <c r="M52" s="15">
        <f>CM_Budget!M52-95%</f>
        <v>59.11</v>
      </c>
      <c r="N52" s="15">
        <f>CM_Budget!N52-95%</f>
        <v>33.4375</v>
      </c>
      <c r="O52" s="15">
        <f>CM_Budget!O52-95%</f>
        <v>47.1925</v>
      </c>
      <c r="P52" s="15">
        <f>CM_Budget!P52-95%</f>
        <v>54.07</v>
      </c>
      <c r="Q52" s="15">
        <f>CM_Budget!Q52-95%</f>
        <v>36.62215</v>
      </c>
      <c r="R52" s="15">
        <f>CM_Budget!R52-95%</f>
        <v>51.65101</v>
      </c>
      <c r="S52" s="15">
        <f>CM_Budget!S52-95%</f>
        <v>59.16544</v>
      </c>
    </row>
    <row r="53" ht="14.25" customHeight="1">
      <c r="A53" s="5" t="s">
        <v>7</v>
      </c>
      <c r="B53" s="8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5">
        <f>CM_Budget!H53-95%</f>
        <v>1.57</v>
      </c>
      <c r="I53" s="15">
        <f>CM_Budget!I53-95%</f>
        <v>2.578</v>
      </c>
      <c r="J53" s="15">
        <f>CM_Budget!J53-95%</f>
        <v>3.082</v>
      </c>
      <c r="K53" s="15">
        <f>CM_Budget!K53-95%</f>
        <v>1.535</v>
      </c>
      <c r="L53" s="15">
        <f>CM_Budget!L53-95%</f>
        <v>2.529</v>
      </c>
      <c r="M53" s="15">
        <f>CM_Budget!M53-95%</f>
        <v>3.026</v>
      </c>
      <c r="N53" s="15">
        <f>CM_Budget!N53-95%</f>
        <v>1.535</v>
      </c>
      <c r="O53" s="15">
        <f>CM_Budget!O53-95%</f>
        <v>2.529</v>
      </c>
      <c r="P53" s="15">
        <f>CM_Budget!P53-95%</f>
        <v>3.026</v>
      </c>
      <c r="Q53" s="15">
        <f>CM_Budget!Q53-95%</f>
        <v>1.56965</v>
      </c>
      <c r="R53" s="15">
        <f>CM_Budget!R53-95%</f>
        <v>2.57751</v>
      </c>
      <c r="S53" s="15">
        <f>CM_Budget!S53-95%</f>
        <v>3.08144</v>
      </c>
    </row>
    <row r="54" ht="14.25" customHeight="1">
      <c r="A54" s="5" t="s">
        <v>7</v>
      </c>
      <c r="B54" s="8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5">
        <f>CM_Budget!H54-95%</f>
        <v>0.1</v>
      </c>
      <c r="I54" s="15">
        <f>CM_Budget!I54-95%</f>
        <v>0.52</v>
      </c>
      <c r="J54" s="15">
        <f>CM_Budget!J54-95%</f>
        <v>0.73</v>
      </c>
      <c r="K54" s="15">
        <f>CM_Budget!K54-95%</f>
        <v>0.275</v>
      </c>
      <c r="L54" s="15">
        <f>CM_Budget!L54-95%</f>
        <v>0.765</v>
      </c>
      <c r="M54" s="15">
        <f>CM_Budget!M54-95%</f>
        <v>1.01</v>
      </c>
      <c r="N54" s="15">
        <f>CM_Budget!N54-95%</f>
        <v>0.275</v>
      </c>
      <c r="O54" s="15">
        <f>CM_Budget!O54-95%</f>
        <v>0.765</v>
      </c>
      <c r="P54" s="15">
        <f>CM_Budget!P54-95%</f>
        <v>1.01</v>
      </c>
      <c r="Q54" s="15">
        <f>CM_Budget!Q54-95%</f>
        <v>0.30965</v>
      </c>
      <c r="R54" s="15">
        <f>CM_Budget!R54-95%</f>
        <v>0.81351</v>
      </c>
      <c r="S54" s="15">
        <f>CM_Budget!S54-95%</f>
        <v>1.06544</v>
      </c>
    </row>
    <row r="55" ht="14.25" customHeight="1">
      <c r="A55" s="5" t="s">
        <v>7</v>
      </c>
      <c r="B55" s="8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5">
        <f>CM_Budget!H55-95%</f>
        <v>0.625</v>
      </c>
      <c r="I55" s="15">
        <f>CM_Budget!I55-95%</f>
        <v>1.255</v>
      </c>
      <c r="J55" s="15">
        <f>CM_Budget!J55-95%</f>
        <v>1.57</v>
      </c>
      <c r="K55" s="15">
        <f>CM_Budget!K55-95%</f>
        <v>-0.95</v>
      </c>
      <c r="L55" s="15">
        <f>CM_Budget!L55-95%</f>
        <v>-0.95</v>
      </c>
      <c r="M55" s="15">
        <f>CM_Budget!M55-95%</f>
        <v>-0.95</v>
      </c>
      <c r="N55" s="15">
        <f>CM_Budget!N55-95%</f>
        <v>-0.95</v>
      </c>
      <c r="O55" s="15">
        <f>CM_Budget!O55-95%</f>
        <v>-0.95</v>
      </c>
      <c r="P55" s="15">
        <f>CM_Budget!P55-95%</f>
        <v>-0.95</v>
      </c>
      <c r="Q55" s="15">
        <f>CM_Budget!Q55-95%</f>
        <v>-0.95</v>
      </c>
      <c r="R55" s="15">
        <f>CM_Budget!R55-95%</f>
        <v>-0.95</v>
      </c>
      <c r="S55" s="15">
        <f>CM_Budget!S55-95%</f>
        <v>-0.95</v>
      </c>
    </row>
    <row r="56" ht="14.25" customHeight="1">
      <c r="A56" s="5" t="s">
        <v>7</v>
      </c>
      <c r="B56" s="8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5">
        <f>CM_Budget!H56-95%</f>
        <v>-0.95</v>
      </c>
      <c r="I56" s="15">
        <f>CM_Budget!I56-95%</f>
        <v>-0.95</v>
      </c>
      <c r="J56" s="15">
        <f>CM_Budget!J56-95%</f>
        <v>-0.95</v>
      </c>
      <c r="K56" s="15">
        <f>CM_Budget!K56-95%</f>
        <v>-0.95</v>
      </c>
      <c r="L56" s="15">
        <f>CM_Budget!L56-95%</f>
        <v>-0.95</v>
      </c>
      <c r="M56" s="15">
        <f>CM_Budget!M56-95%</f>
        <v>-0.95</v>
      </c>
      <c r="N56" s="15">
        <f>CM_Budget!N56-95%</f>
        <v>-0.95</v>
      </c>
      <c r="O56" s="15">
        <f>CM_Budget!O56-95%</f>
        <v>-0.95</v>
      </c>
      <c r="P56" s="15">
        <f>CM_Budget!P56-95%</f>
        <v>-0.95</v>
      </c>
      <c r="Q56" s="15">
        <f>CM_Budget!Q56-95%</f>
        <v>-0.95</v>
      </c>
      <c r="R56" s="15">
        <f>CM_Budget!R56-95%</f>
        <v>-0.95</v>
      </c>
      <c r="S56" s="15">
        <f>CM_Budget!S56-95%</f>
        <v>-0.95</v>
      </c>
    </row>
    <row r="57" ht="14.25" customHeight="1">
      <c r="A57" s="5" t="s">
        <v>7</v>
      </c>
      <c r="B57" s="8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5">
        <f>CM_Budget!H57-95%</f>
        <v>4.3</v>
      </c>
      <c r="I57" s="15">
        <f>CM_Budget!I57-95%</f>
        <v>6.4</v>
      </c>
      <c r="J57" s="15">
        <f>CM_Budget!J57-95%</f>
        <v>7.45</v>
      </c>
      <c r="K57" s="15">
        <f>CM_Budget!K57-95%</f>
        <v>-0.95</v>
      </c>
      <c r="L57" s="15">
        <f>CM_Budget!L57-95%</f>
        <v>-0.95</v>
      </c>
      <c r="M57" s="15">
        <f>CM_Budget!M57-95%</f>
        <v>-0.95</v>
      </c>
      <c r="N57" s="15">
        <f>CM_Budget!N57-95%</f>
        <v>-0.95</v>
      </c>
      <c r="O57" s="15">
        <f>CM_Budget!O57-95%</f>
        <v>-0.95</v>
      </c>
      <c r="P57" s="15">
        <f>CM_Budget!P57-95%</f>
        <v>-0.95</v>
      </c>
      <c r="Q57" s="15">
        <f>CM_Budget!Q57-95%</f>
        <v>-0.95</v>
      </c>
      <c r="R57" s="15">
        <f>CM_Budget!R57-95%</f>
        <v>-0.95</v>
      </c>
      <c r="S57" s="15">
        <f>CM_Budget!S57-95%</f>
        <v>-0.95</v>
      </c>
    </row>
    <row r="58" ht="14.25" customHeight="1"/>
    <row r="59" ht="14.25" customHeight="1">
      <c r="G59" s="7" t="s">
        <v>69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8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9">
        <v>37.0</v>
      </c>
      <c r="I2" s="9">
        <v>37.0</v>
      </c>
      <c r="J2" s="9">
        <v>30.0</v>
      </c>
      <c r="K2" s="9">
        <v>29.0</v>
      </c>
      <c r="L2" s="9">
        <v>36.0</v>
      </c>
      <c r="M2" s="9">
        <v>31.0</v>
      </c>
      <c r="N2" s="9">
        <v>27.0</v>
      </c>
      <c r="O2" s="9">
        <v>26.391</v>
      </c>
      <c r="P2" s="9">
        <v>54.0</v>
      </c>
      <c r="Q2" s="9">
        <v>28.8</v>
      </c>
      <c r="R2" s="9">
        <v>15.0</v>
      </c>
      <c r="S2" s="9">
        <v>6.3</v>
      </c>
    </row>
    <row r="3" ht="14.25" customHeight="1">
      <c r="A3" s="5" t="s">
        <v>7</v>
      </c>
      <c r="B3" s="8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9">
        <v>8.5</v>
      </c>
      <c r="I3" s="9">
        <v>7.5</v>
      </c>
      <c r="J3" s="9">
        <v>7.0</v>
      </c>
      <c r="K3" s="9">
        <v>8.0</v>
      </c>
      <c r="L3" s="9">
        <v>10.0</v>
      </c>
      <c r="M3" s="9">
        <v>12.0</v>
      </c>
      <c r="N3" s="9">
        <v>3.0</v>
      </c>
      <c r="O3" s="9">
        <v>4.0</v>
      </c>
      <c r="P3" s="9">
        <v>0.5</v>
      </c>
      <c r="Q3" s="9">
        <v>4.76</v>
      </c>
      <c r="R3" s="9">
        <v>6.0</v>
      </c>
      <c r="S3" s="9">
        <v>9.839</v>
      </c>
    </row>
    <row r="4" ht="14.25" customHeight="1">
      <c r="A4" s="5" t="s">
        <v>7</v>
      </c>
      <c r="B4" s="8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9">
        <v>4.0</v>
      </c>
      <c r="I4" s="9">
        <v>7.0</v>
      </c>
      <c r="J4" s="9">
        <v>4.55</v>
      </c>
      <c r="K4" s="9">
        <v>7.5</v>
      </c>
      <c r="L4" s="9">
        <v>3.8</v>
      </c>
      <c r="M4" s="9">
        <v>6.0</v>
      </c>
      <c r="N4" s="9">
        <v>2.2</v>
      </c>
      <c r="O4" s="9">
        <v>4.7</v>
      </c>
      <c r="P4" s="9">
        <v>7.6</v>
      </c>
      <c r="Q4" s="9">
        <v>3.4225</v>
      </c>
      <c r="R4" s="9">
        <v>4.0</v>
      </c>
      <c r="S4" s="9">
        <v>0.93</v>
      </c>
    </row>
    <row r="5" ht="14.25" customHeight="1">
      <c r="A5" s="5" t="s">
        <v>7</v>
      </c>
      <c r="B5" s="8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9">
        <v>0.7</v>
      </c>
      <c r="I5" s="9">
        <v>1.9</v>
      </c>
      <c r="J5" s="9">
        <v>1.42</v>
      </c>
      <c r="K5" s="9">
        <v>0.41</v>
      </c>
      <c r="L5" s="9">
        <v>2.0</v>
      </c>
      <c r="M5" s="9">
        <v>2.09</v>
      </c>
      <c r="N5" s="9">
        <v>0.11</v>
      </c>
      <c r="O5" s="9">
        <v>0.0</v>
      </c>
      <c r="P5" s="9">
        <v>3.0</v>
      </c>
      <c r="Q5" s="9">
        <v>0.0</v>
      </c>
      <c r="R5" s="9">
        <v>0.0</v>
      </c>
      <c r="S5" s="9">
        <v>0.7599999999999997</v>
      </c>
    </row>
    <row r="6" ht="14.25" customHeight="1">
      <c r="A6" s="5" t="s">
        <v>7</v>
      </c>
      <c r="B6" s="8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9">
        <v>21.0</v>
      </c>
      <c r="I6" s="9">
        <v>21.0</v>
      </c>
      <c r="J6" s="9">
        <v>23.18104</v>
      </c>
      <c r="K6" s="9">
        <v>19.0</v>
      </c>
      <c r="L6" s="9">
        <v>22.0</v>
      </c>
      <c r="M6" s="9">
        <v>24.0</v>
      </c>
      <c r="N6" s="9">
        <v>12.0</v>
      </c>
      <c r="O6" s="9">
        <v>2.12</v>
      </c>
      <c r="P6" s="9">
        <v>10.0</v>
      </c>
      <c r="Q6" s="9">
        <v>0.0</v>
      </c>
      <c r="R6" s="9">
        <v>5.0</v>
      </c>
      <c r="S6" s="9">
        <v>-9.93469</v>
      </c>
    </row>
    <row r="7" ht="14.25" customHeight="1">
      <c r="A7" s="5" t="s">
        <v>7</v>
      </c>
      <c r="B7" s="8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9">
        <v>1.56</v>
      </c>
      <c r="I7" s="9">
        <v>-0.165</v>
      </c>
      <c r="J7" s="9">
        <v>1.5</v>
      </c>
      <c r="K7" s="9">
        <v>0.15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</row>
    <row r="8" ht="14.25" customHeight="1">
      <c r="A8" s="5" t="s">
        <v>7</v>
      </c>
      <c r="B8" s="8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9">
        <v>0.0</v>
      </c>
      <c r="I8" s="9">
        <v>0.0</v>
      </c>
      <c r="J8" s="9">
        <v>0.0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</row>
    <row r="9" ht="14.25" customHeight="1">
      <c r="A9" s="5" t="s">
        <v>7</v>
      </c>
      <c r="B9" s="8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9">
        <v>4.16</v>
      </c>
      <c r="I9" s="9">
        <v>20.5</v>
      </c>
      <c r="J9" s="9">
        <v>10.370000000000001</v>
      </c>
      <c r="K9" s="9">
        <v>12.5</v>
      </c>
      <c r="L9" s="9">
        <v>18.0</v>
      </c>
      <c r="M9" s="9">
        <v>26.0</v>
      </c>
      <c r="N9" s="9">
        <v>16.0</v>
      </c>
      <c r="O9" s="9">
        <v>28.134</v>
      </c>
      <c r="P9" s="9">
        <v>12.5</v>
      </c>
      <c r="Q9" s="9">
        <v>16.236</v>
      </c>
      <c r="R9" s="9">
        <v>15.0</v>
      </c>
      <c r="S9" s="9">
        <v>18.0</v>
      </c>
    </row>
    <row r="10" ht="14.25" customHeight="1">
      <c r="A10" s="5" t="s">
        <v>7</v>
      </c>
      <c r="B10" s="8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0.6</v>
      </c>
      <c r="P10" s="9">
        <v>0.0</v>
      </c>
      <c r="Q10" s="9">
        <v>1.1</v>
      </c>
      <c r="R10" s="9">
        <v>1.0</v>
      </c>
      <c r="S10" s="9">
        <v>5.0</v>
      </c>
    </row>
    <row r="11" ht="14.25" customHeight="1">
      <c r="A11" s="5" t="s">
        <v>7</v>
      </c>
      <c r="B11" s="8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9">
        <v>19.2</v>
      </c>
      <c r="I11" s="9">
        <v>20.5</v>
      </c>
      <c r="J11" s="9">
        <v>17.96229</v>
      </c>
      <c r="K11" s="9">
        <v>12.0</v>
      </c>
      <c r="L11" s="9">
        <v>15.0</v>
      </c>
      <c r="M11" s="9">
        <v>19.0</v>
      </c>
      <c r="N11" s="9">
        <v>15.333333333333336</v>
      </c>
      <c r="O11" s="9">
        <v>20.5</v>
      </c>
      <c r="P11" s="9">
        <v>14.0</v>
      </c>
      <c r="Q11" s="9">
        <v>26.0</v>
      </c>
      <c r="R11" s="9">
        <v>15.0</v>
      </c>
      <c r="S11" s="9">
        <v>13.1</v>
      </c>
    </row>
    <row r="12" ht="14.25" customHeight="1">
      <c r="A12" s="5" t="s">
        <v>7</v>
      </c>
      <c r="B12" s="8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9">
        <v>12.0</v>
      </c>
      <c r="I12" s="9">
        <v>15.0</v>
      </c>
      <c r="J12" s="9">
        <v>21.0</v>
      </c>
      <c r="K12" s="9">
        <v>13.0</v>
      </c>
      <c r="L12" s="9">
        <v>15.5</v>
      </c>
      <c r="M12" s="9">
        <v>25.0</v>
      </c>
      <c r="N12" s="9">
        <v>15.0</v>
      </c>
      <c r="O12" s="9">
        <v>9.5</v>
      </c>
      <c r="P12" s="9">
        <v>16.0</v>
      </c>
      <c r="Q12" s="9">
        <v>13.17074</v>
      </c>
      <c r="R12" s="9">
        <v>8.24</v>
      </c>
      <c r="S12" s="9">
        <v>13.38</v>
      </c>
    </row>
    <row r="13" ht="14.25" customHeight="1">
      <c r="A13" s="5" t="s">
        <v>7</v>
      </c>
      <c r="B13" s="8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9">
        <v>2.0</v>
      </c>
      <c r="I13" s="9">
        <v>0.73</v>
      </c>
      <c r="J13" s="9">
        <v>22.262500000000006</v>
      </c>
      <c r="K13" s="9">
        <v>10.0</v>
      </c>
      <c r="L13" s="9">
        <v>10.0</v>
      </c>
      <c r="M13" s="9">
        <v>8.0</v>
      </c>
      <c r="N13" s="9">
        <v>25.0</v>
      </c>
      <c r="O13" s="9">
        <v>36.5</v>
      </c>
      <c r="P13" s="9">
        <v>36.5</v>
      </c>
      <c r="Q13" s="9">
        <v>26.8</v>
      </c>
      <c r="R13" s="9">
        <v>20.0</v>
      </c>
      <c r="S13" s="9">
        <v>87.07</v>
      </c>
    </row>
    <row r="14" ht="14.25" customHeight="1">
      <c r="A14" s="5" t="s">
        <v>7</v>
      </c>
      <c r="B14" s="8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9">
        <v>0.0</v>
      </c>
      <c r="I14" s="9">
        <v>0.0</v>
      </c>
      <c r="J14" s="9">
        <v>0.0</v>
      </c>
      <c r="K14" s="9">
        <v>0.0</v>
      </c>
      <c r="L14" s="9">
        <v>4.9</v>
      </c>
      <c r="M14" s="9">
        <v>0.0</v>
      </c>
      <c r="N14" s="9">
        <v>0.0</v>
      </c>
      <c r="O14" s="9">
        <v>0.0</v>
      </c>
      <c r="P14" s="9">
        <v>0.0</v>
      </c>
      <c r="Q14" s="9">
        <v>1.4</v>
      </c>
      <c r="R14" s="9">
        <v>0.0</v>
      </c>
      <c r="S14" s="9">
        <v>2.64</v>
      </c>
    </row>
    <row r="15" ht="14.25" customHeight="1">
      <c r="A15" s="5" t="s">
        <v>7</v>
      </c>
      <c r="B15" s="8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2.0</v>
      </c>
      <c r="N15" s="9">
        <v>0.0</v>
      </c>
      <c r="O15" s="9">
        <v>3.0</v>
      </c>
      <c r="P15" s="9">
        <v>1.5</v>
      </c>
      <c r="Q15" s="9">
        <v>1.5</v>
      </c>
      <c r="R15" s="9">
        <v>5.0</v>
      </c>
      <c r="S15" s="9">
        <v>1.0499999999999994</v>
      </c>
    </row>
    <row r="16" ht="14.25" customHeight="1">
      <c r="A16" s="5" t="s">
        <v>7</v>
      </c>
      <c r="B16" s="8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1.5</v>
      </c>
    </row>
    <row r="17" ht="14.25" customHeight="1">
      <c r="A17" s="5" t="s">
        <v>7</v>
      </c>
      <c r="B17" s="8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9">
        <v>8.84</v>
      </c>
      <c r="I17" s="9">
        <v>11.0</v>
      </c>
      <c r="J17" s="9">
        <v>10.935</v>
      </c>
      <c r="K17" s="9">
        <v>10.47</v>
      </c>
      <c r="L17" s="9">
        <v>8.5</v>
      </c>
      <c r="M17" s="9">
        <v>9.0</v>
      </c>
      <c r="N17" s="9">
        <v>7.0</v>
      </c>
      <c r="O17" s="9">
        <v>7.50266</v>
      </c>
      <c r="P17" s="9">
        <v>3.94</v>
      </c>
      <c r="Q17" s="9">
        <v>8.3475</v>
      </c>
      <c r="R17" s="9">
        <v>6.8</v>
      </c>
      <c r="S17" s="9">
        <v>2.7400000000000007</v>
      </c>
    </row>
    <row r="18" ht="14.25" customHeight="1">
      <c r="A18" s="5" t="s">
        <v>7</v>
      </c>
      <c r="B18" s="8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9">
        <v>1.21</v>
      </c>
      <c r="I18" s="9">
        <v>0.31</v>
      </c>
      <c r="J18" s="9">
        <v>-0.091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</row>
    <row r="19" ht="14.25" customHeight="1">
      <c r="A19" s="5" t="s">
        <v>7</v>
      </c>
      <c r="B19" s="8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9">
        <v>13.0</v>
      </c>
      <c r="I19" s="9">
        <v>12.3</v>
      </c>
      <c r="J19" s="9">
        <v>15.0</v>
      </c>
      <c r="K19" s="9">
        <v>13.35</v>
      </c>
      <c r="L19" s="9">
        <v>11.0</v>
      </c>
      <c r="M19" s="9">
        <v>12.5</v>
      </c>
      <c r="N19" s="9">
        <v>11.0</v>
      </c>
      <c r="O19" s="9">
        <v>8.5</v>
      </c>
      <c r="P19" s="9">
        <v>12.0</v>
      </c>
      <c r="Q19" s="9">
        <v>8.65</v>
      </c>
      <c r="R19" s="9">
        <v>4.4</v>
      </c>
      <c r="S19" s="9">
        <v>-4.1</v>
      </c>
    </row>
    <row r="20" ht="14.25" customHeight="1">
      <c r="A20" s="5" t="s">
        <v>7</v>
      </c>
      <c r="B20" s="8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9">
        <v>20.0</v>
      </c>
      <c r="I20" s="9">
        <v>22.0</v>
      </c>
      <c r="J20" s="9">
        <v>23.0</v>
      </c>
      <c r="K20" s="9">
        <v>24.1</v>
      </c>
      <c r="L20" s="9">
        <v>25.45</v>
      </c>
      <c r="M20" s="9">
        <v>25.45</v>
      </c>
      <c r="N20" s="9">
        <v>18.0</v>
      </c>
      <c r="O20" s="9">
        <v>15.0</v>
      </c>
      <c r="P20" s="9">
        <v>10.0</v>
      </c>
      <c r="Q20" s="9">
        <v>11.26</v>
      </c>
      <c r="R20" s="9">
        <v>10.0</v>
      </c>
      <c r="S20" s="9">
        <v>15.39</v>
      </c>
    </row>
    <row r="21" ht="14.25" customHeight="1">
      <c r="A21" s="5" t="s">
        <v>7</v>
      </c>
      <c r="B21" s="8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9">
        <v>68.0</v>
      </c>
      <c r="I21" s="9">
        <v>89.0</v>
      </c>
      <c r="J21" s="9">
        <v>90.5</v>
      </c>
      <c r="K21" s="9">
        <v>80.0</v>
      </c>
      <c r="L21" s="9">
        <v>90.0</v>
      </c>
      <c r="M21" s="9">
        <v>109.0</v>
      </c>
      <c r="N21" s="9">
        <v>96.0</v>
      </c>
      <c r="O21" s="9">
        <v>110.0</v>
      </c>
      <c r="P21" s="9">
        <v>86.5</v>
      </c>
      <c r="Q21" s="9">
        <v>94.35</v>
      </c>
      <c r="R21" s="9">
        <v>99.0</v>
      </c>
      <c r="S21" s="9">
        <v>74.0</v>
      </c>
    </row>
    <row r="22" ht="14.25" customHeight="1">
      <c r="A22" s="5" t="s">
        <v>7</v>
      </c>
      <c r="B22" s="8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9">
        <v>17.0</v>
      </c>
      <c r="I22" s="9">
        <v>21.0</v>
      </c>
      <c r="J22" s="9">
        <v>14.0</v>
      </c>
      <c r="K22" s="9">
        <v>12.0</v>
      </c>
      <c r="L22" s="9">
        <v>15.0</v>
      </c>
      <c r="M22" s="9">
        <v>19.0</v>
      </c>
      <c r="N22" s="9">
        <v>11.0</v>
      </c>
      <c r="O22" s="9">
        <v>12.0</v>
      </c>
      <c r="P22" s="9">
        <v>13.0</v>
      </c>
      <c r="Q22" s="9">
        <v>9.60616</v>
      </c>
      <c r="R22" s="9">
        <v>4.895</v>
      </c>
      <c r="S22" s="9">
        <v>2.7100000000000013</v>
      </c>
    </row>
    <row r="23" ht="14.25" customHeight="1">
      <c r="A23" s="5" t="s">
        <v>7</v>
      </c>
      <c r="B23" s="8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9">
        <v>27.0</v>
      </c>
      <c r="I23" s="9">
        <v>32.0</v>
      </c>
      <c r="J23" s="9">
        <v>41.27</v>
      </c>
      <c r="K23" s="9">
        <v>47.5</v>
      </c>
      <c r="L23" s="9">
        <v>40.0</v>
      </c>
      <c r="M23" s="9">
        <v>45.9</v>
      </c>
      <c r="N23" s="9">
        <v>20.0</v>
      </c>
      <c r="O23" s="9">
        <v>35.67</v>
      </c>
      <c r="P23" s="9">
        <v>71.83</v>
      </c>
      <c r="Q23" s="9">
        <v>23.88</v>
      </c>
      <c r="R23" s="9">
        <v>33.0</v>
      </c>
      <c r="S23" s="9">
        <v>-67.0</v>
      </c>
    </row>
    <row r="24" ht="14.25" customHeight="1">
      <c r="A24" s="5" t="s">
        <v>7</v>
      </c>
      <c r="B24" s="8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9">
        <v>7.0</v>
      </c>
      <c r="I24" s="9">
        <v>7.7</v>
      </c>
      <c r="J24" s="9">
        <v>8.28588</v>
      </c>
      <c r="K24" s="9">
        <v>8.0</v>
      </c>
      <c r="L24" s="9">
        <v>8.6</v>
      </c>
      <c r="M24" s="9">
        <v>7.0</v>
      </c>
      <c r="N24" s="9">
        <v>1.0</v>
      </c>
      <c r="O24" s="9">
        <v>1.0</v>
      </c>
      <c r="P24" s="9">
        <v>2.5</v>
      </c>
      <c r="Q24" s="9">
        <v>1.8</v>
      </c>
      <c r="R24" s="9">
        <v>3.5</v>
      </c>
      <c r="S24" s="9">
        <v>-4.17</v>
      </c>
    </row>
    <row r="25" ht="14.25" customHeight="1">
      <c r="A25" s="5" t="s">
        <v>7</v>
      </c>
      <c r="B25" s="8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9">
        <v>3.0</v>
      </c>
      <c r="I25" s="9">
        <v>7.0</v>
      </c>
      <c r="J25" s="9">
        <v>1.515</v>
      </c>
      <c r="K25" s="9">
        <v>2.8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</row>
    <row r="26" ht="14.25" customHeight="1">
      <c r="A26" s="5" t="s">
        <v>7</v>
      </c>
      <c r="B26" s="8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9">
        <v>0.84</v>
      </c>
      <c r="I26" s="9">
        <v>2.08</v>
      </c>
      <c r="J26" s="9">
        <v>0.0</v>
      </c>
      <c r="K26" s="9">
        <v>1.44</v>
      </c>
      <c r="L26" s="9">
        <v>2.4</v>
      </c>
      <c r="M26" s="9">
        <v>0.0</v>
      </c>
      <c r="N26" s="9">
        <v>1.4</v>
      </c>
      <c r="O26" s="9">
        <v>0.0</v>
      </c>
      <c r="P26" s="9">
        <v>0.0</v>
      </c>
      <c r="Q26" s="9">
        <v>0.0</v>
      </c>
      <c r="R26" s="9">
        <v>1.4</v>
      </c>
      <c r="S26" s="9">
        <v>-3.12</v>
      </c>
    </row>
    <row r="27" ht="14.25" customHeight="1">
      <c r="A27" s="5" t="s">
        <v>7</v>
      </c>
      <c r="B27" s="8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9">
        <v>1.5</v>
      </c>
      <c r="I27" s="9">
        <v>1.875</v>
      </c>
      <c r="J27" s="9">
        <v>1.9</v>
      </c>
      <c r="K27" s="9">
        <v>3.75</v>
      </c>
      <c r="L27" s="9">
        <v>6.0</v>
      </c>
      <c r="M27" s="9">
        <v>11.0</v>
      </c>
      <c r="N27" s="9">
        <v>10.0</v>
      </c>
      <c r="O27" s="9">
        <v>10.0</v>
      </c>
      <c r="P27" s="9">
        <v>10.0</v>
      </c>
      <c r="Q27" s="9">
        <v>11.7817</v>
      </c>
      <c r="R27" s="9">
        <v>15.19</v>
      </c>
      <c r="S27" s="9">
        <v>35.3</v>
      </c>
    </row>
    <row r="28" ht="14.25" customHeight="1">
      <c r="A28" s="5" t="s">
        <v>7</v>
      </c>
      <c r="B28" s="8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9">
        <v>0.5</v>
      </c>
      <c r="I28" s="9">
        <v>0.75</v>
      </c>
      <c r="J28" s="9">
        <v>0.2</v>
      </c>
      <c r="K28" s="9">
        <v>0.71</v>
      </c>
      <c r="L28" s="9">
        <v>0.71</v>
      </c>
      <c r="M28" s="9">
        <v>1.0</v>
      </c>
      <c r="N28" s="9">
        <v>1.0</v>
      </c>
      <c r="O28" s="9">
        <v>3.0</v>
      </c>
      <c r="P28" s="9">
        <v>0.0</v>
      </c>
      <c r="Q28" s="9">
        <v>0.0</v>
      </c>
      <c r="R28" s="9">
        <v>0.0</v>
      </c>
      <c r="S28" s="9">
        <v>-0.857</v>
      </c>
    </row>
    <row r="29" ht="14.25" customHeight="1">
      <c r="A29" s="5" t="s">
        <v>7</v>
      </c>
      <c r="B29" s="8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9">
        <v>0.0</v>
      </c>
      <c r="I29" s="9">
        <v>2.5</v>
      </c>
      <c r="J29" s="9">
        <v>4.2</v>
      </c>
      <c r="K29" s="9">
        <v>6.2</v>
      </c>
      <c r="L29" s="9">
        <v>8.0</v>
      </c>
      <c r="M29" s="9">
        <v>18.0</v>
      </c>
      <c r="N29" s="9">
        <v>5.0</v>
      </c>
      <c r="O29" s="9">
        <v>5.0</v>
      </c>
      <c r="P29" s="9">
        <v>5.0</v>
      </c>
      <c r="Q29" s="9">
        <v>14.2364</v>
      </c>
      <c r="R29" s="9">
        <v>7.39</v>
      </c>
      <c r="S29" s="9">
        <v>2.2300000000000013</v>
      </c>
    </row>
    <row r="30" ht="14.25" customHeight="1">
      <c r="A30" s="5" t="s">
        <v>7</v>
      </c>
      <c r="B30" s="8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9">
        <v>0.0</v>
      </c>
      <c r="I30" s="9">
        <v>0.0</v>
      </c>
      <c r="J30" s="9">
        <v>0.0</v>
      </c>
      <c r="K30" s="9">
        <v>0.0</v>
      </c>
      <c r="L30" s="9">
        <v>0.0</v>
      </c>
      <c r="M30" s="9">
        <v>5.0</v>
      </c>
      <c r="N30" s="9">
        <v>5.0</v>
      </c>
      <c r="O30" s="9">
        <v>4.911</v>
      </c>
      <c r="P30" s="9">
        <v>8.0</v>
      </c>
      <c r="Q30" s="9">
        <v>8.06</v>
      </c>
      <c r="R30" s="9">
        <v>5.89</v>
      </c>
      <c r="S30" s="9">
        <v>4.98</v>
      </c>
    </row>
    <row r="31" ht="14.25" customHeight="1">
      <c r="A31" s="5" t="s">
        <v>7</v>
      </c>
      <c r="B31" s="8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9">
        <v>0.0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0.0</v>
      </c>
      <c r="O31" s="9">
        <v>6.4</v>
      </c>
      <c r="P31" s="9">
        <v>9.6</v>
      </c>
      <c r="Q31" s="9">
        <v>8.5</v>
      </c>
      <c r="R31" s="9">
        <v>35.0</v>
      </c>
      <c r="S31" s="9">
        <v>184.0</v>
      </c>
    </row>
    <row r="32" ht="14.25" customHeight="1">
      <c r="A32" s="5" t="s">
        <v>7</v>
      </c>
      <c r="B32" s="8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9">
        <v>0.0</v>
      </c>
      <c r="I32" s="9">
        <v>0.0</v>
      </c>
      <c r="J32" s="9">
        <v>0.0</v>
      </c>
      <c r="K32" s="9">
        <v>0.0</v>
      </c>
      <c r="L32" s="9">
        <v>0.0</v>
      </c>
      <c r="M32" s="9">
        <v>0.0</v>
      </c>
      <c r="N32" s="9">
        <v>0.0</v>
      </c>
      <c r="O32" s="9">
        <v>0.0</v>
      </c>
      <c r="P32" s="9">
        <v>1.0</v>
      </c>
      <c r="Q32" s="9">
        <v>2.0</v>
      </c>
      <c r="R32" s="9">
        <v>2.0</v>
      </c>
      <c r="S32" s="9">
        <v>4.6</v>
      </c>
    </row>
    <row r="33" ht="14.25" customHeight="1">
      <c r="A33" s="5" t="s">
        <v>7</v>
      </c>
      <c r="B33" s="8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9">
        <v>10.2</v>
      </c>
      <c r="I33" s="9">
        <v>12.5</v>
      </c>
      <c r="J33" s="9">
        <v>20.0</v>
      </c>
      <c r="K33" s="9">
        <v>22.5</v>
      </c>
      <c r="L33" s="9">
        <v>21.0</v>
      </c>
      <c r="M33" s="9">
        <v>23.0</v>
      </c>
      <c r="N33" s="9">
        <v>11.0</v>
      </c>
      <c r="O33" s="9">
        <v>12.0</v>
      </c>
      <c r="P33" s="9">
        <v>12.0</v>
      </c>
      <c r="Q33" s="9">
        <v>14.0</v>
      </c>
      <c r="R33" s="9">
        <v>12.0</v>
      </c>
      <c r="S33" s="9">
        <v>12.0</v>
      </c>
    </row>
    <row r="34" ht="14.25" customHeight="1">
      <c r="A34" s="5" t="s">
        <v>7</v>
      </c>
      <c r="B34" s="8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9">
        <v>4.8</v>
      </c>
      <c r="I34" s="9">
        <v>7.0</v>
      </c>
      <c r="J34" s="9">
        <v>1.5</v>
      </c>
      <c r="K34" s="9">
        <v>1.6</v>
      </c>
      <c r="L34" s="9">
        <v>2.0</v>
      </c>
      <c r="M34" s="9">
        <v>0.0</v>
      </c>
      <c r="N34" s="9">
        <v>0.0</v>
      </c>
      <c r="O34" s="9">
        <v>2.8</v>
      </c>
      <c r="P34" s="9">
        <v>0.0</v>
      </c>
      <c r="Q34" s="9">
        <v>0.0</v>
      </c>
      <c r="R34" s="9">
        <v>0.0</v>
      </c>
      <c r="S34" s="9">
        <v>-1.782</v>
      </c>
    </row>
    <row r="35" ht="14.25" customHeight="1">
      <c r="A35" s="5" t="s">
        <v>7</v>
      </c>
      <c r="B35" s="8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9">
        <v>9.0</v>
      </c>
      <c r="I35" s="9">
        <v>10.0</v>
      </c>
      <c r="J35" s="9">
        <v>7.679</v>
      </c>
      <c r="K35" s="9">
        <v>10.0</v>
      </c>
      <c r="L35" s="9">
        <v>8.5</v>
      </c>
      <c r="M35" s="9">
        <v>4.5</v>
      </c>
      <c r="N35" s="9">
        <v>6.0</v>
      </c>
      <c r="O35" s="9">
        <v>4.4</v>
      </c>
      <c r="P35" s="9">
        <v>5.0</v>
      </c>
      <c r="Q35" s="9">
        <v>1.2</v>
      </c>
      <c r="R35" s="9">
        <v>1.76</v>
      </c>
      <c r="S35" s="9">
        <v>4.0</v>
      </c>
    </row>
    <row r="36" ht="14.25" customHeight="1">
      <c r="A36" s="5" t="s">
        <v>7</v>
      </c>
      <c r="B36" s="8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9">
        <v>1.0</v>
      </c>
      <c r="I36" s="9">
        <v>7.0</v>
      </c>
      <c r="J36" s="9">
        <v>0.4</v>
      </c>
      <c r="K36" s="9">
        <v>1.0</v>
      </c>
      <c r="L36" s="9">
        <v>0.0</v>
      </c>
      <c r="M36" s="9">
        <v>0.0</v>
      </c>
      <c r="N36" s="9">
        <v>0.0</v>
      </c>
      <c r="O36" s="9">
        <v>3.49</v>
      </c>
      <c r="P36" s="9">
        <v>0.0</v>
      </c>
      <c r="Q36" s="9">
        <v>0.0</v>
      </c>
      <c r="R36" s="9">
        <v>0.0</v>
      </c>
      <c r="S36" s="9">
        <v>0.0</v>
      </c>
    </row>
    <row r="37" ht="14.25" customHeight="1">
      <c r="A37" s="5" t="s">
        <v>7</v>
      </c>
      <c r="B37" s="8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9">
        <v>2.0</v>
      </c>
      <c r="I37" s="9">
        <v>5.0</v>
      </c>
      <c r="J37" s="9">
        <v>1.0</v>
      </c>
      <c r="K37" s="9">
        <v>9.0</v>
      </c>
      <c r="L37" s="9">
        <v>10.0</v>
      </c>
      <c r="M37" s="9">
        <v>12.0</v>
      </c>
      <c r="N37" s="9">
        <v>8.0</v>
      </c>
      <c r="O37" s="9">
        <v>15.0</v>
      </c>
      <c r="P37" s="9">
        <v>15.0</v>
      </c>
      <c r="Q37" s="9">
        <v>15.5</v>
      </c>
      <c r="R37" s="9">
        <v>9.0</v>
      </c>
      <c r="S37" s="9">
        <v>16.5</v>
      </c>
    </row>
    <row r="38" ht="14.25" customHeight="1">
      <c r="A38" s="5" t="s">
        <v>7</v>
      </c>
      <c r="B38" s="8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9">
        <v>0.0</v>
      </c>
      <c r="I38" s="9">
        <v>4.0</v>
      </c>
      <c r="J38" s="9">
        <v>4.0</v>
      </c>
      <c r="K38" s="9">
        <v>2.0</v>
      </c>
      <c r="L38" s="9">
        <v>0.0</v>
      </c>
      <c r="M38" s="9">
        <v>0.0</v>
      </c>
      <c r="N38" s="9">
        <v>0.0</v>
      </c>
      <c r="O38" s="9">
        <v>0.0</v>
      </c>
      <c r="P38" s="9">
        <v>0.0</v>
      </c>
      <c r="Q38" s="9">
        <v>0.0</v>
      </c>
      <c r="R38" s="9">
        <v>0.0</v>
      </c>
      <c r="S38" s="9">
        <v>0.0</v>
      </c>
    </row>
    <row r="39" ht="14.25" customHeight="1">
      <c r="A39" s="5" t="s">
        <v>7</v>
      </c>
      <c r="B39" s="8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9">
        <v>3.166666666666666</v>
      </c>
      <c r="I39" s="9">
        <v>4.166666666666667</v>
      </c>
      <c r="J39" s="9">
        <v>4.166666666666667</v>
      </c>
      <c r="K39" s="9">
        <v>3.0</v>
      </c>
      <c r="L39" s="9">
        <v>2.1</v>
      </c>
      <c r="M39" s="9">
        <v>3.0</v>
      </c>
      <c r="N39" s="9">
        <v>3.0</v>
      </c>
      <c r="O39" s="9">
        <v>7.02644</v>
      </c>
      <c r="P39" s="9">
        <v>0.0</v>
      </c>
      <c r="Q39" s="9">
        <v>3.24443</v>
      </c>
      <c r="R39" s="9">
        <v>3.06893</v>
      </c>
      <c r="S39" s="9">
        <v>7.60801</v>
      </c>
    </row>
    <row r="40" ht="14.25" customHeight="1">
      <c r="A40" s="5" t="s">
        <v>7</v>
      </c>
      <c r="B40" s="8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9">
        <v>1.583333333333333</v>
      </c>
      <c r="I40" s="9">
        <v>1.6</v>
      </c>
      <c r="J40" s="9">
        <v>1.6</v>
      </c>
      <c r="K40" s="9">
        <v>1.76</v>
      </c>
      <c r="L40" s="9">
        <v>1.76</v>
      </c>
      <c r="M40" s="9">
        <v>1.76</v>
      </c>
      <c r="N40" s="9">
        <v>1.76</v>
      </c>
      <c r="O40" s="9">
        <v>1.76</v>
      </c>
      <c r="P40" s="9">
        <v>1.76</v>
      </c>
      <c r="Q40" s="9">
        <v>1.76</v>
      </c>
      <c r="R40" s="9">
        <v>1.76</v>
      </c>
      <c r="S40" s="9">
        <v>1.76</v>
      </c>
    </row>
    <row r="41" ht="14.25" customHeight="1">
      <c r="A41" s="5" t="s">
        <v>7</v>
      </c>
      <c r="B41" s="8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9">
        <v>0.0</v>
      </c>
      <c r="I41" s="9">
        <v>0.0</v>
      </c>
      <c r="J41" s="9">
        <v>0.0</v>
      </c>
      <c r="K41" s="9">
        <v>0.0</v>
      </c>
      <c r="L41" s="9">
        <v>0.0</v>
      </c>
      <c r="M41" s="9">
        <v>0.0</v>
      </c>
      <c r="N41" s="9">
        <v>0.0</v>
      </c>
      <c r="O41" s="9">
        <v>0.0</v>
      </c>
      <c r="P41" s="9">
        <v>0.0</v>
      </c>
      <c r="Q41" s="9">
        <v>0.0</v>
      </c>
      <c r="R41" s="9">
        <v>0.0</v>
      </c>
      <c r="S41" s="9">
        <v>0.0</v>
      </c>
    </row>
    <row r="42" ht="14.25" customHeight="1">
      <c r="A42" s="5" t="s">
        <v>7</v>
      </c>
      <c r="B42" s="8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9">
        <v>34.0</v>
      </c>
      <c r="I42" s="9">
        <v>36.25481</v>
      </c>
      <c r="J42" s="9">
        <v>17.7</v>
      </c>
      <c r="K42" s="9">
        <v>13.0</v>
      </c>
      <c r="L42" s="9">
        <v>25.0</v>
      </c>
      <c r="M42" s="9">
        <v>22.0</v>
      </c>
      <c r="N42" s="9">
        <v>23.33333333333333</v>
      </c>
      <c r="O42" s="9">
        <v>57.15193</v>
      </c>
      <c r="P42" s="9">
        <v>24.19</v>
      </c>
      <c r="Q42" s="9">
        <v>20.2115</v>
      </c>
      <c r="R42" s="9">
        <v>25.6723</v>
      </c>
      <c r="S42" s="9">
        <v>19.95734</v>
      </c>
    </row>
    <row r="43" ht="14.25" customHeight="1">
      <c r="A43" s="5" t="s">
        <v>7</v>
      </c>
      <c r="B43" s="8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9">
        <v>3.0</v>
      </c>
      <c r="I43" s="9">
        <v>2.5</v>
      </c>
      <c r="J43" s="9">
        <v>11.0</v>
      </c>
      <c r="K43" s="9">
        <v>8.0</v>
      </c>
      <c r="L43" s="9">
        <v>6.0</v>
      </c>
      <c r="M43" s="9">
        <v>12.0</v>
      </c>
      <c r="N43" s="9">
        <v>3.666666666666666</v>
      </c>
      <c r="O43" s="9">
        <v>-2.442</v>
      </c>
      <c r="P43" s="9">
        <v>3.75</v>
      </c>
      <c r="Q43" s="9">
        <v>3.58188</v>
      </c>
      <c r="R43" s="9">
        <v>4.4</v>
      </c>
      <c r="S43" s="9">
        <v>5.12484</v>
      </c>
    </row>
    <row r="44" ht="14.25" customHeight="1">
      <c r="A44" s="5" t="s">
        <v>7</v>
      </c>
      <c r="B44" s="8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9">
        <v>1.8583333333333334</v>
      </c>
      <c r="I44" s="9">
        <v>2.5</v>
      </c>
      <c r="J44" s="9">
        <v>1.2166666666666668</v>
      </c>
      <c r="K44" s="9">
        <v>3.0</v>
      </c>
      <c r="L44" s="9">
        <v>3.73</v>
      </c>
      <c r="M44" s="9">
        <v>8.0</v>
      </c>
      <c r="N44" s="9">
        <v>6.5</v>
      </c>
      <c r="O44" s="9">
        <v>8.0</v>
      </c>
      <c r="P44" s="9">
        <v>1.5000000000000007</v>
      </c>
      <c r="Q44" s="9">
        <v>1.784</v>
      </c>
      <c r="R44" s="9">
        <v>0.0</v>
      </c>
      <c r="S44" s="9">
        <v>2.393</v>
      </c>
    </row>
    <row r="45" ht="14.25" customHeight="1">
      <c r="A45" s="5" t="s">
        <v>7</v>
      </c>
      <c r="B45" s="8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9">
        <v>2.0</v>
      </c>
      <c r="I45" s="9">
        <v>-2.0</v>
      </c>
      <c r="J45" s="9">
        <v>0.0</v>
      </c>
      <c r="K45" s="9">
        <v>0.0</v>
      </c>
      <c r="L45" s="9">
        <v>0.0</v>
      </c>
      <c r="M45" s="9">
        <v>0.0</v>
      </c>
      <c r="N45" s="9">
        <v>0.0</v>
      </c>
      <c r="O45" s="9">
        <v>0.0</v>
      </c>
      <c r="P45" s="9">
        <v>0.0</v>
      </c>
      <c r="Q45" s="9">
        <v>0.0</v>
      </c>
      <c r="R45" s="9">
        <v>0.0</v>
      </c>
      <c r="S45" s="9">
        <v>0.0</v>
      </c>
    </row>
    <row r="46" ht="14.25" customHeight="1">
      <c r="A46" s="5" t="s">
        <v>7</v>
      </c>
      <c r="B46" s="8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9">
        <v>0.0</v>
      </c>
      <c r="I46" s="9">
        <v>0.0</v>
      </c>
      <c r="J46" s="9">
        <v>0.0</v>
      </c>
      <c r="K46" s="9">
        <v>0.0</v>
      </c>
      <c r="L46" s="9">
        <v>0.0</v>
      </c>
      <c r="M46" s="9">
        <v>0.0</v>
      </c>
      <c r="N46" s="9">
        <v>0.0</v>
      </c>
      <c r="O46" s="9">
        <v>3.7825</v>
      </c>
      <c r="P46" s="9">
        <v>0.5</v>
      </c>
      <c r="Q46" s="9">
        <v>6.225</v>
      </c>
      <c r="R46" s="9">
        <v>6.775</v>
      </c>
      <c r="S46" s="9">
        <v>22.93915</v>
      </c>
    </row>
    <row r="47" ht="14.25" customHeight="1">
      <c r="A47" s="5" t="s">
        <v>7</v>
      </c>
      <c r="B47" s="8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>
        <v>0.0</v>
      </c>
      <c r="O47" s="9">
        <v>0.0</v>
      </c>
      <c r="P47" s="9">
        <v>1.0</v>
      </c>
      <c r="Q47" s="9">
        <v>2.35</v>
      </c>
      <c r="R47" s="9">
        <v>7.658</v>
      </c>
      <c r="S47" s="9">
        <v>4.598000000000001</v>
      </c>
    </row>
    <row r="48" ht="14.25" customHeight="1">
      <c r="A48" s="5" t="s">
        <v>7</v>
      </c>
      <c r="B48" s="8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9">
        <v>0.0</v>
      </c>
      <c r="I48" s="9">
        <v>0.0</v>
      </c>
      <c r="J48" s="9">
        <v>0.0</v>
      </c>
      <c r="K48" s="9">
        <v>0.0</v>
      </c>
      <c r="L48" s="9">
        <v>0.0</v>
      </c>
      <c r="M48" s="9">
        <v>0.0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  <c r="S48" s="9">
        <v>1.25</v>
      </c>
    </row>
    <row r="49" ht="14.25" customHeight="1">
      <c r="A49" s="5" t="s">
        <v>7</v>
      </c>
      <c r="B49" s="8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9">
        <v>182.0</v>
      </c>
      <c r="I49" s="9">
        <v>160.0</v>
      </c>
      <c r="J49" s="9">
        <v>160.30165</v>
      </c>
      <c r="K49" s="9">
        <v>158.2</v>
      </c>
      <c r="L49" s="9">
        <v>137.96</v>
      </c>
      <c r="M49" s="9">
        <v>143.0</v>
      </c>
      <c r="N49" s="9">
        <v>138.0</v>
      </c>
      <c r="O49" s="9">
        <v>125.0</v>
      </c>
      <c r="P49" s="9">
        <v>169.66666666666703</v>
      </c>
      <c r="Q49" s="9">
        <v>127.0</v>
      </c>
      <c r="R49" s="9">
        <v>37.0</v>
      </c>
      <c r="S49" s="9">
        <v>139.0</v>
      </c>
    </row>
    <row r="50" ht="14.25" customHeight="1">
      <c r="A50" s="5" t="s">
        <v>7</v>
      </c>
      <c r="B50" s="8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9">
        <v>12.0</v>
      </c>
      <c r="I50" s="9">
        <v>29.0</v>
      </c>
      <c r="J50" s="9">
        <v>21.0</v>
      </c>
      <c r="K50" s="9">
        <v>23.0</v>
      </c>
      <c r="L50" s="9">
        <v>23.0</v>
      </c>
      <c r="M50" s="9">
        <v>23.5</v>
      </c>
      <c r="N50" s="9">
        <v>19.2</v>
      </c>
      <c r="O50" s="9">
        <v>15.145</v>
      </c>
      <c r="P50" s="9">
        <v>29.155</v>
      </c>
      <c r="Q50" s="9">
        <v>11.0</v>
      </c>
      <c r="R50" s="9">
        <v>14.0</v>
      </c>
      <c r="S50" s="9">
        <v>23.22</v>
      </c>
    </row>
    <row r="51" ht="14.25" customHeight="1">
      <c r="A51" s="5" t="s">
        <v>7</v>
      </c>
      <c r="B51" s="8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9">
        <v>3.01</v>
      </c>
      <c r="I51" s="9">
        <v>0.76</v>
      </c>
      <c r="J51" s="9">
        <v>1.82</v>
      </c>
      <c r="K51" s="9">
        <v>3.7</v>
      </c>
      <c r="L51" s="9">
        <v>1.0</v>
      </c>
      <c r="M51" s="9">
        <v>0.6499999999999999</v>
      </c>
      <c r="N51" s="9">
        <v>0.0</v>
      </c>
      <c r="O51" s="9">
        <v>0.0</v>
      </c>
      <c r="P51" s="9">
        <v>0.0</v>
      </c>
      <c r="Q51" s="9">
        <v>0.0</v>
      </c>
      <c r="R51" s="9">
        <v>0.0</v>
      </c>
      <c r="S51" s="9">
        <v>0.0</v>
      </c>
    </row>
    <row r="52" ht="14.25" customHeight="1">
      <c r="A52" s="5" t="s">
        <v>7</v>
      </c>
      <c r="B52" s="8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9">
        <v>74.0</v>
      </c>
      <c r="I52" s="9">
        <v>69.6978</v>
      </c>
      <c r="J52" s="9">
        <v>80.0</v>
      </c>
      <c r="K52" s="9">
        <v>90.5</v>
      </c>
      <c r="L52" s="9">
        <v>88.0</v>
      </c>
      <c r="M52" s="9">
        <v>157.5</v>
      </c>
      <c r="N52" s="9">
        <v>92.3</v>
      </c>
      <c r="O52" s="9">
        <v>88.8462</v>
      </c>
      <c r="P52" s="9">
        <v>124.6538</v>
      </c>
      <c r="Q52" s="9">
        <v>89.786</v>
      </c>
      <c r="R52" s="9">
        <v>170.0</v>
      </c>
      <c r="S52" s="9">
        <v>103.0</v>
      </c>
    </row>
    <row r="53" ht="14.25" customHeight="1">
      <c r="A53" s="5" t="s">
        <v>7</v>
      </c>
      <c r="B53" s="8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9">
        <v>7.0</v>
      </c>
      <c r="I53" s="9">
        <v>6.0</v>
      </c>
      <c r="J53" s="9">
        <v>11.8978</v>
      </c>
      <c r="K53" s="9">
        <v>7.0</v>
      </c>
      <c r="L53" s="9">
        <v>8.0</v>
      </c>
      <c r="M53" s="9">
        <v>9.0</v>
      </c>
      <c r="N53" s="9">
        <v>5.0</v>
      </c>
      <c r="O53" s="9">
        <v>4.2</v>
      </c>
      <c r="P53" s="9">
        <v>5.0</v>
      </c>
      <c r="Q53" s="9">
        <v>6.5145</v>
      </c>
      <c r="R53" s="9">
        <v>5.5</v>
      </c>
      <c r="S53" s="9">
        <v>9.5</v>
      </c>
    </row>
    <row r="54" ht="14.25" customHeight="1">
      <c r="A54" s="5" t="s">
        <v>7</v>
      </c>
      <c r="B54" s="8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9">
        <v>3.333333333333334</v>
      </c>
      <c r="I54" s="9">
        <v>3.333333333333333</v>
      </c>
      <c r="J54" s="9">
        <v>-2.66666</v>
      </c>
      <c r="K54" s="9">
        <v>1.1</v>
      </c>
      <c r="L54" s="9">
        <v>1.0</v>
      </c>
      <c r="M54" s="9">
        <v>1.5</v>
      </c>
      <c r="N54" s="9">
        <v>1.666666666666667</v>
      </c>
      <c r="O54" s="9">
        <v>1.7</v>
      </c>
      <c r="P54" s="9">
        <v>1.6333333333333335</v>
      </c>
      <c r="Q54" s="9">
        <v>1.5</v>
      </c>
      <c r="R54" s="9">
        <v>2.0</v>
      </c>
      <c r="S54" s="9">
        <v>2.78166</v>
      </c>
    </row>
    <row r="55" ht="14.25" customHeight="1">
      <c r="A55" s="5" t="s">
        <v>7</v>
      </c>
      <c r="B55" s="8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9">
        <v>7.755925899999999</v>
      </c>
      <c r="I55" s="9">
        <v>11.0</v>
      </c>
      <c r="J55" s="9">
        <v>22.0</v>
      </c>
      <c r="K55" s="9">
        <v>4.0</v>
      </c>
      <c r="L55" s="9">
        <v>10.0</v>
      </c>
      <c r="M55" s="9">
        <v>14.0</v>
      </c>
      <c r="N55" s="9">
        <v>4.5</v>
      </c>
      <c r="O55" s="9">
        <v>8.58</v>
      </c>
      <c r="P55" s="9">
        <v>11.3</v>
      </c>
      <c r="Q55" s="9">
        <v>9.95268</v>
      </c>
      <c r="R55" s="9">
        <v>6.0</v>
      </c>
      <c r="S55" s="9">
        <v>0.0</v>
      </c>
    </row>
    <row r="56" ht="14.25" customHeight="1">
      <c r="A56" s="5" t="s">
        <v>7</v>
      </c>
      <c r="B56" s="8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9">
        <v>0.0</v>
      </c>
      <c r="I56" s="9">
        <v>0.0</v>
      </c>
      <c r="J56" s="9">
        <v>0.0</v>
      </c>
      <c r="K56" s="9">
        <v>0.0</v>
      </c>
      <c r="L56" s="9">
        <v>0.0</v>
      </c>
      <c r="M56" s="9">
        <v>0.0</v>
      </c>
      <c r="N56" s="9">
        <v>0.0</v>
      </c>
      <c r="O56" s="9">
        <v>0.0</v>
      </c>
      <c r="P56" s="9">
        <v>0.0</v>
      </c>
      <c r="Q56" s="9">
        <v>0.0</v>
      </c>
      <c r="R56" s="9">
        <v>0.0</v>
      </c>
      <c r="S56" s="9">
        <v>0.0</v>
      </c>
    </row>
    <row r="57" ht="14.25" customHeight="1">
      <c r="A57" s="5" t="s">
        <v>7</v>
      </c>
      <c r="B57" s="8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9">
        <v>0.0</v>
      </c>
      <c r="I57" s="9">
        <v>0.0</v>
      </c>
      <c r="J57" s="9">
        <v>0.0</v>
      </c>
      <c r="K57" s="9">
        <v>0.0</v>
      </c>
      <c r="L57" s="9">
        <v>0.0</v>
      </c>
      <c r="M57" s="9">
        <v>0.0</v>
      </c>
      <c r="N57" s="9">
        <v>0.0</v>
      </c>
      <c r="O57" s="9">
        <v>0.0</v>
      </c>
      <c r="P57" s="9">
        <v>0.0</v>
      </c>
      <c r="Q57" s="9">
        <v>0.0</v>
      </c>
      <c r="R57" s="9">
        <v>0.0</v>
      </c>
      <c r="S57" s="9">
        <v>0.0</v>
      </c>
    </row>
    <row r="58" ht="14.25" customHeight="1"/>
    <row r="59" ht="14.25" customHeight="1">
      <c r="H59" s="7" t="s">
        <v>70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10.0"/>
    <col customWidth="1" min="5" max="5" width="10.75"/>
    <col customWidth="1" min="6" max="6" width="12.0"/>
    <col customWidth="1" min="7" max="7" width="13.25"/>
    <col customWidth="1" min="8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1" t="s">
        <v>7</v>
      </c>
      <c r="B2" s="1" t="s">
        <v>8</v>
      </c>
      <c r="C2" s="1" t="s">
        <v>71</v>
      </c>
      <c r="D2" s="1" t="s">
        <v>72</v>
      </c>
      <c r="E2" s="1" t="s">
        <v>73</v>
      </c>
      <c r="F2" s="1" t="s">
        <v>74</v>
      </c>
      <c r="G2" s="6" t="s">
        <v>75</v>
      </c>
    </row>
    <row r="3" ht="14.25" customHeight="1">
      <c r="A3" s="1" t="s">
        <v>7</v>
      </c>
      <c r="B3" s="1" t="s">
        <v>9</v>
      </c>
      <c r="C3" s="1" t="s">
        <v>71</v>
      </c>
      <c r="D3" s="1" t="s">
        <v>72</v>
      </c>
      <c r="E3" s="1" t="s">
        <v>73</v>
      </c>
      <c r="F3" s="1" t="s">
        <v>74</v>
      </c>
      <c r="G3" s="6" t="s">
        <v>75</v>
      </c>
    </row>
    <row r="4" ht="14.25" customHeight="1">
      <c r="A4" s="1" t="s">
        <v>7</v>
      </c>
      <c r="B4" s="1" t="s">
        <v>10</v>
      </c>
      <c r="C4" s="1" t="s">
        <v>71</v>
      </c>
      <c r="D4" s="1" t="s">
        <v>72</v>
      </c>
      <c r="E4" s="1" t="s">
        <v>73</v>
      </c>
      <c r="F4" s="1" t="s">
        <v>74</v>
      </c>
      <c r="G4" s="6" t="s">
        <v>75</v>
      </c>
    </row>
    <row r="5" ht="14.25" customHeight="1">
      <c r="A5" s="1" t="s">
        <v>7</v>
      </c>
      <c r="B5" s="1" t="s">
        <v>11</v>
      </c>
      <c r="C5" s="1" t="s">
        <v>71</v>
      </c>
      <c r="D5" s="1" t="s">
        <v>72</v>
      </c>
      <c r="E5" s="1" t="s">
        <v>73</v>
      </c>
      <c r="F5" s="1" t="s">
        <v>74</v>
      </c>
      <c r="G5" s="6" t="s">
        <v>74</v>
      </c>
    </row>
    <row r="6" ht="14.25" customHeight="1">
      <c r="A6" s="1" t="s">
        <v>7</v>
      </c>
      <c r="B6" s="1" t="s">
        <v>12</v>
      </c>
      <c r="C6" s="1" t="s">
        <v>71</v>
      </c>
      <c r="D6" s="1" t="s">
        <v>72</v>
      </c>
      <c r="E6" s="1" t="s">
        <v>73</v>
      </c>
      <c r="F6" s="1" t="s">
        <v>74</v>
      </c>
      <c r="G6" s="6" t="s">
        <v>75</v>
      </c>
    </row>
    <row r="7" ht="14.25" customHeight="1">
      <c r="A7" s="1" t="s">
        <v>7</v>
      </c>
      <c r="B7" s="1" t="s">
        <v>13</v>
      </c>
      <c r="C7" s="1" t="s">
        <v>71</v>
      </c>
      <c r="D7" s="1" t="s">
        <v>72</v>
      </c>
      <c r="E7" s="1" t="s">
        <v>76</v>
      </c>
      <c r="F7" s="1" t="s">
        <v>74</v>
      </c>
      <c r="G7" s="6" t="s">
        <v>77</v>
      </c>
    </row>
    <row r="8" ht="14.25" customHeight="1">
      <c r="A8" s="1" t="s">
        <v>7</v>
      </c>
      <c r="B8" s="1" t="s">
        <v>14</v>
      </c>
      <c r="C8" s="1" t="s">
        <v>71</v>
      </c>
      <c r="D8" s="1" t="s">
        <v>72</v>
      </c>
      <c r="E8" s="1" t="s">
        <v>76</v>
      </c>
      <c r="F8" s="1" t="s">
        <v>74</v>
      </c>
      <c r="G8" s="6" t="s">
        <v>77</v>
      </c>
    </row>
    <row r="9" ht="14.25" customHeight="1">
      <c r="A9" s="1" t="s">
        <v>7</v>
      </c>
      <c r="B9" s="1" t="s">
        <v>15</v>
      </c>
      <c r="C9" s="1" t="s">
        <v>71</v>
      </c>
      <c r="D9" s="1" t="s">
        <v>72</v>
      </c>
      <c r="E9" s="1" t="s">
        <v>73</v>
      </c>
      <c r="F9" s="1" t="s">
        <v>74</v>
      </c>
      <c r="G9" s="6" t="s">
        <v>75</v>
      </c>
    </row>
    <row r="10" ht="14.25" customHeight="1">
      <c r="A10" s="1" t="s">
        <v>7</v>
      </c>
      <c r="B10" s="1" t="s">
        <v>16</v>
      </c>
      <c r="C10" s="1" t="s">
        <v>71</v>
      </c>
      <c r="D10" s="1" t="s">
        <v>72</v>
      </c>
      <c r="E10" s="1" t="s">
        <v>73</v>
      </c>
      <c r="F10" s="1" t="s">
        <v>74</v>
      </c>
      <c r="G10" s="6" t="s">
        <v>75</v>
      </c>
    </row>
    <row r="11" ht="14.25" customHeight="1">
      <c r="A11" s="1" t="s">
        <v>7</v>
      </c>
      <c r="B11" s="1" t="s">
        <v>17</v>
      </c>
      <c r="C11" s="1" t="s">
        <v>71</v>
      </c>
      <c r="D11" s="1" t="s">
        <v>78</v>
      </c>
      <c r="E11" s="1" t="s">
        <v>78</v>
      </c>
      <c r="F11" s="1" t="s">
        <v>74</v>
      </c>
      <c r="G11" s="6" t="s">
        <v>79</v>
      </c>
    </row>
    <row r="12" ht="14.25" customHeight="1">
      <c r="A12" s="1" t="s">
        <v>7</v>
      </c>
      <c r="B12" s="1" t="s">
        <v>18</v>
      </c>
      <c r="C12" s="1" t="s">
        <v>71</v>
      </c>
      <c r="D12" s="1" t="s">
        <v>78</v>
      </c>
      <c r="E12" s="1" t="s">
        <v>78</v>
      </c>
      <c r="F12" s="1" t="s">
        <v>74</v>
      </c>
      <c r="G12" s="6" t="s">
        <v>79</v>
      </c>
    </row>
    <row r="13" ht="14.25" customHeight="1">
      <c r="A13" s="1" t="s">
        <v>7</v>
      </c>
      <c r="B13" s="1" t="s">
        <v>19</v>
      </c>
      <c r="C13" s="1" t="s">
        <v>71</v>
      </c>
      <c r="D13" s="1" t="s">
        <v>78</v>
      </c>
      <c r="E13" s="1" t="s">
        <v>78</v>
      </c>
      <c r="F13" s="1" t="s">
        <v>74</v>
      </c>
      <c r="G13" s="6" t="s">
        <v>79</v>
      </c>
    </row>
    <row r="14" ht="14.25" customHeight="1">
      <c r="A14" s="1" t="s">
        <v>7</v>
      </c>
      <c r="B14" s="1" t="s">
        <v>20</v>
      </c>
      <c r="C14" s="1" t="s">
        <v>71</v>
      </c>
      <c r="D14" s="1" t="s">
        <v>78</v>
      </c>
      <c r="E14" s="1" t="s">
        <v>78</v>
      </c>
      <c r="F14" s="1" t="s">
        <v>74</v>
      </c>
      <c r="G14" s="6" t="s">
        <v>79</v>
      </c>
    </row>
    <row r="15" ht="14.25" customHeight="1">
      <c r="A15" s="1" t="s">
        <v>7</v>
      </c>
      <c r="B15" s="1" t="s">
        <v>21</v>
      </c>
      <c r="C15" s="1" t="s">
        <v>71</v>
      </c>
      <c r="D15" s="1" t="s">
        <v>78</v>
      </c>
      <c r="E15" s="1" t="s">
        <v>78</v>
      </c>
      <c r="F15" s="1" t="s">
        <v>74</v>
      </c>
      <c r="G15" s="6" t="s">
        <v>79</v>
      </c>
    </row>
    <row r="16" ht="14.25" customHeight="1">
      <c r="A16" s="1" t="s">
        <v>7</v>
      </c>
      <c r="B16" s="1" t="s">
        <v>22</v>
      </c>
      <c r="C16" s="1" t="s">
        <v>71</v>
      </c>
      <c r="D16" s="1" t="s">
        <v>78</v>
      </c>
      <c r="E16" s="1" t="s">
        <v>78</v>
      </c>
      <c r="F16" s="1" t="s">
        <v>74</v>
      </c>
      <c r="G16" s="6" t="s">
        <v>79</v>
      </c>
    </row>
    <row r="17" ht="14.25" customHeight="1">
      <c r="A17" s="1" t="s">
        <v>7</v>
      </c>
      <c r="B17" s="1" t="s">
        <v>23</v>
      </c>
      <c r="C17" s="1" t="s">
        <v>71</v>
      </c>
      <c r="D17" s="1" t="s">
        <v>72</v>
      </c>
      <c r="E17" s="1" t="s">
        <v>76</v>
      </c>
      <c r="F17" s="1" t="s">
        <v>74</v>
      </c>
      <c r="G17" s="6" t="s">
        <v>80</v>
      </c>
    </row>
    <row r="18" ht="14.25" customHeight="1">
      <c r="A18" s="1" t="s">
        <v>7</v>
      </c>
      <c r="B18" s="1" t="s">
        <v>24</v>
      </c>
      <c r="C18" s="1" t="s">
        <v>71</v>
      </c>
      <c r="D18" s="1" t="s">
        <v>72</v>
      </c>
      <c r="E18" s="1" t="s">
        <v>76</v>
      </c>
      <c r="F18" s="1" t="s">
        <v>74</v>
      </c>
      <c r="G18" s="6" t="s">
        <v>77</v>
      </c>
    </row>
    <row r="19" ht="14.25" customHeight="1">
      <c r="A19" s="1" t="s">
        <v>7</v>
      </c>
      <c r="B19" s="1" t="s">
        <v>25</v>
      </c>
      <c r="C19" s="1" t="s">
        <v>71</v>
      </c>
      <c r="D19" s="1" t="s">
        <v>72</v>
      </c>
      <c r="E19" s="1" t="s">
        <v>76</v>
      </c>
      <c r="F19" s="1" t="s">
        <v>74</v>
      </c>
      <c r="G19" s="6" t="s">
        <v>80</v>
      </c>
    </row>
    <row r="20" ht="14.25" customHeight="1">
      <c r="A20" s="1" t="s">
        <v>7</v>
      </c>
      <c r="B20" s="1" t="s">
        <v>26</v>
      </c>
      <c r="C20" s="1" t="s">
        <v>71</v>
      </c>
      <c r="D20" s="1" t="s">
        <v>72</v>
      </c>
      <c r="E20" s="1" t="s">
        <v>76</v>
      </c>
      <c r="F20" s="1" t="s">
        <v>74</v>
      </c>
      <c r="G20" s="6" t="s">
        <v>81</v>
      </c>
    </row>
    <row r="21" ht="14.25" customHeight="1">
      <c r="A21" s="1" t="s">
        <v>7</v>
      </c>
      <c r="B21" s="1" t="s">
        <v>27</v>
      </c>
      <c r="C21" s="1" t="s">
        <v>82</v>
      </c>
      <c r="D21" s="1" t="s">
        <v>72</v>
      </c>
      <c r="E21" s="1" t="s">
        <v>76</v>
      </c>
      <c r="F21" s="1" t="s">
        <v>74</v>
      </c>
      <c r="G21" s="6" t="s">
        <v>83</v>
      </c>
    </row>
    <row r="22" ht="14.25" customHeight="1">
      <c r="A22" s="1" t="s">
        <v>7</v>
      </c>
      <c r="B22" s="1" t="s">
        <v>28</v>
      </c>
      <c r="C22" s="1" t="s">
        <v>71</v>
      </c>
      <c r="D22" s="1" t="s">
        <v>72</v>
      </c>
      <c r="E22" s="1" t="s">
        <v>76</v>
      </c>
      <c r="F22" s="1" t="s">
        <v>74</v>
      </c>
      <c r="G22" s="6" t="s">
        <v>81</v>
      </c>
    </row>
    <row r="23" ht="14.25" customHeight="1">
      <c r="A23" s="1" t="s">
        <v>7</v>
      </c>
      <c r="B23" s="1" t="s">
        <v>29</v>
      </c>
      <c r="C23" s="1" t="s">
        <v>71</v>
      </c>
      <c r="D23" s="1" t="s">
        <v>72</v>
      </c>
      <c r="E23" s="1" t="s">
        <v>76</v>
      </c>
      <c r="F23" s="1" t="s">
        <v>74</v>
      </c>
      <c r="G23" s="6" t="s">
        <v>84</v>
      </c>
    </row>
    <row r="24" ht="14.25" customHeight="1">
      <c r="A24" s="1" t="s">
        <v>7</v>
      </c>
      <c r="B24" s="1" t="s">
        <v>30</v>
      </c>
      <c r="C24" s="1" t="s">
        <v>71</v>
      </c>
      <c r="D24" s="1" t="s">
        <v>72</v>
      </c>
      <c r="E24" s="1" t="s">
        <v>76</v>
      </c>
      <c r="F24" s="1" t="s">
        <v>74</v>
      </c>
      <c r="G24" s="6" t="s">
        <v>81</v>
      </c>
    </row>
    <row r="25" ht="14.25" customHeight="1">
      <c r="A25" s="1" t="s">
        <v>7</v>
      </c>
      <c r="B25" s="1" t="s">
        <v>31</v>
      </c>
      <c r="C25" s="1" t="s">
        <v>71</v>
      </c>
      <c r="D25" s="1" t="s">
        <v>72</v>
      </c>
      <c r="E25" s="1" t="s">
        <v>76</v>
      </c>
      <c r="F25" s="1" t="s">
        <v>74</v>
      </c>
      <c r="G25" s="6" t="s">
        <v>81</v>
      </c>
    </row>
    <row r="26" ht="14.25" customHeight="1">
      <c r="A26" s="1" t="s">
        <v>7</v>
      </c>
      <c r="B26" s="1" t="s">
        <v>32</v>
      </c>
      <c r="C26" s="1" t="s">
        <v>71</v>
      </c>
      <c r="D26" s="1" t="s">
        <v>72</v>
      </c>
      <c r="E26" s="1" t="s">
        <v>76</v>
      </c>
      <c r="F26" s="1" t="s">
        <v>74</v>
      </c>
      <c r="G26" s="6" t="s">
        <v>77</v>
      </c>
    </row>
    <row r="27" ht="14.25" customHeight="1">
      <c r="A27" s="1" t="s">
        <v>7</v>
      </c>
      <c r="B27" s="1" t="s">
        <v>33</v>
      </c>
      <c r="C27" s="1" t="s">
        <v>71</v>
      </c>
      <c r="D27" s="1" t="s">
        <v>72</v>
      </c>
      <c r="E27" s="1" t="s">
        <v>76</v>
      </c>
      <c r="F27" s="1" t="s">
        <v>74</v>
      </c>
      <c r="G27" s="6" t="s">
        <v>81</v>
      </c>
    </row>
    <row r="28" ht="14.25" customHeight="1">
      <c r="A28" s="1" t="s">
        <v>7</v>
      </c>
      <c r="B28" s="1" t="s">
        <v>34</v>
      </c>
      <c r="C28" s="1" t="s">
        <v>71</v>
      </c>
      <c r="D28" s="1" t="s">
        <v>72</v>
      </c>
      <c r="E28" s="1" t="s">
        <v>76</v>
      </c>
      <c r="F28" s="1" t="s">
        <v>74</v>
      </c>
      <c r="G28" s="6" t="s">
        <v>81</v>
      </c>
    </row>
    <row r="29" ht="14.25" customHeight="1">
      <c r="A29" s="1" t="s">
        <v>7</v>
      </c>
      <c r="B29" s="1" t="s">
        <v>35</v>
      </c>
      <c r="C29" s="1" t="s">
        <v>71</v>
      </c>
      <c r="D29" s="1" t="s">
        <v>72</v>
      </c>
      <c r="E29" s="1" t="s">
        <v>76</v>
      </c>
      <c r="F29" s="1" t="s">
        <v>74</v>
      </c>
      <c r="G29" s="6" t="s">
        <v>81</v>
      </c>
    </row>
    <row r="30" ht="14.25" customHeight="1">
      <c r="A30" s="1" t="s">
        <v>7</v>
      </c>
      <c r="B30" s="1" t="s">
        <v>36</v>
      </c>
      <c r="C30" s="1" t="s">
        <v>71</v>
      </c>
      <c r="D30" s="1" t="s">
        <v>72</v>
      </c>
      <c r="E30" s="1" t="s">
        <v>76</v>
      </c>
      <c r="F30" s="1" t="s">
        <v>74</v>
      </c>
      <c r="G30" s="6" t="s">
        <v>81</v>
      </c>
    </row>
    <row r="31" ht="14.25" customHeight="1">
      <c r="A31" s="1" t="s">
        <v>7</v>
      </c>
      <c r="B31" s="1" t="s">
        <v>37</v>
      </c>
      <c r="C31" s="1" t="s">
        <v>71</v>
      </c>
      <c r="D31" s="1" t="s">
        <v>72</v>
      </c>
      <c r="E31" s="1" t="s">
        <v>76</v>
      </c>
      <c r="F31" s="1" t="s">
        <v>74</v>
      </c>
      <c r="G31" s="6" t="s">
        <v>85</v>
      </c>
    </row>
    <row r="32" ht="14.25" customHeight="1">
      <c r="A32" s="1" t="s">
        <v>7</v>
      </c>
      <c r="B32" s="1" t="s">
        <v>38</v>
      </c>
      <c r="C32" s="1" t="s">
        <v>71</v>
      </c>
      <c r="D32" s="1" t="s">
        <v>78</v>
      </c>
      <c r="E32" s="1" t="s">
        <v>78</v>
      </c>
      <c r="F32" s="1" t="s">
        <v>74</v>
      </c>
      <c r="G32" s="6" t="s">
        <v>79</v>
      </c>
    </row>
    <row r="33" ht="14.25" customHeight="1">
      <c r="A33" s="1" t="s">
        <v>7</v>
      </c>
      <c r="B33" s="1" t="s">
        <v>39</v>
      </c>
      <c r="C33" s="1" t="s">
        <v>71</v>
      </c>
      <c r="D33" s="1" t="s">
        <v>86</v>
      </c>
      <c r="E33" s="1" t="s">
        <v>87</v>
      </c>
      <c r="F33" s="1" t="s">
        <v>88</v>
      </c>
      <c r="G33" s="6" t="s">
        <v>89</v>
      </c>
    </row>
    <row r="34" ht="14.25" customHeight="1">
      <c r="A34" s="1" t="s">
        <v>7</v>
      </c>
      <c r="B34" s="1" t="s">
        <v>40</v>
      </c>
      <c r="C34" s="1" t="s">
        <v>71</v>
      </c>
      <c r="D34" s="1" t="s">
        <v>86</v>
      </c>
      <c r="E34" s="1" t="s">
        <v>90</v>
      </c>
      <c r="F34" s="1" t="s">
        <v>88</v>
      </c>
      <c r="G34" s="6" t="s">
        <v>91</v>
      </c>
    </row>
    <row r="35" ht="14.25" customHeight="1">
      <c r="A35" s="1" t="s">
        <v>7</v>
      </c>
      <c r="B35" s="1" t="s">
        <v>41</v>
      </c>
      <c r="C35" s="1" t="s">
        <v>71</v>
      </c>
      <c r="D35" s="1" t="s">
        <v>72</v>
      </c>
      <c r="E35" s="1" t="s">
        <v>76</v>
      </c>
      <c r="F35" s="1" t="s">
        <v>74</v>
      </c>
      <c r="G35" s="6" t="s">
        <v>81</v>
      </c>
    </row>
    <row r="36" ht="14.25" customHeight="1">
      <c r="A36" s="1" t="s">
        <v>7</v>
      </c>
      <c r="B36" s="1" t="s">
        <v>42</v>
      </c>
      <c r="C36" s="1" t="s">
        <v>71</v>
      </c>
      <c r="D36" s="1" t="s">
        <v>86</v>
      </c>
      <c r="E36" s="1" t="s">
        <v>90</v>
      </c>
      <c r="F36" s="1" t="s">
        <v>88</v>
      </c>
      <c r="G36" s="6" t="s">
        <v>88</v>
      </c>
    </row>
    <row r="37" ht="14.25" customHeight="1">
      <c r="A37" s="1" t="s">
        <v>7</v>
      </c>
      <c r="B37" s="1" t="s">
        <v>43</v>
      </c>
      <c r="C37" s="1" t="s">
        <v>71</v>
      </c>
      <c r="D37" s="1" t="s">
        <v>78</v>
      </c>
      <c r="E37" s="1" t="s">
        <v>78</v>
      </c>
      <c r="F37" s="1" t="s">
        <v>74</v>
      </c>
      <c r="G37" s="6" t="s">
        <v>79</v>
      </c>
    </row>
    <row r="38" ht="14.25" customHeight="1">
      <c r="A38" s="1" t="s">
        <v>7</v>
      </c>
      <c r="B38" s="1" t="s">
        <v>44</v>
      </c>
      <c r="C38" s="1" t="s">
        <v>71</v>
      </c>
      <c r="D38" s="1" t="s">
        <v>78</v>
      </c>
      <c r="E38" s="1" t="s">
        <v>78</v>
      </c>
      <c r="F38" s="1" t="s">
        <v>74</v>
      </c>
      <c r="G38" s="6" t="s">
        <v>74</v>
      </c>
    </row>
    <row r="39" ht="14.25" customHeight="1">
      <c r="A39" s="1" t="s">
        <v>7</v>
      </c>
      <c r="B39" s="1" t="s">
        <v>45</v>
      </c>
      <c r="C39" s="1" t="s">
        <v>71</v>
      </c>
      <c r="D39" s="1" t="s">
        <v>86</v>
      </c>
      <c r="E39" s="1" t="s">
        <v>90</v>
      </c>
      <c r="F39" s="1" t="s">
        <v>88</v>
      </c>
      <c r="G39" s="6" t="s">
        <v>91</v>
      </c>
    </row>
    <row r="40" ht="14.25" customHeight="1">
      <c r="A40" s="1" t="s">
        <v>7</v>
      </c>
      <c r="B40" s="1" t="s">
        <v>46</v>
      </c>
      <c r="C40" s="1" t="s">
        <v>71</v>
      </c>
      <c r="D40" s="1" t="s">
        <v>86</v>
      </c>
      <c r="E40" s="1" t="s">
        <v>90</v>
      </c>
      <c r="F40" s="1" t="s">
        <v>88</v>
      </c>
      <c r="G40" s="6" t="s">
        <v>91</v>
      </c>
    </row>
    <row r="41" ht="14.25" customHeight="1">
      <c r="A41" s="1" t="s">
        <v>7</v>
      </c>
      <c r="B41" s="1" t="s">
        <v>47</v>
      </c>
      <c r="C41" s="1" t="s">
        <v>71</v>
      </c>
      <c r="D41" s="1" t="s">
        <v>86</v>
      </c>
      <c r="E41" s="1" t="s">
        <v>90</v>
      </c>
      <c r="F41" s="1" t="s">
        <v>88</v>
      </c>
      <c r="G41" s="6" t="s">
        <v>91</v>
      </c>
    </row>
    <row r="42" ht="14.25" customHeight="1">
      <c r="A42" s="1" t="s">
        <v>7</v>
      </c>
      <c r="B42" s="1" t="s">
        <v>48</v>
      </c>
      <c r="C42" s="1" t="s">
        <v>71</v>
      </c>
      <c r="D42" s="1" t="s">
        <v>86</v>
      </c>
      <c r="E42" s="1" t="s">
        <v>90</v>
      </c>
      <c r="F42" s="1" t="s">
        <v>88</v>
      </c>
      <c r="G42" s="6" t="s">
        <v>89</v>
      </c>
    </row>
    <row r="43" ht="14.25" customHeight="1">
      <c r="A43" s="1" t="s">
        <v>7</v>
      </c>
      <c r="B43" s="1" t="s">
        <v>49</v>
      </c>
      <c r="C43" s="1" t="s">
        <v>71</v>
      </c>
      <c r="D43" s="1" t="s">
        <v>86</v>
      </c>
      <c r="E43" s="1" t="s">
        <v>90</v>
      </c>
      <c r="F43" s="1" t="s">
        <v>88</v>
      </c>
      <c r="G43" s="6" t="s">
        <v>91</v>
      </c>
    </row>
    <row r="44" ht="14.25" customHeight="1">
      <c r="A44" s="1" t="s">
        <v>7</v>
      </c>
      <c r="B44" s="1" t="s">
        <v>50</v>
      </c>
      <c r="C44" s="1" t="s">
        <v>71</v>
      </c>
      <c r="D44" s="1" t="s">
        <v>86</v>
      </c>
      <c r="E44" s="1" t="s">
        <v>90</v>
      </c>
      <c r="F44" s="1" t="s">
        <v>88</v>
      </c>
      <c r="G44" s="6" t="s">
        <v>91</v>
      </c>
    </row>
    <row r="45" ht="14.25" customHeight="1">
      <c r="A45" s="1" t="s">
        <v>7</v>
      </c>
      <c r="B45" s="1" t="s">
        <v>51</v>
      </c>
      <c r="C45" s="1" t="s">
        <v>71</v>
      </c>
      <c r="D45" s="1" t="s">
        <v>86</v>
      </c>
      <c r="E45" s="1" t="s">
        <v>90</v>
      </c>
      <c r="F45" s="1" t="s">
        <v>88</v>
      </c>
      <c r="G45" s="6" t="s">
        <v>91</v>
      </c>
    </row>
    <row r="46" ht="14.25" customHeight="1">
      <c r="A46" s="1" t="s">
        <v>7</v>
      </c>
      <c r="B46" s="1" t="s">
        <v>52</v>
      </c>
      <c r="C46" s="1" t="s">
        <v>71</v>
      </c>
      <c r="D46" s="1" t="s">
        <v>86</v>
      </c>
      <c r="E46" s="1" t="s">
        <v>90</v>
      </c>
      <c r="F46" s="1" t="s">
        <v>88</v>
      </c>
      <c r="G46" s="6" t="s">
        <v>91</v>
      </c>
    </row>
    <row r="47" ht="14.25" customHeight="1">
      <c r="A47" s="1" t="s">
        <v>7</v>
      </c>
      <c r="B47" s="1" t="s">
        <v>53</v>
      </c>
      <c r="C47" s="1" t="s">
        <v>71</v>
      </c>
      <c r="D47" s="1" t="s">
        <v>86</v>
      </c>
      <c r="E47" s="1" t="s">
        <v>90</v>
      </c>
      <c r="F47" s="1" t="s">
        <v>88</v>
      </c>
      <c r="G47" s="6" t="s">
        <v>91</v>
      </c>
    </row>
    <row r="48" ht="14.25" customHeight="1">
      <c r="A48" s="1" t="s">
        <v>7</v>
      </c>
      <c r="B48" s="1" t="s">
        <v>54</v>
      </c>
      <c r="C48" s="1" t="s">
        <v>71</v>
      </c>
      <c r="D48" s="1" t="s">
        <v>86</v>
      </c>
      <c r="E48" s="1" t="s">
        <v>90</v>
      </c>
      <c r="F48" s="1" t="s">
        <v>88</v>
      </c>
      <c r="G48" s="6" t="s">
        <v>92</v>
      </c>
    </row>
    <row r="49" ht="14.25" customHeight="1">
      <c r="A49" s="1" t="s">
        <v>7</v>
      </c>
      <c r="B49" s="1" t="s">
        <v>55</v>
      </c>
      <c r="C49" s="1" t="s">
        <v>82</v>
      </c>
      <c r="D49" s="1" t="s">
        <v>93</v>
      </c>
      <c r="E49" s="1" t="s">
        <v>87</v>
      </c>
      <c r="F49" s="1" t="s">
        <v>93</v>
      </c>
      <c r="G49" s="6" t="s">
        <v>93</v>
      </c>
    </row>
    <row r="50" ht="14.25" customHeight="1">
      <c r="A50" s="1" t="s">
        <v>7</v>
      </c>
      <c r="B50" s="1" t="s">
        <v>56</v>
      </c>
      <c r="C50" s="1" t="s">
        <v>71</v>
      </c>
      <c r="D50" s="1" t="s">
        <v>86</v>
      </c>
      <c r="E50" s="1" t="s">
        <v>87</v>
      </c>
      <c r="F50" s="1" t="s">
        <v>88</v>
      </c>
      <c r="G50" s="6" t="s">
        <v>94</v>
      </c>
    </row>
    <row r="51" ht="14.25" customHeight="1">
      <c r="A51" s="1" t="s">
        <v>7</v>
      </c>
      <c r="B51" s="1" t="s">
        <v>57</v>
      </c>
      <c r="C51" s="1" t="s">
        <v>71</v>
      </c>
      <c r="D51" s="1" t="s">
        <v>86</v>
      </c>
      <c r="E51" s="1" t="s">
        <v>90</v>
      </c>
      <c r="F51" s="1" t="s">
        <v>88</v>
      </c>
      <c r="G51" s="6" t="s">
        <v>95</v>
      </c>
    </row>
    <row r="52" ht="14.25" customHeight="1">
      <c r="A52" s="1" t="s">
        <v>7</v>
      </c>
      <c r="B52" s="1" t="s">
        <v>58</v>
      </c>
      <c r="C52" s="1" t="s">
        <v>71</v>
      </c>
      <c r="D52" s="1" t="s">
        <v>96</v>
      </c>
      <c r="E52" s="1" t="s">
        <v>87</v>
      </c>
      <c r="F52" s="1" t="s">
        <v>96</v>
      </c>
      <c r="G52" s="6" t="s">
        <v>96</v>
      </c>
    </row>
    <row r="53" ht="14.25" customHeight="1">
      <c r="A53" s="1" t="s">
        <v>7</v>
      </c>
      <c r="B53" s="1" t="s">
        <v>59</v>
      </c>
      <c r="C53" s="1" t="s">
        <v>71</v>
      </c>
      <c r="D53" s="1" t="s">
        <v>86</v>
      </c>
      <c r="E53" s="1" t="s">
        <v>87</v>
      </c>
      <c r="F53" s="1" t="s">
        <v>88</v>
      </c>
      <c r="G53" s="6" t="s">
        <v>92</v>
      </c>
    </row>
    <row r="54" ht="14.25" customHeight="1">
      <c r="A54" s="1" t="s">
        <v>7</v>
      </c>
      <c r="B54" s="1" t="s">
        <v>60</v>
      </c>
      <c r="C54" s="1" t="s">
        <v>71</v>
      </c>
      <c r="D54" s="1" t="s">
        <v>86</v>
      </c>
      <c r="E54" s="1" t="s">
        <v>87</v>
      </c>
      <c r="F54" s="1" t="s">
        <v>88</v>
      </c>
      <c r="G54" s="6" t="s">
        <v>92</v>
      </c>
    </row>
    <row r="55" ht="14.25" customHeight="1">
      <c r="A55" s="1" t="s">
        <v>7</v>
      </c>
      <c r="B55" s="1" t="s">
        <v>61</v>
      </c>
      <c r="C55" s="1" t="s">
        <v>71</v>
      </c>
      <c r="D55" s="1" t="s">
        <v>86</v>
      </c>
      <c r="E55" s="1" t="s">
        <v>90</v>
      </c>
      <c r="F55" s="1" t="s">
        <v>88</v>
      </c>
      <c r="G55" s="6" t="s">
        <v>89</v>
      </c>
    </row>
    <row r="56" ht="14.25" customHeight="1">
      <c r="A56" s="1" t="s">
        <v>7</v>
      </c>
      <c r="B56" s="1" t="s">
        <v>62</v>
      </c>
      <c r="C56" s="1" t="s">
        <v>71</v>
      </c>
      <c r="D56" s="1" t="s">
        <v>86</v>
      </c>
      <c r="E56" s="1" t="s">
        <v>90</v>
      </c>
      <c r="F56" s="1" t="s">
        <v>88</v>
      </c>
      <c r="G56" s="6" t="s">
        <v>92</v>
      </c>
    </row>
    <row r="57" ht="14.25" customHeight="1">
      <c r="A57" s="1" t="s">
        <v>7</v>
      </c>
      <c r="B57" s="1" t="s">
        <v>63</v>
      </c>
      <c r="C57" s="1" t="s">
        <v>71</v>
      </c>
      <c r="D57" s="1" t="s">
        <v>63</v>
      </c>
      <c r="E57" s="1" t="s">
        <v>78</v>
      </c>
      <c r="F57" s="1" t="s">
        <v>63</v>
      </c>
      <c r="G57" s="6" t="s">
        <v>63</v>
      </c>
    </row>
    <row r="58" ht="14.25" customHeight="1">
      <c r="A58" s="1" t="s">
        <v>7</v>
      </c>
      <c r="B58" s="1" t="s">
        <v>64</v>
      </c>
      <c r="C58" s="1" t="s">
        <v>71</v>
      </c>
      <c r="D58" s="1" t="s">
        <v>97</v>
      </c>
      <c r="E58" s="1" t="s">
        <v>97</v>
      </c>
      <c r="F58" s="1" t="s">
        <v>98</v>
      </c>
      <c r="G58" s="6" t="s">
        <v>98</v>
      </c>
    </row>
    <row r="59" ht="14.25" customHeight="1">
      <c r="A59" s="1" t="s">
        <v>7</v>
      </c>
      <c r="B59" s="1" t="s">
        <v>99</v>
      </c>
      <c r="C59" s="1" t="s">
        <v>71</v>
      </c>
      <c r="D59" s="1" t="s">
        <v>78</v>
      </c>
      <c r="E59" s="1" t="s">
        <v>78</v>
      </c>
      <c r="F59" s="1" t="s">
        <v>74</v>
      </c>
      <c r="G59" s="1" t="s">
        <v>74</v>
      </c>
    </row>
    <row r="60" ht="14.25" customHeight="1">
      <c r="A60" s="1" t="s">
        <v>7</v>
      </c>
      <c r="B60" s="1" t="s">
        <v>100</v>
      </c>
      <c r="C60" s="1" t="s">
        <v>71</v>
      </c>
      <c r="D60" s="1" t="s">
        <v>72</v>
      </c>
      <c r="E60" s="1" t="s">
        <v>76</v>
      </c>
      <c r="F60" s="1" t="s">
        <v>74</v>
      </c>
      <c r="G60" s="1" t="s">
        <v>74</v>
      </c>
    </row>
    <row r="61" ht="14.25" customHeight="1">
      <c r="A61" s="1" t="s">
        <v>7</v>
      </c>
      <c r="B61" s="1" t="s">
        <v>101</v>
      </c>
      <c r="C61" s="1" t="s">
        <v>71</v>
      </c>
      <c r="D61" s="1" t="s">
        <v>72</v>
      </c>
      <c r="E61" s="1" t="s">
        <v>76</v>
      </c>
      <c r="F61" s="1" t="s">
        <v>74</v>
      </c>
      <c r="G61" s="1" t="s">
        <v>74</v>
      </c>
    </row>
    <row r="62" ht="14.25" customHeight="1">
      <c r="A62" s="1" t="s">
        <v>7</v>
      </c>
      <c r="B62" s="1" t="s">
        <v>102</v>
      </c>
      <c r="C62" s="1" t="s">
        <v>71</v>
      </c>
      <c r="D62" s="1" t="s">
        <v>72</v>
      </c>
      <c r="E62" s="1" t="s">
        <v>76</v>
      </c>
      <c r="F62" s="1" t="s">
        <v>74</v>
      </c>
      <c r="G62" s="1" t="s">
        <v>74</v>
      </c>
    </row>
    <row r="63" ht="14.25" customHeight="1">
      <c r="A63" s="1" t="s">
        <v>7</v>
      </c>
      <c r="B63" s="1" t="s">
        <v>103</v>
      </c>
      <c r="C63" s="1" t="s">
        <v>71</v>
      </c>
      <c r="D63" s="1" t="s">
        <v>72</v>
      </c>
      <c r="E63" s="1" t="s">
        <v>76</v>
      </c>
      <c r="F63" s="1" t="s">
        <v>74</v>
      </c>
      <c r="G63" s="1" t="s">
        <v>74</v>
      </c>
    </row>
    <row r="64" ht="14.25" customHeight="1">
      <c r="A64" s="1" t="s">
        <v>7</v>
      </c>
      <c r="B64" s="1" t="s">
        <v>104</v>
      </c>
      <c r="C64" s="1" t="s">
        <v>71</v>
      </c>
      <c r="D64" s="1" t="s">
        <v>86</v>
      </c>
      <c r="E64" s="1" t="s">
        <v>87</v>
      </c>
      <c r="F64" s="1" t="s">
        <v>88</v>
      </c>
      <c r="G64" s="1" t="s">
        <v>89</v>
      </c>
    </row>
    <row r="65" ht="14.25" customHeight="1">
      <c r="A65" s="1" t="s">
        <v>7</v>
      </c>
      <c r="B65" s="1" t="s">
        <v>105</v>
      </c>
      <c r="C65" s="1" t="s">
        <v>71</v>
      </c>
      <c r="D65" s="1" t="s">
        <v>78</v>
      </c>
      <c r="E65" s="1" t="s">
        <v>78</v>
      </c>
      <c r="F65" s="1" t="s">
        <v>74</v>
      </c>
      <c r="G65" s="1" t="s">
        <v>74</v>
      </c>
    </row>
    <row r="66" ht="14.25" customHeight="1">
      <c r="A66" s="1" t="s">
        <v>7</v>
      </c>
      <c r="B66" s="1" t="s">
        <v>106</v>
      </c>
      <c r="C66" s="1" t="s">
        <v>71</v>
      </c>
      <c r="D66" s="1" t="s">
        <v>86</v>
      </c>
      <c r="E66" s="1" t="s">
        <v>87</v>
      </c>
      <c r="F66" s="1" t="s">
        <v>88</v>
      </c>
      <c r="G66" s="1" t="s">
        <v>107</v>
      </c>
    </row>
    <row r="67" ht="14.25" customHeight="1">
      <c r="A67" s="1" t="s">
        <v>7</v>
      </c>
      <c r="B67" s="1" t="s">
        <v>108</v>
      </c>
      <c r="C67" s="1" t="s">
        <v>71</v>
      </c>
      <c r="D67" s="1" t="s">
        <v>86</v>
      </c>
      <c r="E67" s="1" t="s">
        <v>87</v>
      </c>
      <c r="F67" s="1" t="s">
        <v>88</v>
      </c>
      <c r="G67" s="1" t="s">
        <v>89</v>
      </c>
    </row>
    <row r="68" ht="14.25" customHeight="1">
      <c r="A68" s="1" t="s">
        <v>7</v>
      </c>
      <c r="B68" s="1" t="s">
        <v>109</v>
      </c>
      <c r="C68" s="1" t="s">
        <v>71</v>
      </c>
      <c r="D68" s="1" t="s">
        <v>78</v>
      </c>
      <c r="E68" s="1" t="s">
        <v>78</v>
      </c>
      <c r="F68" s="1" t="s">
        <v>110</v>
      </c>
      <c r="G68" s="1" t="s">
        <v>110</v>
      </c>
    </row>
    <row r="69" ht="14.25" customHeight="1">
      <c r="A69" s="1" t="s">
        <v>7</v>
      </c>
      <c r="B69" s="1" t="s">
        <v>111</v>
      </c>
      <c r="C69" s="1" t="s">
        <v>71</v>
      </c>
      <c r="D69" s="1" t="s">
        <v>72</v>
      </c>
      <c r="E69" s="1" t="s">
        <v>76</v>
      </c>
      <c r="F69" s="1" t="s">
        <v>74</v>
      </c>
      <c r="G69" s="1" t="s">
        <v>74</v>
      </c>
    </row>
    <row r="70" ht="14.25" customHeight="1">
      <c r="A70" s="1" t="s">
        <v>7</v>
      </c>
      <c r="B70" s="1" t="s">
        <v>112</v>
      </c>
      <c r="C70" s="1" t="s">
        <v>71</v>
      </c>
      <c r="D70" s="1" t="s">
        <v>78</v>
      </c>
      <c r="E70" s="1" t="s">
        <v>78</v>
      </c>
      <c r="F70" s="1" t="s">
        <v>74</v>
      </c>
      <c r="G70" s="1" t="s">
        <v>74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4" width="20.88"/>
    <col customWidth="1" min="5" max="7" width="8.63"/>
    <col customWidth="1" min="8" max="9" width="10.5"/>
    <col customWidth="1" min="10" max="10" width="11.5"/>
    <col customWidth="1" min="11" max="16" width="10.5"/>
    <col customWidth="1" min="17" max="17" width="9.5"/>
    <col customWidth="1" min="18" max="18" width="10.5"/>
    <col customWidth="1" min="19" max="19" width="11.0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8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9">
        <v>-3.4984518726082983</v>
      </c>
      <c r="I2" s="9">
        <v>-6.5972696178010475</v>
      </c>
      <c r="J2" s="9">
        <v>-1.1916842283493245</v>
      </c>
      <c r="K2" s="9">
        <v>5.017882205544766</v>
      </c>
      <c r="L2" s="9">
        <v>13.220138439609237</v>
      </c>
      <c r="M2" s="9">
        <v>4.4822497822781155</v>
      </c>
      <c r="N2" s="9">
        <v>4.832354203971101</v>
      </c>
      <c r="O2" s="9">
        <v>5.7312193071576445</v>
      </c>
      <c r="P2" s="9">
        <v>33.229707262457865</v>
      </c>
      <c r="Q2" s="9">
        <v>11.97009713975773</v>
      </c>
      <c r="R2" s="9">
        <v>5.150893564889607</v>
      </c>
      <c r="S2" s="9">
        <v>4.6148518406985035</v>
      </c>
    </row>
    <row r="3" ht="14.25" customHeight="1">
      <c r="A3" s="5" t="s">
        <v>7</v>
      </c>
      <c r="B3" s="8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9">
        <v>3.0061757744209467</v>
      </c>
      <c r="I3" s="9">
        <v>2.7177187521815007</v>
      </c>
      <c r="J3" s="9">
        <v>1.737202646920057</v>
      </c>
      <c r="K3" s="9">
        <v>3.176920702807699</v>
      </c>
      <c r="L3" s="9">
        <v>4.746649396092363</v>
      </c>
      <c r="M3" s="9">
        <v>7.467231723197679</v>
      </c>
      <c r="N3" s="9">
        <v>0.4114408574007219</v>
      </c>
      <c r="O3" s="9">
        <v>1.1419193762785922</v>
      </c>
      <c r="P3" s="9">
        <v>-2.291198143390726</v>
      </c>
      <c r="Q3" s="9">
        <v>1.7933944892424514</v>
      </c>
      <c r="R3" s="9">
        <v>2.24008028540657</v>
      </c>
      <c r="S3" s="9">
        <v>3.5614800320741264</v>
      </c>
    </row>
    <row r="4" ht="14.25" customHeight="1">
      <c r="A4" s="5" t="s">
        <v>7</v>
      </c>
      <c r="B4" s="8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9">
        <v>-0.5697016364551866</v>
      </c>
      <c r="I4" s="9">
        <v>2.982778848167539</v>
      </c>
      <c r="J4" s="9">
        <v>0.6548049536465145</v>
      </c>
      <c r="K4" s="9">
        <v>5.165080044146213</v>
      </c>
      <c r="L4" s="9">
        <v>1.4827096980461814</v>
      </c>
      <c r="M4" s="9">
        <v>3.2502315595875935</v>
      </c>
      <c r="N4" s="9">
        <v>0.37179758122743717</v>
      </c>
      <c r="O4" s="9">
        <v>3.1404574832986745</v>
      </c>
      <c r="P4" s="9">
        <v>5.976928532385898</v>
      </c>
      <c r="Q4" s="9">
        <v>1.8480258669318388</v>
      </c>
      <c r="R4" s="9">
        <v>0.7593902854065696</v>
      </c>
      <c r="S4" s="9">
        <v>-2.5081088524590163</v>
      </c>
    </row>
    <row r="5" ht="14.25" customHeight="1">
      <c r="A5" s="5" t="s">
        <v>7</v>
      </c>
      <c r="B5" s="8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9">
        <v>0.15938974823766366</v>
      </c>
      <c r="I5" s="9">
        <v>1.3526798080279232</v>
      </c>
      <c r="J5" s="9">
        <v>0.8897321165919282</v>
      </c>
      <c r="K5" s="9">
        <v>-0.15096748896344697</v>
      </c>
      <c r="L5" s="9">
        <v>1.4423874245115453</v>
      </c>
      <c r="M5" s="9">
        <v>1.3917270294937811</v>
      </c>
      <c r="N5" s="9">
        <v>-0.3917531046931408</v>
      </c>
      <c r="O5" s="9">
        <v>-0.623169979020979</v>
      </c>
      <c r="P5" s="9">
        <v>2.9845</v>
      </c>
      <c r="Q5" s="9">
        <v>0.0</v>
      </c>
      <c r="R5" s="9">
        <v>-0.600347942918686</v>
      </c>
      <c r="S5" s="9">
        <v>0.06361155381325702</v>
      </c>
    </row>
    <row r="6" ht="14.25" customHeight="1">
      <c r="A6" s="5" t="s">
        <v>7</v>
      </c>
      <c r="B6" s="8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9">
        <v>8.546737014602215</v>
      </c>
      <c r="I6" s="9">
        <v>8.540657024432809</v>
      </c>
      <c r="J6" s="9">
        <v>10.467795704102816</v>
      </c>
      <c r="K6" s="9">
        <v>6.266124557654953</v>
      </c>
      <c r="L6" s="9">
        <v>9.779376951154529</v>
      </c>
      <c r="M6" s="9">
        <v>8.98074355455774</v>
      </c>
      <c r="N6" s="9">
        <v>2.1368529151624545</v>
      </c>
      <c r="O6" s="9">
        <v>-1.1204576117961222</v>
      </c>
      <c r="P6" s="9">
        <v>6.542624709847863</v>
      </c>
      <c r="Q6" s="9">
        <v>-1.113496964382571</v>
      </c>
      <c r="R6" s="9">
        <v>3.9500194399569195</v>
      </c>
      <c r="S6" s="9">
        <v>-10.18564</v>
      </c>
    </row>
    <row r="7" ht="14.25" customHeight="1">
      <c r="A7" s="5" t="s">
        <v>7</v>
      </c>
      <c r="B7" s="8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9">
        <v>0.5480896223564955</v>
      </c>
      <c r="I7" s="9">
        <v>-1.1869602879581151</v>
      </c>
      <c r="J7" s="9">
        <v>0.5119031748878924</v>
      </c>
      <c r="K7" s="9">
        <v>-0.8593762334451703</v>
      </c>
      <c r="L7" s="9">
        <v>-0.47666693161634105</v>
      </c>
      <c r="M7" s="9">
        <v>-0.3304896011492833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</row>
    <row r="8" ht="14.25" customHeight="1">
      <c r="A8" s="5" t="s">
        <v>7</v>
      </c>
      <c r="B8" s="8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9">
        <v>-1.8422604279959718</v>
      </c>
      <c r="I8" s="9">
        <v>-2.5059705759162303</v>
      </c>
      <c r="J8" s="9">
        <v>-1.8014569201793722</v>
      </c>
      <c r="K8" s="9">
        <v>-2.208862466890341</v>
      </c>
      <c r="L8" s="9">
        <v>-1.6417651509769096</v>
      </c>
      <c r="M8" s="9">
        <v>-1.6650784045971327</v>
      </c>
      <c r="N8" s="9">
        <v>-1.4955862093862815</v>
      </c>
      <c r="O8" s="9">
        <v>-1.4708999650349701</v>
      </c>
      <c r="P8" s="9">
        <v>-1.5810076450760684</v>
      </c>
      <c r="Q8" s="9">
        <v>-1.5704427553787743</v>
      </c>
      <c r="R8" s="9">
        <v>-0.550997942918686</v>
      </c>
      <c r="S8" s="9">
        <v>0.0</v>
      </c>
    </row>
    <row r="9" ht="14.25" customHeight="1">
      <c r="A9" s="5" t="s">
        <v>7</v>
      </c>
      <c r="B9" s="8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9">
        <v>-0.5518915105740179</v>
      </c>
      <c r="I9" s="9">
        <v>15.390728848167539</v>
      </c>
      <c r="J9" s="9">
        <v>5.220184953646515</v>
      </c>
      <c r="K9" s="9">
        <v>6.655843205015009</v>
      </c>
      <c r="L9" s="9">
        <v>11.663532464476022</v>
      </c>
      <c r="M9" s="9">
        <v>14.550594543690332</v>
      </c>
      <c r="N9" s="9">
        <v>9.212541673285198</v>
      </c>
      <c r="O9" s="9">
        <v>17.33141361860268</v>
      </c>
      <c r="P9" s="9">
        <v>3.0805555424979505</v>
      </c>
      <c r="Q9" s="9">
        <v>6.21481581450009</v>
      </c>
      <c r="R9" s="9">
        <v>5.214675153473344</v>
      </c>
      <c r="S9" s="9">
        <v>4.052148948681397</v>
      </c>
    </row>
    <row r="10" ht="14.25" customHeight="1">
      <c r="A10" s="5" t="s">
        <v>7</v>
      </c>
      <c r="B10" s="8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0.04274841291032033</v>
      </c>
      <c r="P10" s="9">
        <v>0.0</v>
      </c>
      <c r="Q10" s="9">
        <v>0.5035386223106131</v>
      </c>
      <c r="R10" s="9">
        <v>-0.506425885837372</v>
      </c>
      <c r="S10" s="9">
        <v>1.474898749109052</v>
      </c>
    </row>
    <row r="11" ht="14.25" customHeight="1">
      <c r="A11" s="5" t="s">
        <v>7</v>
      </c>
      <c r="B11" s="8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9">
        <v>4.698036475327292</v>
      </c>
      <c r="I11" s="9">
        <v>6.877767312390925</v>
      </c>
      <c r="J11" s="9">
        <v>3.8764850612698334</v>
      </c>
      <c r="K11" s="9">
        <v>-3.5287873123785993</v>
      </c>
      <c r="L11" s="9">
        <v>0.04252879218472401</v>
      </c>
      <c r="M11" s="9">
        <v>2.873587597698827</v>
      </c>
      <c r="N11" s="9">
        <v>1.9245567629362224</v>
      </c>
      <c r="O11" s="9">
        <v>7.044755421871841</v>
      </c>
      <c r="P11" s="9">
        <v>0.25151648446752223</v>
      </c>
      <c r="Q11" s="9">
        <v>12.345170712348581</v>
      </c>
      <c r="R11" s="9">
        <v>1.3633687991383951</v>
      </c>
      <c r="S11" s="9">
        <v>-1.8978582466143974</v>
      </c>
    </row>
    <row r="12" ht="14.25" customHeight="1">
      <c r="A12" s="5" t="s">
        <v>7</v>
      </c>
      <c r="B12" s="8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9">
        <v>-0.07368868831822649</v>
      </c>
      <c r="I12" s="9">
        <v>3.779727456369982</v>
      </c>
      <c r="J12" s="9">
        <v>8.442323248497436</v>
      </c>
      <c r="K12" s="9">
        <v>1.315008271234329</v>
      </c>
      <c r="L12" s="9">
        <v>4.48730345026643</v>
      </c>
      <c r="M12" s="9">
        <v>11.871053772801742</v>
      </c>
      <c r="N12" s="9">
        <v>4.447303707581228</v>
      </c>
      <c r="O12" s="9">
        <v>0.46354478308473335</v>
      </c>
      <c r="P12" s="9">
        <v>7.2081350988430355</v>
      </c>
      <c r="Q12" s="9">
        <v>5.041595534261436</v>
      </c>
      <c r="R12" s="9">
        <v>0.8217789822294027</v>
      </c>
      <c r="S12" s="9">
        <v>10.56891452601568</v>
      </c>
    </row>
    <row r="13" ht="14.25" customHeight="1">
      <c r="A13" s="5" t="s">
        <v>7</v>
      </c>
      <c r="B13" s="8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9">
        <v>1.7438098992950655</v>
      </c>
      <c r="I13" s="9">
        <v>-0.8759503839441535</v>
      </c>
      <c r="J13" s="9">
        <v>18.087253757847538</v>
      </c>
      <c r="K13" s="9">
        <v>-2.4251810612749423</v>
      </c>
      <c r="L13" s="9">
        <v>-7.189725373001776</v>
      </c>
      <c r="M13" s="9">
        <v>-15.548450528856431</v>
      </c>
      <c r="N13" s="9">
        <v>2.731640649819495</v>
      </c>
      <c r="O13" s="9">
        <v>3.052743210202993</v>
      </c>
      <c r="P13" s="9">
        <v>2.87102842944338</v>
      </c>
      <c r="Q13" s="9">
        <v>-8.417952124389801</v>
      </c>
      <c r="R13" s="9">
        <v>-16.363206677436725</v>
      </c>
      <c r="S13" s="9">
        <v>36.152400694939416</v>
      </c>
    </row>
    <row r="14" ht="14.25" customHeight="1">
      <c r="A14" s="5" t="s">
        <v>7</v>
      </c>
      <c r="B14" s="8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9">
        <v>0.0</v>
      </c>
      <c r="I14" s="9">
        <v>0.0</v>
      </c>
      <c r="J14" s="9">
        <v>0.0</v>
      </c>
      <c r="K14" s="9">
        <v>0.0</v>
      </c>
      <c r="L14" s="9">
        <v>4.9</v>
      </c>
      <c r="M14" s="9">
        <v>-0.6701492022985666</v>
      </c>
      <c r="N14" s="9">
        <v>0.0</v>
      </c>
      <c r="O14" s="9">
        <v>0.0</v>
      </c>
      <c r="P14" s="9">
        <v>0.0</v>
      </c>
      <c r="Q14" s="9">
        <v>1.4</v>
      </c>
      <c r="R14" s="9">
        <v>-0.619277942918686</v>
      </c>
      <c r="S14" s="9">
        <v>1.9103715538132575</v>
      </c>
    </row>
    <row r="15" ht="14.25" customHeight="1">
      <c r="A15" s="5" t="s">
        <v>7</v>
      </c>
      <c r="B15" s="8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1.8930394562606199</v>
      </c>
      <c r="N15" s="9">
        <v>-0.9134531046931408</v>
      </c>
      <c r="O15" s="9">
        <v>2.3465019946215318</v>
      </c>
      <c r="P15" s="9">
        <v>-0.6777895563450852</v>
      </c>
      <c r="Q15" s="9">
        <v>-0.12798206653408065</v>
      </c>
      <c r="R15" s="9">
        <v>3.821593085621971</v>
      </c>
      <c r="S15" s="9">
        <v>-1.2401711154668573</v>
      </c>
    </row>
    <row r="16" ht="14.25" customHeight="1">
      <c r="A16" s="5" t="s">
        <v>7</v>
      </c>
      <c r="B16" s="8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-0.1143668923734854</v>
      </c>
    </row>
    <row r="17" ht="14.25" customHeight="1">
      <c r="A17" s="5" t="s">
        <v>7</v>
      </c>
      <c r="B17" s="8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9">
        <v>2.4247580866062433</v>
      </c>
      <c r="I17" s="9">
        <v>4.79963057364747</v>
      </c>
      <c r="J17" s="9">
        <v>4.866771580372972</v>
      </c>
      <c r="K17" s="9">
        <v>5.748381945965037</v>
      </c>
      <c r="L17" s="9">
        <v>3.5222216396092363</v>
      </c>
      <c r="M17" s="9">
        <v>3.2783306800944403</v>
      </c>
      <c r="N17" s="9">
        <v>3.723382056678701</v>
      </c>
      <c r="O17" s="9">
        <v>4.548031225433233</v>
      </c>
      <c r="P17" s="9">
        <v>-1.4772910239591874</v>
      </c>
      <c r="Q17" s="9">
        <v>3.5430424227083708</v>
      </c>
      <c r="R17" s="9">
        <v>2.729839256865913</v>
      </c>
      <c r="S17" s="9">
        <v>-2.1488339201710613</v>
      </c>
    </row>
    <row r="18" ht="14.25" customHeight="1">
      <c r="A18" s="5" t="s">
        <v>7</v>
      </c>
      <c r="B18" s="8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9">
        <v>-0.8001205790533736</v>
      </c>
      <c r="I18" s="9">
        <v>-1.7238204415357765</v>
      </c>
      <c r="J18" s="9">
        <v>-1.2774350263157563</v>
      </c>
      <c r="K18" s="9">
        <v>-0.6552212466890341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</row>
    <row r="19" ht="14.25" customHeight="1">
      <c r="A19" s="5" t="s">
        <v>7</v>
      </c>
      <c r="B19" s="8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9">
        <v>1.260076072507552</v>
      </c>
      <c r="I19" s="9">
        <v>1.086209229842932</v>
      </c>
      <c r="J19" s="9">
        <v>4.469524279924541</v>
      </c>
      <c r="K19" s="9">
        <v>4.379500761080698</v>
      </c>
      <c r="L19" s="9">
        <v>2.195042504618118</v>
      </c>
      <c r="M19" s="9">
        <v>2.0686285945292706</v>
      </c>
      <c r="N19" s="9">
        <v>2.385361009747293</v>
      </c>
      <c r="O19" s="9">
        <v>1.0164574666374626</v>
      </c>
      <c r="P19" s="9">
        <v>3.6226260408126087</v>
      </c>
      <c r="Q19" s="9">
        <v>0.03787415657204809</v>
      </c>
      <c r="R19" s="9">
        <v>-4.817634286483575</v>
      </c>
      <c r="S19" s="9">
        <v>-13.50366726657163</v>
      </c>
    </row>
    <row r="20" ht="14.25" customHeight="1">
      <c r="A20" s="5" t="s">
        <v>7</v>
      </c>
      <c r="B20" s="8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9">
        <v>4.53452473816717</v>
      </c>
      <c r="I20" s="9">
        <v>8.150246467713789</v>
      </c>
      <c r="J20" s="9">
        <v>9.474262148945865</v>
      </c>
      <c r="K20" s="9">
        <v>9.712701458590853</v>
      </c>
      <c r="L20" s="9">
        <v>10.651137323268207</v>
      </c>
      <c r="M20" s="9">
        <v>10.363859599082481</v>
      </c>
      <c r="N20" s="9">
        <v>5.473818184115523</v>
      </c>
      <c r="O20" s="9">
        <v>3.6544002091216434</v>
      </c>
      <c r="P20" s="9">
        <v>-0.4956578090552974</v>
      </c>
      <c r="Q20" s="9">
        <v>3.0740380853371905</v>
      </c>
      <c r="R20" s="9">
        <v>1.6870047765212715</v>
      </c>
      <c r="S20" s="9">
        <v>5.687883004276551</v>
      </c>
    </row>
    <row r="21" ht="14.25" customHeight="1">
      <c r="A21" s="5" t="s">
        <v>7</v>
      </c>
      <c r="B21" s="8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9">
        <v>16.24141255287009</v>
      </c>
      <c r="I21" s="9">
        <v>39.28515732984293</v>
      </c>
      <c r="J21" s="9">
        <v>43.894577392628705</v>
      </c>
      <c r="K21" s="9">
        <v>34.0990756666078</v>
      </c>
      <c r="L21" s="9">
        <v>43.37105160746003</v>
      </c>
      <c r="M21" s="9">
        <v>53.1262706213941</v>
      </c>
      <c r="N21" s="9">
        <v>52.44825440433213</v>
      </c>
      <c r="O21" s="9">
        <v>66.53495685989905</v>
      </c>
      <c r="P21" s="9">
        <v>41.92907064771796</v>
      </c>
      <c r="Q21" s="9">
        <v>49.52383596094739</v>
      </c>
      <c r="R21" s="9">
        <v>49.59042959612278</v>
      </c>
      <c r="S21" s="9">
        <v>17.92849366714184</v>
      </c>
    </row>
    <row r="22" ht="14.25" customHeight="1">
      <c r="A22" s="5" t="s">
        <v>7</v>
      </c>
      <c r="B22" s="8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9">
        <v>5.8722461228600205</v>
      </c>
      <c r="I22" s="9">
        <v>11.310227312390925</v>
      </c>
      <c r="J22" s="9">
        <v>5.043349769790012</v>
      </c>
      <c r="K22" s="9">
        <v>3.3329326434751905</v>
      </c>
      <c r="L22" s="9">
        <v>6.179626518650089</v>
      </c>
      <c r="M22" s="9">
        <v>9.013805204594526</v>
      </c>
      <c r="N22" s="9">
        <v>4.036082743682311</v>
      </c>
      <c r="O22" s="9">
        <v>4.725818135828783</v>
      </c>
      <c r="P22" s="9">
        <v>5.752714129543591</v>
      </c>
      <c r="Q22" s="9">
        <v>2.2243107765322714</v>
      </c>
      <c r="R22" s="9">
        <v>-1.8490452234787291</v>
      </c>
      <c r="S22" s="9">
        <v>-5.384006995723448</v>
      </c>
    </row>
    <row r="23" ht="14.25" customHeight="1">
      <c r="A23" s="5" t="s">
        <v>7</v>
      </c>
      <c r="B23" s="8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9">
        <v>-3.8056495417925484</v>
      </c>
      <c r="I23" s="9">
        <v>-1.0599672757417102</v>
      </c>
      <c r="J23" s="9">
        <v>9.21247990976727</v>
      </c>
      <c r="K23" s="9">
        <v>16.204114190358467</v>
      </c>
      <c r="L23" s="9">
        <v>8.88368476731794</v>
      </c>
      <c r="M23" s="9">
        <v>9.706330266825068</v>
      </c>
      <c r="N23" s="9">
        <v>-8.544620805054153</v>
      </c>
      <c r="O23" s="9">
        <v>8.398748255036026</v>
      </c>
      <c r="P23" s="9">
        <v>44.72250385624487</v>
      </c>
      <c r="Q23" s="9">
        <v>-3.684068219128549</v>
      </c>
      <c r="R23" s="9">
        <v>5.963047883683359</v>
      </c>
      <c r="S23" s="9">
        <v>-96.68763406272274</v>
      </c>
    </row>
    <row r="24" ht="14.25" customHeight="1">
      <c r="A24" s="5" t="s">
        <v>7</v>
      </c>
      <c r="B24" s="8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9">
        <v>-11.474541231117826</v>
      </c>
      <c r="I24" s="9">
        <v>-9.919514434554973</v>
      </c>
      <c r="J24" s="9">
        <v>-7.568283765569055</v>
      </c>
      <c r="K24" s="9">
        <v>-5.2966635281652845</v>
      </c>
      <c r="L24" s="9">
        <v>-5.271965493783304</v>
      </c>
      <c r="M24" s="9">
        <v>-2.8718050600947502</v>
      </c>
      <c r="N24" s="9">
        <v>-9.361566848375451</v>
      </c>
      <c r="O24" s="9">
        <v>-5.157482504706576</v>
      </c>
      <c r="P24" s="9">
        <v>-3.190870580304273</v>
      </c>
      <c r="Q24" s="9">
        <v>-4.080914261435545</v>
      </c>
      <c r="R24" s="9">
        <v>-2.5178315778136775</v>
      </c>
      <c r="S24" s="9">
        <v>-10.666095441910192</v>
      </c>
    </row>
    <row r="25" ht="14.25" customHeight="1">
      <c r="A25" s="5" t="s">
        <v>7</v>
      </c>
      <c r="B25" s="8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9">
        <v>-2.293381359516616</v>
      </c>
      <c r="I25" s="9">
        <v>1.8432888289703317</v>
      </c>
      <c r="J25" s="9">
        <v>-3.40956512918344</v>
      </c>
      <c r="K25" s="9">
        <v>-0.9145524580610986</v>
      </c>
      <c r="L25" s="9">
        <v>-2.1953139840142097</v>
      </c>
      <c r="M25" s="9">
        <v>-0.5074151225284231</v>
      </c>
      <c r="N25" s="9">
        <v>-0.6615806209386281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</row>
    <row r="26" ht="14.25" customHeight="1">
      <c r="A26" s="5" t="s">
        <v>7</v>
      </c>
      <c r="B26" s="8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9">
        <v>-2.3785407804632426</v>
      </c>
      <c r="I26" s="9">
        <v>-1.7266146603839443</v>
      </c>
      <c r="J26" s="9">
        <v>-3.8065677918762946</v>
      </c>
      <c r="K26" s="9">
        <v>-2.1773549620342574</v>
      </c>
      <c r="L26" s="9">
        <v>0.5598293158081706</v>
      </c>
      <c r="M26" s="9">
        <v>-1.7226512513099357</v>
      </c>
      <c r="N26" s="9">
        <v>0.4672148397111913</v>
      </c>
      <c r="O26" s="9">
        <v>-0.6905099940559442</v>
      </c>
      <c r="P26" s="9">
        <v>0.0</v>
      </c>
      <c r="Q26" s="9">
        <v>0.0</v>
      </c>
      <c r="R26" s="9">
        <v>1.4</v>
      </c>
      <c r="S26" s="9">
        <v>-3.12</v>
      </c>
    </row>
    <row r="27" ht="14.25" customHeight="1">
      <c r="A27" s="5" t="s">
        <v>7</v>
      </c>
      <c r="B27" s="8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9">
        <v>1.5</v>
      </c>
      <c r="I27" s="9">
        <v>1.875</v>
      </c>
      <c r="J27" s="9">
        <v>0.6004642331838564</v>
      </c>
      <c r="K27" s="9">
        <v>-2.6224274006710226</v>
      </c>
      <c r="L27" s="9">
        <v>-1.2984857548845465</v>
      </c>
      <c r="M27" s="9">
        <v>0.27474057035777893</v>
      </c>
      <c r="N27" s="9">
        <v>2.7334627436823107</v>
      </c>
      <c r="O27" s="9">
        <v>2.364783452934242</v>
      </c>
      <c r="P27" s="9">
        <v>2.5138431875740177</v>
      </c>
      <c r="Q27" s="9">
        <v>5.030219947568251</v>
      </c>
      <c r="R27" s="9">
        <v>4.924171324717286</v>
      </c>
      <c r="S27" s="9">
        <v>23.08143317177477</v>
      </c>
    </row>
    <row r="28" ht="14.25" customHeight="1">
      <c r="A28" s="5" t="s">
        <v>7</v>
      </c>
      <c r="B28" s="8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9">
        <v>0.5</v>
      </c>
      <c r="I28" s="9">
        <v>0.75</v>
      </c>
      <c r="J28" s="9">
        <v>-1.1101168251121076</v>
      </c>
      <c r="K28" s="9">
        <v>-1.3816549779268938</v>
      </c>
      <c r="L28" s="9">
        <v>-2.097637726465364</v>
      </c>
      <c r="M28" s="9">
        <v>-2.9112670810639556</v>
      </c>
      <c r="N28" s="9">
        <v>-1.1758893140794224</v>
      </c>
      <c r="O28" s="9">
        <v>1.7141519946215313</v>
      </c>
      <c r="P28" s="9">
        <v>-1.442530013664936</v>
      </c>
      <c r="Q28" s="9">
        <v>-1.2693113776893872</v>
      </c>
      <c r="R28" s="9">
        <v>-1.265757942918686</v>
      </c>
      <c r="S28" s="9">
        <v>-2.622000135424091</v>
      </c>
    </row>
    <row r="29" ht="14.25" customHeight="1">
      <c r="A29" s="5" t="s">
        <v>7</v>
      </c>
      <c r="B29" s="8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9">
        <v>0.0</v>
      </c>
      <c r="I29" s="9">
        <v>2.0918198080279233</v>
      </c>
      <c r="J29" s="9">
        <v>2.0902618313901344</v>
      </c>
      <c r="K29" s="9">
        <v>1.6178700882924244</v>
      </c>
      <c r="L29" s="9">
        <v>2.1862668206039073</v>
      </c>
      <c r="M29" s="9">
        <v>10.78587228565848</v>
      </c>
      <c r="N29" s="9">
        <v>-0.3474979422382673</v>
      </c>
      <c r="O29" s="9">
        <v>0.1900767526908977</v>
      </c>
      <c r="P29" s="9">
        <v>-0.14279914002004196</v>
      </c>
      <c r="Q29" s="9">
        <v>9.61796359609474</v>
      </c>
      <c r="R29" s="9">
        <v>2.205660662358643</v>
      </c>
      <c r="S29" s="9">
        <v>-4.687700103349963</v>
      </c>
    </row>
    <row r="30" ht="14.25" customHeight="1">
      <c r="A30" s="5" t="s">
        <v>7</v>
      </c>
      <c r="B30" s="8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9">
        <v>0.0</v>
      </c>
      <c r="I30" s="9">
        <v>0.0</v>
      </c>
      <c r="J30" s="9">
        <v>0.0</v>
      </c>
      <c r="K30" s="9">
        <v>0.0</v>
      </c>
      <c r="L30" s="9">
        <v>0.0</v>
      </c>
      <c r="M30" s="9">
        <v>3.1403302360544174</v>
      </c>
      <c r="N30" s="9">
        <v>2.588587581227437</v>
      </c>
      <c r="O30" s="9">
        <v>0.8602738732199224</v>
      </c>
      <c r="P30" s="9">
        <v>4.097602313929125</v>
      </c>
      <c r="Q30" s="9">
        <v>3.1656095272102696</v>
      </c>
      <c r="R30" s="9">
        <v>1.143816548196015</v>
      </c>
      <c r="S30" s="9">
        <v>-0.6235432109764785</v>
      </c>
    </row>
    <row r="31" ht="14.25" customHeight="1">
      <c r="A31" s="5" t="s">
        <v>7</v>
      </c>
      <c r="B31" s="8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9">
        <v>0.0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-1.5047827617328522</v>
      </c>
      <c r="O31" s="9">
        <v>-2.251406959842364</v>
      </c>
      <c r="P31" s="9">
        <v>-5.5227673927302545</v>
      </c>
      <c r="Q31" s="9">
        <v>-7.14589286024227</v>
      </c>
      <c r="R31" s="9">
        <v>10.594552649434572</v>
      </c>
      <c r="S31" s="9">
        <v>147.98581282965074</v>
      </c>
    </row>
    <row r="32" ht="14.25" customHeight="1">
      <c r="A32" s="5" t="s">
        <v>7</v>
      </c>
      <c r="B32" s="8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9">
        <v>0.0</v>
      </c>
      <c r="I32" s="9">
        <v>0.0</v>
      </c>
      <c r="J32" s="9">
        <v>0.0</v>
      </c>
      <c r="K32" s="9">
        <v>0.0</v>
      </c>
      <c r="L32" s="9">
        <v>0.0</v>
      </c>
      <c r="M32" s="9">
        <v>0.0</v>
      </c>
      <c r="N32" s="9">
        <v>0.0</v>
      </c>
      <c r="O32" s="9">
        <v>0.0</v>
      </c>
      <c r="P32" s="9">
        <v>1.0</v>
      </c>
      <c r="Q32" s="9">
        <v>-2.5455782661363227</v>
      </c>
      <c r="R32" s="9">
        <v>-3.8755856004308025</v>
      </c>
      <c r="S32" s="9">
        <v>-1.4356175694939421</v>
      </c>
    </row>
    <row r="33" ht="14.25" customHeight="1">
      <c r="A33" s="5" t="s">
        <v>7</v>
      </c>
      <c r="B33" s="8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9">
        <v>0.9740553464249743</v>
      </c>
      <c r="I33" s="9">
        <v>1.8236075619546255</v>
      </c>
      <c r="J33" s="9">
        <v>9.27239207651647</v>
      </c>
      <c r="K33" s="9">
        <v>11.331797656719054</v>
      </c>
      <c r="L33" s="9">
        <v>8.48308829928952</v>
      </c>
      <c r="M33" s="9">
        <v>6.941626709645423</v>
      </c>
      <c r="N33" s="9">
        <v>-0.2176200830324914</v>
      </c>
      <c r="O33" s="9">
        <v>1.0552481061085037</v>
      </c>
      <c r="P33" s="9">
        <v>2.3854708326500864</v>
      </c>
      <c r="Q33" s="9">
        <v>6.207218978484903</v>
      </c>
      <c r="R33" s="9">
        <v>3.758956456650512</v>
      </c>
      <c r="S33" s="9">
        <v>2.3793339843193158</v>
      </c>
    </row>
    <row r="34" ht="14.25" customHeight="1">
      <c r="A34" s="5" t="s">
        <v>7</v>
      </c>
      <c r="B34" s="8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9">
        <v>-0.4798012839879154</v>
      </c>
      <c r="I34" s="9">
        <v>3.3509494912739965</v>
      </c>
      <c r="J34" s="9">
        <v>-2.32700531151755</v>
      </c>
      <c r="K34" s="9">
        <v>-2.6241037047501328</v>
      </c>
      <c r="L34" s="9">
        <v>-1.376847726465364</v>
      </c>
      <c r="M34" s="9">
        <v>0.0</v>
      </c>
      <c r="N34" s="9">
        <v>0.0</v>
      </c>
      <c r="O34" s="9">
        <v>2.7381125119964134</v>
      </c>
      <c r="P34" s="9">
        <v>0.0</v>
      </c>
      <c r="Q34" s="9">
        <v>0.0</v>
      </c>
      <c r="R34" s="9">
        <v>0.0</v>
      </c>
      <c r="S34" s="9">
        <v>-1.782</v>
      </c>
    </row>
    <row r="35" ht="14.25" customHeight="1">
      <c r="A35" s="5" t="s">
        <v>7</v>
      </c>
      <c r="B35" s="8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9">
        <v>5.2634198846928495</v>
      </c>
      <c r="I35" s="9">
        <v>6.205599203315881</v>
      </c>
      <c r="J35" s="9">
        <v>3.6609229109039747</v>
      </c>
      <c r="K35" s="9">
        <v>6.321169420801694</v>
      </c>
      <c r="L35" s="9">
        <v>4.806780311722913</v>
      </c>
      <c r="M35" s="9">
        <v>0.5092480870473439</v>
      </c>
      <c r="N35" s="9">
        <v>2.527189615523466</v>
      </c>
      <c r="O35" s="9">
        <v>0.938108305689669</v>
      </c>
      <c r="P35" s="9">
        <v>1.6098823275940604</v>
      </c>
      <c r="Q35" s="9">
        <v>-1.7685655107575486</v>
      </c>
      <c r="R35" s="9">
        <v>-1.214661771674744</v>
      </c>
      <c r="S35" s="9">
        <v>0.8501687491090522</v>
      </c>
    </row>
    <row r="36" ht="14.25" customHeight="1">
      <c r="A36" s="5" t="s">
        <v>7</v>
      </c>
      <c r="B36" s="8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9">
        <v>-5.092951787512588</v>
      </c>
      <c r="I36" s="9">
        <v>1.0873586369982549</v>
      </c>
      <c r="J36" s="9">
        <v>-4.220025046353486</v>
      </c>
      <c r="K36" s="9">
        <v>-3.222977444817235</v>
      </c>
      <c r="L36" s="9">
        <v>-4.222362877442273</v>
      </c>
      <c r="M36" s="9">
        <v>-0.004</v>
      </c>
      <c r="N36" s="9">
        <v>-0.008</v>
      </c>
      <c r="O36" s="9">
        <v>3.408861666738386</v>
      </c>
      <c r="P36" s="9">
        <v>-0.8927638225380341</v>
      </c>
      <c r="Q36" s="9">
        <v>-0.8870113776893872</v>
      </c>
      <c r="R36" s="9">
        <v>-0.897367942918686</v>
      </c>
      <c r="S36" s="9">
        <v>0.0</v>
      </c>
    </row>
    <row r="37" ht="14.25" customHeight="1">
      <c r="A37" s="5" t="s">
        <v>7</v>
      </c>
      <c r="B37" s="8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9">
        <v>-7.048452129405841</v>
      </c>
      <c r="I37" s="9">
        <v>-4.030712140488656</v>
      </c>
      <c r="J37" s="9">
        <v>-6.888755312937543</v>
      </c>
      <c r="K37" s="9">
        <v>2.0314119759844607</v>
      </c>
      <c r="L37" s="9">
        <v>2.823367434280639</v>
      </c>
      <c r="M37" s="9">
        <v>2.857221631934701</v>
      </c>
      <c r="N37" s="9">
        <v>-0.3984774277978344</v>
      </c>
      <c r="O37" s="9">
        <v>6.446060082373392</v>
      </c>
      <c r="P37" s="9">
        <v>6.147306996447117</v>
      </c>
      <c r="Q37" s="9">
        <v>7.658154845416742</v>
      </c>
      <c r="R37" s="9">
        <v>0.4055846849757677</v>
      </c>
      <c r="S37" s="9">
        <v>6.677378645759087</v>
      </c>
    </row>
    <row r="38" ht="14.25" customHeight="1">
      <c r="A38" s="5" t="s">
        <v>7</v>
      </c>
      <c r="B38" s="8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9">
        <v>0.0</v>
      </c>
      <c r="I38" s="9">
        <v>2.6895298080279235</v>
      </c>
      <c r="J38" s="9">
        <v>-5.977234166816143</v>
      </c>
      <c r="K38" s="9">
        <v>-8.140487979869327</v>
      </c>
      <c r="L38" s="9">
        <v>-9.437553420959148</v>
      </c>
      <c r="M38" s="9">
        <v>-0.9896810427582801</v>
      </c>
      <c r="N38" s="9">
        <v>0.0</v>
      </c>
      <c r="O38" s="9">
        <v>0.0</v>
      </c>
      <c r="P38" s="9">
        <v>0.0</v>
      </c>
      <c r="Q38" s="9">
        <v>0.0</v>
      </c>
      <c r="R38" s="9">
        <v>0.0</v>
      </c>
      <c r="S38" s="9">
        <v>0.0</v>
      </c>
    </row>
    <row r="39" ht="14.25" customHeight="1">
      <c r="A39" s="5" t="s">
        <v>7</v>
      </c>
      <c r="B39" s="8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9">
        <v>0.9890158862034234</v>
      </c>
      <c r="I39" s="9">
        <v>2.2087760907504363</v>
      </c>
      <c r="J39" s="9">
        <v>2.2097030164424516</v>
      </c>
      <c r="K39" s="9">
        <v>0.8818575331096593</v>
      </c>
      <c r="L39" s="9">
        <v>-0.003157726465364103</v>
      </c>
      <c r="M39" s="9">
        <v>0.6693015774952306</v>
      </c>
      <c r="N39" s="9">
        <v>1.0783206859205776</v>
      </c>
      <c r="O39" s="9">
        <v>4.987016937730437</v>
      </c>
      <c r="P39" s="9">
        <v>-2.049671467614102</v>
      </c>
      <c r="Q39" s="9">
        <v>1.1755458669318386</v>
      </c>
      <c r="R39" s="9">
        <v>0.8658103769520731</v>
      </c>
      <c r="S39" s="9">
        <v>5.127013816821098</v>
      </c>
    </row>
    <row r="40" ht="14.25" customHeight="1">
      <c r="A40" s="5" t="s">
        <v>7</v>
      </c>
      <c r="B40" s="8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9">
        <v>0.18806282980866032</v>
      </c>
      <c r="I40" s="9">
        <v>0.18997961605584657</v>
      </c>
      <c r="J40" s="9">
        <v>0.1995642331838564</v>
      </c>
      <c r="K40" s="9">
        <v>0.2486950220731061</v>
      </c>
      <c r="L40" s="9">
        <v>0.2398848490230905</v>
      </c>
      <c r="M40" s="9">
        <v>0.12084631691221279</v>
      </c>
      <c r="N40" s="9">
        <v>0.37880379061371844</v>
      </c>
      <c r="O40" s="9">
        <v>0.3611193282199233</v>
      </c>
      <c r="P40" s="9">
        <v>0.2960223549239317</v>
      </c>
      <c r="Q40" s="9">
        <v>0.2925572446212257</v>
      </c>
      <c r="R40" s="9">
        <v>0.30925411416262794</v>
      </c>
      <c r="S40" s="9">
        <v>0.11266310762651476</v>
      </c>
    </row>
    <row r="41" ht="14.25" customHeight="1">
      <c r="A41" s="5" t="s">
        <v>7</v>
      </c>
      <c r="B41" s="8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9">
        <v>-4.286591510574018</v>
      </c>
      <c r="I41" s="9">
        <v>-0.00724</v>
      </c>
      <c r="J41" s="9">
        <v>0.0</v>
      </c>
      <c r="K41" s="9">
        <v>-0.24152</v>
      </c>
      <c r="L41" s="9">
        <v>-1.02995</v>
      </c>
      <c r="M41" s="9">
        <v>-0.60284</v>
      </c>
      <c r="N41" s="9">
        <v>0.0</v>
      </c>
      <c r="O41" s="9">
        <v>0.0</v>
      </c>
      <c r="P41" s="9">
        <v>-0.001</v>
      </c>
      <c r="Q41" s="9">
        <v>0.0</v>
      </c>
      <c r="R41" s="9">
        <v>0.0</v>
      </c>
      <c r="S41" s="9">
        <v>0.01364</v>
      </c>
    </row>
    <row r="42" ht="14.25" customHeight="1">
      <c r="A42" s="5" t="s">
        <v>7</v>
      </c>
      <c r="B42" s="8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9">
        <v>26.744158111782475</v>
      </c>
      <c r="I42" s="9">
        <v>26.292208272251308</v>
      </c>
      <c r="J42" s="9">
        <v>9.08258623467079</v>
      </c>
      <c r="K42" s="9">
        <v>5.0345613438107</v>
      </c>
      <c r="L42" s="9">
        <v>14.779366820603908</v>
      </c>
      <c r="M42" s="9">
        <v>11.194581198179726</v>
      </c>
      <c r="N42" s="9">
        <v>10.45247986762936</v>
      </c>
      <c r="O42" s="9">
        <v>46.96529969864453</v>
      </c>
      <c r="P42" s="9">
        <v>14.669997952081626</v>
      </c>
      <c r="Q42" s="9">
        <v>11.518835534261438</v>
      </c>
      <c r="R42" s="9">
        <v>18.42171113085622</v>
      </c>
      <c r="S42" s="9">
        <v>11.254434693513897</v>
      </c>
    </row>
    <row r="43" ht="14.25" customHeight="1">
      <c r="A43" s="5" t="s">
        <v>7</v>
      </c>
      <c r="B43" s="8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9">
        <v>-0.8711712588116818</v>
      </c>
      <c r="I43" s="9">
        <v>-1.668710959860384</v>
      </c>
      <c r="J43" s="9">
        <v>6.067816614939849</v>
      </c>
      <c r="K43" s="9">
        <v>3.020887577255871</v>
      </c>
      <c r="L43" s="9">
        <v>-0.1594780284191831</v>
      </c>
      <c r="M43" s="9">
        <v>5.6628023214737535</v>
      </c>
      <c r="N43" s="9">
        <v>2.645240457280385</v>
      </c>
      <c r="O43" s="9">
        <v>-3.5997352344261224</v>
      </c>
      <c r="P43" s="9">
        <v>2.428182354923932</v>
      </c>
      <c r="Q43" s="9">
        <v>2.270627244621226</v>
      </c>
      <c r="R43" s="9">
        <v>2.95058831987076</v>
      </c>
      <c r="S43" s="9">
        <v>2.120113816821098</v>
      </c>
    </row>
    <row r="44" ht="14.25" customHeight="1">
      <c r="A44" s="5" t="s">
        <v>7</v>
      </c>
      <c r="B44" s="8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9">
        <v>0.08912282980866061</v>
      </c>
      <c r="I44" s="9">
        <v>-1.0629809598603839</v>
      </c>
      <c r="J44" s="9">
        <v>-3.0667527503736918</v>
      </c>
      <c r="K44" s="9">
        <v>-1.0832674448172346</v>
      </c>
      <c r="L44" s="9">
        <v>-0.208700301953819</v>
      </c>
      <c r="M44" s="9">
        <v>3.672531015848214</v>
      </c>
      <c r="N44" s="9">
        <v>3.960150685920578</v>
      </c>
      <c r="O44" s="9">
        <v>5.09283865815159</v>
      </c>
      <c r="P44" s="9">
        <v>-1.1678414676141018</v>
      </c>
      <c r="Q44" s="9">
        <v>-0.8675241330681613</v>
      </c>
      <c r="R44" s="9">
        <v>-0.01529</v>
      </c>
      <c r="S44" s="9">
        <v>1.5467515538132572</v>
      </c>
    </row>
    <row r="45" ht="14.25" customHeight="1">
      <c r="A45" s="5" t="s">
        <v>7</v>
      </c>
      <c r="B45" s="8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9">
        <v>2.0</v>
      </c>
      <c r="I45" s="9">
        <v>-2.0</v>
      </c>
      <c r="J45" s="9">
        <v>0.0</v>
      </c>
      <c r="K45" s="9">
        <v>0.0</v>
      </c>
      <c r="L45" s="9">
        <v>0.0</v>
      </c>
      <c r="M45" s="9">
        <v>0.0</v>
      </c>
      <c r="N45" s="9">
        <v>0.0</v>
      </c>
      <c r="O45" s="9">
        <v>0.0</v>
      </c>
      <c r="P45" s="9">
        <v>0.0</v>
      </c>
      <c r="Q45" s="9">
        <v>0.0</v>
      </c>
      <c r="R45" s="9">
        <v>0.0</v>
      </c>
      <c r="S45" s="9">
        <v>0.0</v>
      </c>
    </row>
    <row r="46" ht="14.25" customHeight="1">
      <c r="A46" s="5" t="s">
        <v>7</v>
      </c>
      <c r="B46" s="8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9">
        <v>0.0</v>
      </c>
      <c r="I46" s="9">
        <v>0.0</v>
      </c>
      <c r="J46" s="9">
        <v>0.0</v>
      </c>
      <c r="K46" s="9">
        <v>0.0</v>
      </c>
      <c r="L46" s="9">
        <v>0.0</v>
      </c>
      <c r="M46" s="9">
        <v>0.0</v>
      </c>
      <c r="N46" s="9">
        <v>0.0</v>
      </c>
      <c r="O46" s="9">
        <v>2.2627566869569926</v>
      </c>
      <c r="P46" s="9">
        <v>-2.8515329352282044</v>
      </c>
      <c r="Q46" s="9">
        <v>0.16307084071596503</v>
      </c>
      <c r="R46" s="9">
        <v>-3.272771109316101</v>
      </c>
      <c r="S46" s="9">
        <v>13.218354693513902</v>
      </c>
    </row>
    <row r="47" ht="14.25" customHeight="1">
      <c r="A47" s="5" t="s">
        <v>7</v>
      </c>
      <c r="B47" s="8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>
        <v>0.0</v>
      </c>
      <c r="O47" s="9">
        <v>0.0</v>
      </c>
      <c r="P47" s="9">
        <v>0.04537853238589771</v>
      </c>
      <c r="Q47" s="9">
        <v>-1.0431750262158743</v>
      </c>
      <c r="R47" s="9">
        <v>4.351166548196015</v>
      </c>
      <c r="S47" s="9">
        <v>0.13465003207412768</v>
      </c>
    </row>
    <row r="48" ht="14.25" customHeight="1">
      <c r="A48" s="5" t="s">
        <v>7</v>
      </c>
      <c r="B48" s="8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9">
        <v>0.0</v>
      </c>
      <c r="I48" s="9">
        <v>0.0</v>
      </c>
      <c r="J48" s="9">
        <v>0.0</v>
      </c>
      <c r="K48" s="9">
        <v>0.0</v>
      </c>
      <c r="L48" s="9">
        <v>0.0</v>
      </c>
      <c r="M48" s="9">
        <v>0.0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  <c r="S48" s="9">
        <v>-0.10051689237348539</v>
      </c>
    </row>
    <row r="49" ht="14.25" customHeight="1">
      <c r="A49" s="5" t="s">
        <v>7</v>
      </c>
      <c r="B49" s="8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9">
        <v>113.70554021148037</v>
      </c>
      <c r="I49" s="9">
        <v>88.12851410471205</v>
      </c>
      <c r="J49" s="9">
        <v>87.50447828590225</v>
      </c>
      <c r="K49" s="9">
        <v>85.37356340279001</v>
      </c>
      <c r="L49" s="9">
        <v>67.13328414209592</v>
      </c>
      <c r="M49" s="9">
        <v>62.617222944495424</v>
      </c>
      <c r="N49" s="9">
        <v>70.49127528519855</v>
      </c>
      <c r="O49" s="9">
        <v>60.573447006083626</v>
      </c>
      <c r="P49" s="9">
        <v>107.40454050195899</v>
      </c>
      <c r="Q49" s="9">
        <v>62.76429149520882</v>
      </c>
      <c r="R49" s="9">
        <v>-25.904552918686058</v>
      </c>
      <c r="S49" s="9">
        <v>71.10702932466145</v>
      </c>
    </row>
    <row r="50" ht="14.25" customHeight="1">
      <c r="A50" s="5" t="s">
        <v>7</v>
      </c>
      <c r="B50" s="8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9">
        <v>-1.4772938267875138</v>
      </c>
      <c r="I50" s="9">
        <v>15.493487120418848</v>
      </c>
      <c r="J50" s="9">
        <v>6.173071375851695</v>
      </c>
      <c r="K50" s="9">
        <v>9.464520167755605</v>
      </c>
      <c r="L50" s="9">
        <v>9.699451428063943</v>
      </c>
      <c r="M50" s="9">
        <v>9.350172938422638</v>
      </c>
      <c r="N50" s="9">
        <v>7.565369018050542</v>
      </c>
      <c r="O50" s="9">
        <v>2.5681652496717082</v>
      </c>
      <c r="P50" s="9">
        <v>17.23246363122893</v>
      </c>
      <c r="Q50" s="9">
        <v>-0.9091248743446032</v>
      </c>
      <c r="R50" s="9">
        <v>-1.5447435325794294</v>
      </c>
      <c r="S50" s="9">
        <v>6.7992589486813975</v>
      </c>
    </row>
    <row r="51" ht="14.25" customHeight="1">
      <c r="A51" s="5" t="s">
        <v>7</v>
      </c>
      <c r="B51" s="8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9">
        <v>-3.9728920140986914</v>
      </c>
      <c r="I51" s="9">
        <v>-6.045291535776614</v>
      </c>
      <c r="J51" s="9">
        <v>-3.202997162945414</v>
      </c>
      <c r="K51" s="9">
        <v>-0.40687995585378783</v>
      </c>
      <c r="L51" s="9">
        <v>-2.305047726465364</v>
      </c>
      <c r="M51" s="9">
        <v>-2.6593797836109982</v>
      </c>
      <c r="N51" s="9">
        <v>-0.6051431046931408</v>
      </c>
      <c r="O51" s="9">
        <v>-0.5927999825174824</v>
      </c>
      <c r="P51" s="9">
        <v>-0.647853822538034</v>
      </c>
      <c r="Q51" s="9">
        <v>-0.6425713776893871</v>
      </c>
      <c r="R51" s="9">
        <v>-1.2685758858373721</v>
      </c>
      <c r="S51" s="9">
        <v>0.0</v>
      </c>
    </row>
    <row r="52" ht="14.25" customHeight="1">
      <c r="A52" s="5" t="s">
        <v>7</v>
      </c>
      <c r="B52" s="8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9">
        <v>-17.012100896273918</v>
      </c>
      <c r="I52" s="9">
        <v>-18.18941487783595</v>
      </c>
      <c r="J52" s="9">
        <v>4.755558176856382</v>
      </c>
      <c r="K52" s="9">
        <v>15.49035941550415</v>
      </c>
      <c r="L52" s="9">
        <v>11.501924122557725</v>
      </c>
      <c r="M52" s="9">
        <v>72.36222967502454</v>
      </c>
      <c r="N52" s="9">
        <v>17.150549844765347</v>
      </c>
      <c r="O52" s="9">
        <v>9.606062605287239</v>
      </c>
      <c r="P52" s="9">
        <v>39.610794777261546</v>
      </c>
      <c r="Q52" s="9">
        <v>3.977819428674746</v>
      </c>
      <c r="R52" s="9">
        <v>90.14045576736672</v>
      </c>
      <c r="S52" s="9">
        <v>36.664037890235214</v>
      </c>
    </row>
    <row r="53" ht="14.25" customHeight="1">
      <c r="A53" s="5" t="s">
        <v>7</v>
      </c>
      <c r="B53" s="8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9">
        <v>4.030079118831822</v>
      </c>
      <c r="I53" s="9">
        <v>2.9983393280977313</v>
      </c>
      <c r="J53" s="9">
        <v>9.22857740807175</v>
      </c>
      <c r="K53" s="9">
        <v>4.083898788627936</v>
      </c>
      <c r="L53" s="9">
        <v>5.336972273534636</v>
      </c>
      <c r="M53" s="9">
        <v>5.8206599462770905</v>
      </c>
      <c r="N53" s="9">
        <v>1.556777581227437</v>
      </c>
      <c r="O53" s="9">
        <v>0.6356188379246895</v>
      </c>
      <c r="P53" s="9">
        <v>1.3846147098478634</v>
      </c>
      <c r="Q53" s="9">
        <v>2.9096444892424516</v>
      </c>
      <c r="R53" s="9">
        <v>1.9296782283252558</v>
      </c>
      <c r="S53" s="9">
        <v>5.45126621525303</v>
      </c>
    </row>
    <row r="54" ht="14.25" customHeight="1">
      <c r="A54" s="5" t="s">
        <v>7</v>
      </c>
      <c r="B54" s="8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9">
        <v>0.9555728298086609</v>
      </c>
      <c r="I54" s="9">
        <v>0.9256329493891797</v>
      </c>
      <c r="J54" s="9">
        <v>-5.130643512721199</v>
      </c>
      <c r="K54" s="9">
        <v>-0.9568349779268938</v>
      </c>
      <c r="L54" s="9">
        <v>0.14923742451154526</v>
      </c>
      <c r="M54" s="9">
        <v>0.5534703898968986</v>
      </c>
      <c r="N54" s="9">
        <v>0.8851035619735261</v>
      </c>
      <c r="O54" s="9">
        <v>0.8932054711946255</v>
      </c>
      <c r="P54" s="9">
        <v>0.7181395107952993</v>
      </c>
      <c r="Q54" s="9">
        <v>0.6810086223106129</v>
      </c>
      <c r="R54" s="9">
        <v>1.533772057081314</v>
      </c>
      <c r="S54" s="9">
        <v>-0.8948953385602281</v>
      </c>
    </row>
    <row r="55" ht="14.25" customHeight="1">
      <c r="A55" s="5" t="s">
        <v>7</v>
      </c>
      <c r="B55" s="8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9">
        <v>-2.87375825407855</v>
      </c>
      <c r="I55" s="9">
        <v>4.541498368237347</v>
      </c>
      <c r="J55" s="9">
        <v>16.089929186830368</v>
      </c>
      <c r="K55" s="9">
        <v>-2.2678874006710226</v>
      </c>
      <c r="L55" s="9">
        <v>-0.5532359964476026</v>
      </c>
      <c r="M55" s="9">
        <v>1.56458631888613</v>
      </c>
      <c r="N55" s="9">
        <v>-5.414040981949459</v>
      </c>
      <c r="O55" s="9">
        <v>-1.6759607216061954</v>
      </c>
      <c r="P55" s="9">
        <v>0.2713941022137192</v>
      </c>
      <c r="Q55" s="9">
        <v>0.02475395226903027</v>
      </c>
      <c r="R55" s="9">
        <v>5.298564205708131</v>
      </c>
      <c r="S55" s="9">
        <v>0.03313</v>
      </c>
    </row>
    <row r="56" ht="14.25" customHeight="1">
      <c r="A56" s="5" t="s">
        <v>7</v>
      </c>
      <c r="B56" s="8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9">
        <v>-0.63138</v>
      </c>
      <c r="I56" s="9">
        <v>-0.62979</v>
      </c>
      <c r="J56" s="9">
        <v>-0.60101</v>
      </c>
      <c r="K56" s="9">
        <v>-0.69717</v>
      </c>
      <c r="L56" s="9">
        <v>-0.71287</v>
      </c>
      <c r="M56" s="9">
        <v>-0.055</v>
      </c>
      <c r="N56" s="9">
        <v>0.0</v>
      </c>
      <c r="O56" s="9">
        <v>-0.2014</v>
      </c>
      <c r="P56" s="9">
        <v>0.0</v>
      </c>
      <c r="Q56" s="9">
        <v>0.0</v>
      </c>
      <c r="R56" s="9">
        <v>0.0</v>
      </c>
      <c r="S56" s="9">
        <v>0.0</v>
      </c>
    </row>
    <row r="57" ht="14.25" customHeight="1">
      <c r="A57" s="5" t="s">
        <v>7</v>
      </c>
      <c r="B57" s="8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9">
        <v>-6.60914</v>
      </c>
      <c r="I57" s="9">
        <v>-2.44053</v>
      </c>
      <c r="J57" s="9">
        <v>-0.56202</v>
      </c>
      <c r="K57" s="9">
        <v>-2.47997</v>
      </c>
      <c r="L57" s="9">
        <v>-7.68321</v>
      </c>
      <c r="M57" s="9">
        <v>-0.491</v>
      </c>
      <c r="N57" s="9">
        <v>-20.97513</v>
      </c>
      <c r="O57" s="9">
        <v>-12.5116</v>
      </c>
      <c r="P57" s="9">
        <v>-16.63834</v>
      </c>
      <c r="Q57" s="9">
        <v>-22.75673</v>
      </c>
      <c r="R57" s="9">
        <v>-5.21211</v>
      </c>
      <c r="S57" s="9">
        <v>-3.16385</v>
      </c>
    </row>
    <row r="58" ht="14.25" customHeight="1">
      <c r="A58" s="5" t="s">
        <v>7</v>
      </c>
      <c r="B58" s="8" t="s">
        <v>112</v>
      </c>
      <c r="C58" s="1" t="str">
        <f>VLOOKUP(B58,Mapping!B:C,2,0)</f>
        <v>Lateral</v>
      </c>
      <c r="D58" s="1" t="str">
        <f>VLOOKUP(B58,Mapping!B:D,3,0)</f>
        <v>North</v>
      </c>
      <c r="E58" s="1" t="str">
        <f>VLOOKUP(B58,Mapping!B:E,4,0)</f>
        <v>North</v>
      </c>
      <c r="F58" s="1" t="str">
        <f>VLOOKUP(B58,Mapping!B:F,5,0)</f>
        <v>Anjli</v>
      </c>
      <c r="G58" s="6" t="str">
        <f>VLOOKUP(B58,Mapping!B:G,6,0)</f>
        <v>Anjli</v>
      </c>
      <c r="H58" s="9">
        <v>0.0</v>
      </c>
      <c r="I58" s="9">
        <v>0.0</v>
      </c>
      <c r="J58" s="9">
        <v>-0.0505</v>
      </c>
      <c r="K58" s="9">
        <v>-0.0465</v>
      </c>
      <c r="L58" s="9">
        <v>-0.049</v>
      </c>
      <c r="M58" s="9">
        <v>-0.8</v>
      </c>
      <c r="N58" s="9">
        <v>-0.0155</v>
      </c>
      <c r="O58" s="9">
        <v>-0.0155</v>
      </c>
      <c r="P58" s="9">
        <v>-0.031</v>
      </c>
      <c r="Q58" s="9">
        <v>0.0</v>
      </c>
      <c r="R58" s="9">
        <v>0.0</v>
      </c>
      <c r="S58" s="9">
        <v>0.0</v>
      </c>
    </row>
    <row r="59" ht="14.25" customHeight="1"/>
    <row r="60" ht="14.25" customHeight="1"/>
    <row r="61" ht="14.25" customHeight="1"/>
    <row r="62" ht="14.25" customHeight="1">
      <c r="H62" s="7" t="s">
        <v>113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8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2">
        <v>19.0</v>
      </c>
      <c r="I2" s="12">
        <v>0.0</v>
      </c>
      <c r="J2" s="12">
        <v>7.0</v>
      </c>
      <c r="K2" s="12">
        <v>24.0</v>
      </c>
      <c r="L2" s="12">
        <v>31.0</v>
      </c>
      <c r="M2" s="12">
        <v>28.0</v>
      </c>
      <c r="N2" s="12">
        <v>0.0</v>
      </c>
      <c r="O2" s="12">
        <v>28.0</v>
      </c>
      <c r="P2" s="12">
        <v>32.0</v>
      </c>
      <c r="Q2" s="12">
        <v>0.0</v>
      </c>
      <c r="R2" s="12">
        <v>25.0</v>
      </c>
      <c r="S2" s="12">
        <v>28.0</v>
      </c>
    </row>
    <row r="3" ht="14.25" customHeight="1">
      <c r="A3" s="5" t="s">
        <v>7</v>
      </c>
      <c r="B3" s="8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2">
        <v>11.0</v>
      </c>
      <c r="I3" s="12">
        <v>0.0</v>
      </c>
      <c r="J3" s="12">
        <v>9.0</v>
      </c>
      <c r="K3" s="12">
        <v>10.0</v>
      </c>
      <c r="L3" s="12">
        <v>3.0</v>
      </c>
      <c r="M3" s="12">
        <v>7.0</v>
      </c>
      <c r="N3" s="12">
        <v>9.0</v>
      </c>
      <c r="O3" s="12">
        <v>9.0</v>
      </c>
      <c r="P3" s="12">
        <v>3.0</v>
      </c>
      <c r="Q3" s="12">
        <v>1.0</v>
      </c>
      <c r="R3" s="12">
        <v>12.0</v>
      </c>
      <c r="S3" s="12">
        <v>9.0</v>
      </c>
    </row>
    <row r="4" ht="14.25" customHeight="1">
      <c r="A4" s="5" t="s">
        <v>7</v>
      </c>
      <c r="B4" s="8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2">
        <v>7.0</v>
      </c>
      <c r="I4" s="12">
        <v>0.0</v>
      </c>
      <c r="J4" s="12">
        <v>8.0</v>
      </c>
      <c r="K4" s="12">
        <v>3.0</v>
      </c>
      <c r="L4" s="12">
        <v>2.0</v>
      </c>
      <c r="M4" s="12">
        <v>4.0</v>
      </c>
      <c r="N4" s="12">
        <v>3.0</v>
      </c>
      <c r="O4" s="12">
        <v>2.0</v>
      </c>
      <c r="P4" s="12">
        <v>7.0</v>
      </c>
      <c r="Q4" s="12">
        <v>2.0</v>
      </c>
      <c r="R4" s="12">
        <v>2.0</v>
      </c>
      <c r="S4" s="12">
        <v>1.0</v>
      </c>
    </row>
    <row r="5" ht="14.25" customHeight="1">
      <c r="A5" s="5" t="s">
        <v>7</v>
      </c>
      <c r="B5" s="8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2">
        <v>0.0</v>
      </c>
      <c r="I5" s="12">
        <v>0.0</v>
      </c>
      <c r="J5" s="12">
        <v>2.0</v>
      </c>
      <c r="K5" s="12">
        <v>1.0</v>
      </c>
      <c r="L5" s="12">
        <v>2.0</v>
      </c>
      <c r="M5" s="12">
        <v>0.0</v>
      </c>
      <c r="N5" s="12">
        <v>0.0</v>
      </c>
      <c r="O5" s="12">
        <v>0.0</v>
      </c>
      <c r="P5" s="12">
        <v>1.0</v>
      </c>
      <c r="Q5" s="12">
        <v>0.0</v>
      </c>
      <c r="R5" s="12">
        <v>0.0</v>
      </c>
      <c r="S5" s="12">
        <v>0.0</v>
      </c>
    </row>
    <row r="6" ht="14.25" customHeight="1">
      <c r="A6" s="5" t="s">
        <v>7</v>
      </c>
      <c r="B6" s="8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2">
        <v>0.0</v>
      </c>
      <c r="I6" s="12">
        <v>0.0</v>
      </c>
      <c r="J6" s="12">
        <v>18.0</v>
      </c>
      <c r="K6" s="12">
        <v>30.0</v>
      </c>
      <c r="L6" s="12">
        <v>32.0</v>
      </c>
      <c r="M6" s="12">
        <v>26.0</v>
      </c>
      <c r="N6" s="12">
        <v>14.0</v>
      </c>
      <c r="O6" s="12">
        <v>17.0</v>
      </c>
      <c r="P6" s="12">
        <v>12.0</v>
      </c>
      <c r="Q6" s="12">
        <v>8.0</v>
      </c>
      <c r="R6" s="12">
        <v>0.0</v>
      </c>
      <c r="S6" s="12">
        <v>0.0</v>
      </c>
    </row>
    <row r="7" ht="14.25" customHeight="1">
      <c r="A7" s="5" t="s">
        <v>7</v>
      </c>
      <c r="B7" s="8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2">
        <v>0.0</v>
      </c>
      <c r="I7" s="12">
        <v>0.0</v>
      </c>
      <c r="J7" s="12">
        <v>2.0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</row>
    <row r="8" ht="14.25" customHeight="1">
      <c r="A8" s="5" t="s">
        <v>7</v>
      </c>
      <c r="B8" s="8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2">
        <v>0.0</v>
      </c>
      <c r="I8" s="12">
        <v>0.0</v>
      </c>
      <c r="J8" s="12">
        <v>0.0</v>
      </c>
      <c r="K8" s="12">
        <v>0.0</v>
      </c>
      <c r="L8" s="12">
        <v>0.0</v>
      </c>
      <c r="M8" s="12">
        <v>0.0</v>
      </c>
      <c r="N8" s="12">
        <v>7.0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</row>
    <row r="9" ht="14.25" customHeight="1">
      <c r="A9" s="5" t="s">
        <v>7</v>
      </c>
      <c r="B9" s="8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2">
        <v>46.0</v>
      </c>
      <c r="I9" s="12">
        <v>0.0</v>
      </c>
      <c r="J9" s="12">
        <v>2.0</v>
      </c>
      <c r="K9" s="12">
        <v>6.0</v>
      </c>
      <c r="L9" s="12">
        <v>18.0</v>
      </c>
      <c r="M9" s="12">
        <v>26.0</v>
      </c>
      <c r="N9" s="12">
        <v>14.0</v>
      </c>
      <c r="O9" s="12">
        <v>26.0</v>
      </c>
      <c r="P9" s="12">
        <v>30.0</v>
      </c>
      <c r="Q9" s="12">
        <v>26.0</v>
      </c>
      <c r="R9" s="12">
        <v>29.0</v>
      </c>
      <c r="S9" s="12">
        <v>25.0</v>
      </c>
    </row>
    <row r="10" ht="14.25" customHeight="1">
      <c r="A10" s="5" t="s">
        <v>7</v>
      </c>
      <c r="B10" s="8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</row>
    <row r="11" ht="14.25" customHeight="1">
      <c r="A11" s="5" t="s">
        <v>7</v>
      </c>
      <c r="B11" s="8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2">
        <v>12.0</v>
      </c>
      <c r="I11" s="12">
        <v>0.0</v>
      </c>
      <c r="J11" s="12">
        <v>16.0</v>
      </c>
      <c r="K11" s="12">
        <v>13.0</v>
      </c>
      <c r="L11" s="12">
        <v>15.0</v>
      </c>
      <c r="M11" s="12">
        <v>18.0</v>
      </c>
      <c r="N11" s="12">
        <v>7.0</v>
      </c>
      <c r="O11" s="12">
        <v>7.0</v>
      </c>
      <c r="P11" s="12">
        <v>12.0</v>
      </c>
      <c r="Q11" s="12">
        <v>2.0</v>
      </c>
      <c r="R11" s="12">
        <v>11.0</v>
      </c>
      <c r="S11" s="12">
        <v>13.0</v>
      </c>
    </row>
    <row r="12" ht="14.25" customHeight="1">
      <c r="A12" s="5" t="s">
        <v>7</v>
      </c>
      <c r="B12" s="8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2">
        <v>11.0</v>
      </c>
      <c r="I12" s="12">
        <v>0.0</v>
      </c>
      <c r="J12" s="12">
        <v>14.0</v>
      </c>
      <c r="K12" s="12">
        <v>17.0</v>
      </c>
      <c r="L12" s="12">
        <v>14.0</v>
      </c>
      <c r="M12" s="12">
        <v>23.0</v>
      </c>
      <c r="N12" s="12">
        <v>10.0</v>
      </c>
      <c r="O12" s="12">
        <v>17.0</v>
      </c>
      <c r="P12" s="12">
        <v>21.0</v>
      </c>
      <c r="Q12" s="12">
        <v>7.0</v>
      </c>
      <c r="R12" s="12">
        <v>6.0</v>
      </c>
      <c r="S12" s="12">
        <v>7.0</v>
      </c>
    </row>
    <row r="13" ht="14.25" customHeight="1">
      <c r="A13" s="5" t="s">
        <v>7</v>
      </c>
      <c r="B13" s="8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2">
        <v>63.0</v>
      </c>
      <c r="I13" s="12">
        <v>0.0</v>
      </c>
      <c r="J13" s="12">
        <v>0.0</v>
      </c>
      <c r="K13" s="12">
        <v>0.0</v>
      </c>
      <c r="L13" s="12">
        <v>2.0</v>
      </c>
      <c r="M13" s="12">
        <v>17.0</v>
      </c>
      <c r="N13" s="12">
        <v>14.0</v>
      </c>
      <c r="O13" s="12">
        <v>23.0</v>
      </c>
      <c r="P13" s="12">
        <v>28.0</v>
      </c>
      <c r="Q13" s="12">
        <v>69.0</v>
      </c>
      <c r="R13" s="12">
        <v>89.0</v>
      </c>
      <c r="S13" s="12">
        <v>183.0</v>
      </c>
    </row>
    <row r="14" ht="14.25" customHeight="1">
      <c r="A14" s="5" t="s">
        <v>7</v>
      </c>
      <c r="B14" s="8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2">
        <v>1.0</v>
      </c>
      <c r="I14" s="12" t="s">
        <v>114</v>
      </c>
      <c r="J14" s="12" t="s">
        <v>115</v>
      </c>
      <c r="K14" s="12" t="s">
        <v>115</v>
      </c>
      <c r="L14" s="12" t="s">
        <v>115</v>
      </c>
      <c r="M14" s="12" t="s">
        <v>115</v>
      </c>
      <c r="N14" s="12" t="s">
        <v>115</v>
      </c>
      <c r="O14" s="12" t="s">
        <v>115</v>
      </c>
      <c r="P14" s="12">
        <v>0.0</v>
      </c>
      <c r="Q14" s="12">
        <v>0.0</v>
      </c>
      <c r="R14" s="12">
        <v>0.0</v>
      </c>
      <c r="S14" s="12">
        <v>0.0</v>
      </c>
    </row>
    <row r="15" ht="14.25" customHeight="1">
      <c r="A15" s="5" t="s">
        <v>7</v>
      </c>
      <c r="B15" s="8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2">
        <v>1.0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1.0</v>
      </c>
      <c r="Q15" s="12">
        <v>0.0</v>
      </c>
      <c r="R15" s="12">
        <v>0.0</v>
      </c>
      <c r="S15" s="12">
        <v>0.0</v>
      </c>
    </row>
    <row r="16" ht="14.25" customHeight="1">
      <c r="A16" s="5" t="s">
        <v>7</v>
      </c>
      <c r="B16" s="8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</row>
    <row r="17" ht="14.25" customHeight="1">
      <c r="A17" s="5" t="s">
        <v>7</v>
      </c>
      <c r="B17" s="8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2">
        <v>16.0</v>
      </c>
      <c r="I17" s="12">
        <v>0.0</v>
      </c>
      <c r="J17" s="12">
        <v>10.0</v>
      </c>
      <c r="K17" s="12">
        <v>10.0</v>
      </c>
      <c r="L17" s="12">
        <v>6.0</v>
      </c>
      <c r="M17" s="12">
        <v>6.0</v>
      </c>
      <c r="N17" s="12">
        <v>14.0</v>
      </c>
      <c r="O17" s="12">
        <v>16.0</v>
      </c>
      <c r="P17" s="12">
        <v>10.0</v>
      </c>
      <c r="Q17" s="12">
        <v>14.0</v>
      </c>
      <c r="R17" s="12">
        <v>15.0</v>
      </c>
      <c r="S17" s="12">
        <v>16.0</v>
      </c>
    </row>
    <row r="18" ht="14.25" customHeight="1">
      <c r="A18" s="5" t="s">
        <v>7</v>
      </c>
      <c r="B18" s="8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2">
        <v>0.0</v>
      </c>
      <c r="I18" s="12">
        <v>0.0</v>
      </c>
      <c r="J18" s="12">
        <v>1.0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</row>
    <row r="19" ht="14.25" customHeight="1">
      <c r="A19" s="5" t="s">
        <v>7</v>
      </c>
      <c r="B19" s="8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2">
        <v>19.0</v>
      </c>
      <c r="I19" s="12">
        <v>0.0</v>
      </c>
      <c r="J19" s="12">
        <v>14.0</v>
      </c>
      <c r="K19" s="12">
        <v>15.0</v>
      </c>
      <c r="L19" s="12">
        <v>15.0</v>
      </c>
      <c r="M19" s="12">
        <v>50.0</v>
      </c>
      <c r="N19" s="12">
        <v>18.0</v>
      </c>
      <c r="O19" s="12">
        <v>21.0</v>
      </c>
      <c r="P19" s="12">
        <v>20.0</v>
      </c>
      <c r="Q19" s="12">
        <v>28.0</v>
      </c>
      <c r="R19" s="12">
        <v>19.0</v>
      </c>
      <c r="S19" s="12">
        <v>23.0</v>
      </c>
    </row>
    <row r="20" ht="14.25" customHeight="1">
      <c r="A20" s="5" t="s">
        <v>7</v>
      </c>
      <c r="B20" s="8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2">
        <v>5.0</v>
      </c>
      <c r="I20" s="12">
        <v>0.0</v>
      </c>
      <c r="J20" s="12">
        <v>21.0</v>
      </c>
      <c r="K20" s="12">
        <v>11.0</v>
      </c>
      <c r="L20" s="12">
        <v>34.0</v>
      </c>
      <c r="M20" s="12">
        <v>20.0</v>
      </c>
      <c r="N20" s="12">
        <v>23.0</v>
      </c>
      <c r="O20" s="12">
        <v>6.0</v>
      </c>
      <c r="P20" s="12">
        <v>1.0</v>
      </c>
      <c r="Q20" s="12">
        <v>4.0</v>
      </c>
      <c r="R20" s="12">
        <v>16.0</v>
      </c>
      <c r="S20" s="12">
        <v>8.0</v>
      </c>
    </row>
    <row r="21" ht="14.25" customHeight="1">
      <c r="A21" s="5" t="s">
        <v>7</v>
      </c>
      <c r="B21" s="8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2">
        <v>94.0</v>
      </c>
      <c r="I21" s="12">
        <v>0.0</v>
      </c>
      <c r="J21" s="12">
        <v>114.0</v>
      </c>
      <c r="K21" s="12">
        <v>114.0</v>
      </c>
      <c r="L21" s="12">
        <v>84.0</v>
      </c>
      <c r="M21" s="12">
        <v>92.0</v>
      </c>
      <c r="N21" s="12">
        <v>75.0</v>
      </c>
      <c r="O21" s="12">
        <v>89.0</v>
      </c>
      <c r="P21" s="12">
        <v>94.0</v>
      </c>
      <c r="Q21" s="12">
        <v>105.0</v>
      </c>
      <c r="R21" s="12">
        <v>89.0</v>
      </c>
      <c r="S21" s="12">
        <v>87.0</v>
      </c>
    </row>
    <row r="22" ht="14.25" customHeight="1">
      <c r="A22" s="5" t="s">
        <v>7</v>
      </c>
      <c r="B22" s="8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2">
        <v>16.0</v>
      </c>
      <c r="I22" s="12">
        <v>0.0</v>
      </c>
      <c r="J22" s="12">
        <v>19.0</v>
      </c>
      <c r="K22" s="12">
        <v>18.0</v>
      </c>
      <c r="L22" s="12">
        <v>9.0</v>
      </c>
      <c r="M22" s="12">
        <v>17.0</v>
      </c>
      <c r="N22" s="12">
        <v>6.0</v>
      </c>
      <c r="O22" s="12">
        <v>11.0</v>
      </c>
      <c r="P22" s="12">
        <v>9.0</v>
      </c>
      <c r="Q22" s="12">
        <v>10.0</v>
      </c>
      <c r="R22" s="12">
        <v>6.0</v>
      </c>
      <c r="S22" s="12">
        <v>14.0</v>
      </c>
    </row>
    <row r="23" ht="14.25" customHeight="1">
      <c r="A23" s="5" t="s">
        <v>7</v>
      </c>
      <c r="B23" s="8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2">
        <v>35.0</v>
      </c>
      <c r="I23" s="12">
        <v>0.0</v>
      </c>
      <c r="J23" s="12">
        <v>86.0</v>
      </c>
      <c r="K23" s="12">
        <v>75.0</v>
      </c>
      <c r="L23" s="12">
        <v>41.0</v>
      </c>
      <c r="M23" s="12">
        <v>79.0</v>
      </c>
      <c r="N23" s="12">
        <v>23.0</v>
      </c>
      <c r="O23" s="12">
        <v>32.0</v>
      </c>
      <c r="P23" s="12">
        <v>37.0</v>
      </c>
      <c r="Q23" s="12">
        <v>47.0</v>
      </c>
      <c r="R23" s="12">
        <v>65.0</v>
      </c>
      <c r="S23" s="12">
        <v>60.0</v>
      </c>
    </row>
    <row r="24" ht="14.25" customHeight="1">
      <c r="A24" s="5" t="s">
        <v>7</v>
      </c>
      <c r="B24" s="8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2">
        <v>22.0</v>
      </c>
      <c r="I24" s="12">
        <v>0.0</v>
      </c>
      <c r="J24" s="12">
        <v>26.0</v>
      </c>
      <c r="K24" s="12">
        <v>10.0</v>
      </c>
      <c r="L24" s="12">
        <v>21.0</v>
      </c>
      <c r="M24" s="12">
        <v>17.0</v>
      </c>
      <c r="N24" s="12">
        <v>1.0</v>
      </c>
      <c r="O24" s="12">
        <v>2.0</v>
      </c>
      <c r="P24" s="12">
        <v>0.0</v>
      </c>
      <c r="Q24" s="12">
        <v>8.0</v>
      </c>
      <c r="R24" s="12">
        <v>13.0</v>
      </c>
      <c r="S24" s="12">
        <v>13.0</v>
      </c>
    </row>
    <row r="25" ht="14.25" customHeight="1">
      <c r="A25" s="5" t="s">
        <v>7</v>
      </c>
      <c r="B25" s="8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</row>
    <row r="26" ht="14.25" customHeight="1">
      <c r="A26" s="5" t="s">
        <v>7</v>
      </c>
      <c r="B26" s="8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2">
        <v>0.0</v>
      </c>
      <c r="I26" s="12">
        <v>0.0</v>
      </c>
      <c r="J26" s="12">
        <v>1.0</v>
      </c>
      <c r="K26" s="12">
        <v>1.0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1.0</v>
      </c>
      <c r="S26" s="12">
        <v>0.0</v>
      </c>
    </row>
    <row r="27" ht="14.25" customHeight="1">
      <c r="A27" s="5" t="s">
        <v>7</v>
      </c>
      <c r="B27" s="8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2">
        <v>35.0</v>
      </c>
      <c r="I27" s="12">
        <v>0.0</v>
      </c>
      <c r="J27" s="12">
        <v>0.0</v>
      </c>
      <c r="K27" s="12">
        <v>0.0</v>
      </c>
      <c r="L27" s="12">
        <v>4.0</v>
      </c>
      <c r="M27" s="12">
        <v>13.0</v>
      </c>
      <c r="N27" s="12">
        <v>3.0</v>
      </c>
      <c r="O27" s="12">
        <v>7.0</v>
      </c>
      <c r="P27" s="12">
        <v>9.0</v>
      </c>
      <c r="Q27" s="12">
        <v>11.0</v>
      </c>
      <c r="R27" s="12">
        <v>14.0</v>
      </c>
      <c r="S27" s="12">
        <v>14.0</v>
      </c>
    </row>
    <row r="28" ht="14.25" customHeight="1">
      <c r="A28" s="5" t="s">
        <v>7</v>
      </c>
      <c r="B28" s="8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2">
        <v>1.0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1.0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</row>
    <row r="29" ht="14.25" customHeight="1">
      <c r="A29" s="5" t="s">
        <v>7</v>
      </c>
      <c r="B29" s="8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2">
        <v>4.0</v>
      </c>
      <c r="I29" s="12">
        <v>0.0</v>
      </c>
      <c r="J29" s="12">
        <v>0.0</v>
      </c>
      <c r="K29" s="12">
        <v>0.0</v>
      </c>
      <c r="L29" s="12">
        <v>1.0</v>
      </c>
      <c r="M29" s="12">
        <v>3.0</v>
      </c>
      <c r="N29" s="12">
        <v>1.0</v>
      </c>
      <c r="O29" s="12">
        <v>0.0</v>
      </c>
      <c r="P29" s="12">
        <v>5.0</v>
      </c>
      <c r="Q29" s="12">
        <v>5.0</v>
      </c>
      <c r="R29" s="12">
        <v>6.0</v>
      </c>
      <c r="S29" s="12">
        <v>2.0</v>
      </c>
    </row>
    <row r="30" ht="14.25" customHeight="1">
      <c r="A30" s="5" t="s">
        <v>7</v>
      </c>
      <c r="B30" s="8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2">
        <v>14.0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1.0</v>
      </c>
      <c r="O30" s="12">
        <v>0.0</v>
      </c>
      <c r="P30" s="12">
        <v>4.0</v>
      </c>
      <c r="Q30" s="12">
        <v>8.0</v>
      </c>
      <c r="R30" s="12">
        <v>8.0</v>
      </c>
      <c r="S30" s="12">
        <v>5.0</v>
      </c>
    </row>
    <row r="31" ht="14.25" customHeight="1">
      <c r="A31" s="5" t="s">
        <v>7</v>
      </c>
      <c r="B31" s="8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2">
        <v>130.0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9.0</v>
      </c>
      <c r="O31" s="12">
        <v>47.0</v>
      </c>
      <c r="P31" s="12">
        <v>56.0</v>
      </c>
      <c r="Q31" s="12">
        <v>181.0</v>
      </c>
      <c r="R31" s="12">
        <v>136.0</v>
      </c>
      <c r="S31" s="12">
        <v>178.0</v>
      </c>
    </row>
    <row r="32" ht="14.25" customHeight="1">
      <c r="A32" s="5" t="s">
        <v>7</v>
      </c>
      <c r="B32" s="8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</row>
    <row r="33" ht="14.25" customHeight="1">
      <c r="A33" s="5" t="s">
        <v>7</v>
      </c>
      <c r="B33" s="8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2">
        <v>48.0</v>
      </c>
      <c r="I33" s="12">
        <v>0.0</v>
      </c>
      <c r="J33" s="12">
        <v>56.0</v>
      </c>
      <c r="K33" s="12">
        <v>56.0</v>
      </c>
      <c r="L33" s="12">
        <v>43.0</v>
      </c>
      <c r="M33" s="12">
        <v>26.0</v>
      </c>
      <c r="N33" s="12">
        <v>46.0</v>
      </c>
      <c r="O33" s="12">
        <v>27.0</v>
      </c>
      <c r="P33" s="12">
        <v>27.0</v>
      </c>
      <c r="Q33" s="12">
        <v>23.0</v>
      </c>
      <c r="R33" s="12">
        <v>21.0</v>
      </c>
      <c r="S33" s="12">
        <v>28.0</v>
      </c>
    </row>
    <row r="34" ht="14.25" customHeight="1">
      <c r="A34" s="5" t="s">
        <v>7</v>
      </c>
      <c r="B34" s="8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2">
        <v>0.0</v>
      </c>
      <c r="I34" s="12">
        <v>0.0</v>
      </c>
      <c r="J34" s="12">
        <v>1.0</v>
      </c>
      <c r="K34" s="12">
        <v>0.0</v>
      </c>
      <c r="L34" s="12">
        <v>1.0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0.0</v>
      </c>
      <c r="S34" s="12">
        <v>0.0</v>
      </c>
    </row>
    <row r="35" ht="14.25" customHeight="1">
      <c r="A35" s="5" t="s">
        <v>7</v>
      </c>
      <c r="B35" s="8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2">
        <v>0.0</v>
      </c>
      <c r="I35" s="12">
        <v>0.0</v>
      </c>
      <c r="J35" s="12">
        <v>8.0</v>
      </c>
      <c r="K35" s="12">
        <v>9.0</v>
      </c>
      <c r="L35" s="12">
        <v>7.0</v>
      </c>
      <c r="M35" s="12">
        <v>5.0</v>
      </c>
      <c r="N35" s="12">
        <v>6.0</v>
      </c>
      <c r="O35" s="12">
        <v>6.0</v>
      </c>
      <c r="P35" s="12">
        <v>8.0</v>
      </c>
      <c r="Q35" s="12">
        <v>2.0</v>
      </c>
      <c r="R35" s="12">
        <v>2.0</v>
      </c>
      <c r="S35" s="12">
        <v>0.0</v>
      </c>
    </row>
    <row r="36" ht="14.25" customHeight="1">
      <c r="A36" s="5" t="s">
        <v>7</v>
      </c>
      <c r="B36" s="8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2">
        <v>0.0</v>
      </c>
      <c r="I36" s="12">
        <v>0.0</v>
      </c>
      <c r="J36" s="12">
        <v>5.0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0.0</v>
      </c>
      <c r="R36" s="12">
        <v>0.0</v>
      </c>
      <c r="S36" s="12">
        <v>0.0</v>
      </c>
    </row>
    <row r="37" ht="14.25" customHeight="1">
      <c r="A37" s="5" t="s">
        <v>7</v>
      </c>
      <c r="B37" s="8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2">
        <v>17.0</v>
      </c>
      <c r="I37" s="12">
        <v>0.0</v>
      </c>
      <c r="J37" s="12">
        <v>10.0</v>
      </c>
      <c r="K37" s="12">
        <v>16.0</v>
      </c>
      <c r="L37" s="12">
        <v>19.0</v>
      </c>
      <c r="M37" s="12">
        <v>17.0</v>
      </c>
      <c r="N37" s="12">
        <v>16.0</v>
      </c>
      <c r="O37" s="12">
        <v>0.0</v>
      </c>
      <c r="P37" s="12">
        <v>28.0</v>
      </c>
      <c r="Q37" s="12">
        <v>5.0</v>
      </c>
      <c r="R37" s="12">
        <v>10.0</v>
      </c>
      <c r="S37" s="12">
        <v>15.0</v>
      </c>
    </row>
    <row r="38" ht="14.25" customHeight="1">
      <c r="A38" s="5" t="s">
        <v>7</v>
      </c>
      <c r="B38" s="8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2">
        <v>0.0</v>
      </c>
      <c r="I38" s="12">
        <v>0.0</v>
      </c>
      <c r="J38" s="12">
        <v>0.0</v>
      </c>
      <c r="K38" s="12">
        <v>1.0</v>
      </c>
      <c r="L38" s="12">
        <v>1.0</v>
      </c>
      <c r="M38" s="12">
        <v>1.0</v>
      </c>
      <c r="N38" s="12">
        <v>1.0</v>
      </c>
      <c r="O38" s="12">
        <v>0.0</v>
      </c>
      <c r="P38" s="12">
        <v>0.0</v>
      </c>
      <c r="Q38" s="12">
        <v>0.0</v>
      </c>
      <c r="R38" s="12">
        <v>0.0</v>
      </c>
      <c r="S38" s="12">
        <v>0.0</v>
      </c>
    </row>
    <row r="39" ht="14.25" customHeight="1">
      <c r="A39" s="5" t="s">
        <v>7</v>
      </c>
      <c r="B39" s="8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2">
        <v>8.0</v>
      </c>
      <c r="I39" s="12">
        <v>0.0</v>
      </c>
      <c r="J39" s="12">
        <v>12.0</v>
      </c>
      <c r="K39" s="12">
        <v>13.0</v>
      </c>
      <c r="L39" s="12">
        <v>12.0</v>
      </c>
      <c r="M39" s="12">
        <v>4.0</v>
      </c>
      <c r="N39" s="12">
        <v>4.0</v>
      </c>
      <c r="O39" s="12">
        <v>3.0</v>
      </c>
      <c r="P39" s="12">
        <v>4.0</v>
      </c>
      <c r="Q39" s="12">
        <v>4.0</v>
      </c>
      <c r="R39" s="12">
        <v>5.0</v>
      </c>
      <c r="S39" s="12">
        <v>9.0</v>
      </c>
    </row>
    <row r="40" ht="14.25" customHeight="1">
      <c r="A40" s="5" t="s">
        <v>7</v>
      </c>
      <c r="B40" s="8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2">
        <v>0.0</v>
      </c>
      <c r="I40" s="12">
        <v>0.0</v>
      </c>
      <c r="J40" s="12">
        <v>0.0</v>
      </c>
      <c r="K40" s="12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0.0</v>
      </c>
      <c r="Q40" s="12">
        <v>0.0</v>
      </c>
      <c r="R40" s="12">
        <v>0.0</v>
      </c>
      <c r="S40" s="12">
        <v>0.0</v>
      </c>
    </row>
    <row r="41" ht="14.25" customHeight="1">
      <c r="A41" s="5" t="s">
        <v>7</v>
      </c>
      <c r="B41" s="8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2">
        <v>0.0</v>
      </c>
      <c r="I41" s="12" t="s">
        <v>114</v>
      </c>
      <c r="J41" s="12" t="s">
        <v>115</v>
      </c>
      <c r="K41" s="12" t="s">
        <v>115</v>
      </c>
      <c r="L41" s="12" t="s">
        <v>115</v>
      </c>
      <c r="M41" s="12" t="s">
        <v>115</v>
      </c>
      <c r="N41" s="12" t="s">
        <v>115</v>
      </c>
      <c r="O41" s="12" t="s">
        <v>115</v>
      </c>
      <c r="P41" s="12">
        <v>0.0</v>
      </c>
      <c r="Q41" s="12">
        <v>0.0</v>
      </c>
      <c r="R41" s="12">
        <v>0.0</v>
      </c>
      <c r="S41" s="12">
        <v>0.0</v>
      </c>
    </row>
    <row r="42" ht="14.25" customHeight="1">
      <c r="A42" s="5" t="s">
        <v>7</v>
      </c>
      <c r="B42" s="8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2">
        <v>7.0</v>
      </c>
      <c r="I42" s="12">
        <v>0.0</v>
      </c>
      <c r="J42" s="12">
        <v>24.0</v>
      </c>
      <c r="K42" s="12">
        <v>26.0</v>
      </c>
      <c r="L42" s="12">
        <v>48.0</v>
      </c>
      <c r="M42" s="12">
        <v>23.0</v>
      </c>
      <c r="N42" s="12">
        <v>4.0</v>
      </c>
      <c r="O42" s="12">
        <v>11.0</v>
      </c>
      <c r="P42" s="12">
        <v>9.0</v>
      </c>
      <c r="Q42" s="12">
        <v>7.0</v>
      </c>
      <c r="R42" s="12">
        <v>11.0</v>
      </c>
      <c r="S42" s="12">
        <v>16.0</v>
      </c>
    </row>
    <row r="43" ht="14.25" customHeight="1">
      <c r="A43" s="5" t="s">
        <v>7</v>
      </c>
      <c r="B43" s="8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2">
        <v>1.0</v>
      </c>
      <c r="I43" s="12">
        <v>0.0</v>
      </c>
      <c r="J43" s="12">
        <v>2.0</v>
      </c>
      <c r="K43" s="12">
        <v>6.0</v>
      </c>
      <c r="L43" s="12">
        <v>4.0</v>
      </c>
      <c r="M43" s="12">
        <v>1.0</v>
      </c>
      <c r="N43" s="12">
        <v>0.0</v>
      </c>
      <c r="O43" s="12">
        <v>2.0</v>
      </c>
      <c r="P43" s="12">
        <v>0.0</v>
      </c>
      <c r="Q43" s="12">
        <v>3.0</v>
      </c>
      <c r="R43" s="12">
        <v>1.0</v>
      </c>
      <c r="S43" s="12">
        <v>2.0</v>
      </c>
    </row>
    <row r="44" ht="14.25" customHeight="1">
      <c r="A44" s="5" t="s">
        <v>7</v>
      </c>
      <c r="B44" s="8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2">
        <v>1.0</v>
      </c>
      <c r="I44" s="12">
        <v>0.0</v>
      </c>
      <c r="J44" s="12">
        <v>9.0</v>
      </c>
      <c r="K44" s="12">
        <v>1.0</v>
      </c>
      <c r="L44" s="12">
        <v>3.0</v>
      </c>
      <c r="M44" s="12">
        <v>3.0</v>
      </c>
      <c r="N44" s="12">
        <v>23.0</v>
      </c>
      <c r="O44" s="12">
        <v>3.0</v>
      </c>
      <c r="P44" s="12">
        <v>23.0</v>
      </c>
      <c r="Q44" s="12">
        <v>0.0</v>
      </c>
      <c r="R44" s="12">
        <v>1.0</v>
      </c>
      <c r="S44" s="12">
        <v>2.0</v>
      </c>
    </row>
    <row r="45" ht="14.25" customHeight="1">
      <c r="A45" s="5" t="s">
        <v>7</v>
      </c>
      <c r="B45" s="8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  <c r="M45" s="12">
        <v>0.0</v>
      </c>
      <c r="N45" s="12">
        <v>0.0</v>
      </c>
      <c r="O45" s="12">
        <v>0.0</v>
      </c>
      <c r="P45" s="12">
        <v>0.0</v>
      </c>
      <c r="Q45" s="12">
        <v>0.0</v>
      </c>
      <c r="R45" s="12">
        <v>0.0</v>
      </c>
      <c r="S45" s="12">
        <v>0.0</v>
      </c>
    </row>
    <row r="46" ht="14.25" customHeight="1">
      <c r="A46" s="5" t="s">
        <v>7</v>
      </c>
      <c r="B46" s="8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2">
        <v>0.0</v>
      </c>
      <c r="I46" s="12">
        <v>0.0</v>
      </c>
      <c r="J46" s="12">
        <v>0.0</v>
      </c>
      <c r="K46" s="12">
        <v>0.0</v>
      </c>
      <c r="L46" s="12">
        <v>0.0</v>
      </c>
      <c r="M46" s="12">
        <v>0.0</v>
      </c>
      <c r="N46" s="12">
        <v>0.0</v>
      </c>
      <c r="O46" s="12">
        <v>0.0</v>
      </c>
      <c r="P46" s="12">
        <v>0.0</v>
      </c>
      <c r="Q46" s="12">
        <v>0.0</v>
      </c>
      <c r="R46" s="12">
        <v>1.0</v>
      </c>
      <c r="S46" s="12">
        <v>2.0</v>
      </c>
    </row>
    <row r="47" ht="14.25" customHeight="1">
      <c r="A47" s="5" t="s">
        <v>7</v>
      </c>
      <c r="B47" s="8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  <c r="M47" s="12">
        <v>0.0</v>
      </c>
      <c r="N47" s="12">
        <v>0.0</v>
      </c>
      <c r="O47" s="12">
        <v>0.0</v>
      </c>
      <c r="P47" s="12">
        <v>0.0</v>
      </c>
      <c r="Q47" s="12">
        <v>0.0</v>
      </c>
      <c r="R47" s="12">
        <v>0.0</v>
      </c>
      <c r="S47" s="12">
        <v>0.0</v>
      </c>
    </row>
    <row r="48" ht="14.25" customHeight="1">
      <c r="A48" s="5" t="s">
        <v>7</v>
      </c>
      <c r="B48" s="8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  <c r="Q48" s="12">
        <v>0.0</v>
      </c>
      <c r="R48" s="12">
        <v>0.0</v>
      </c>
      <c r="S48" s="12">
        <v>0.0</v>
      </c>
    </row>
    <row r="49" ht="14.25" customHeight="1">
      <c r="A49" s="5" t="s">
        <v>7</v>
      </c>
      <c r="B49" s="8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2">
        <v>126.0</v>
      </c>
      <c r="I49" s="12">
        <v>0.0</v>
      </c>
      <c r="J49" s="12">
        <v>164.0</v>
      </c>
      <c r="K49" s="12">
        <v>206.0</v>
      </c>
      <c r="L49" s="12">
        <v>288.0</v>
      </c>
      <c r="M49" s="12">
        <v>161.0</v>
      </c>
      <c r="N49" s="12">
        <v>103.0</v>
      </c>
      <c r="O49" s="12">
        <v>50.0</v>
      </c>
      <c r="P49" s="12">
        <v>114.0</v>
      </c>
      <c r="Q49" s="12">
        <v>68.0</v>
      </c>
      <c r="R49" s="12">
        <v>123.0</v>
      </c>
      <c r="S49" s="12">
        <v>195.0</v>
      </c>
    </row>
    <row r="50" ht="14.25" customHeight="1">
      <c r="A50" s="5" t="s">
        <v>7</v>
      </c>
      <c r="B50" s="8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2">
        <v>22.0</v>
      </c>
      <c r="I50" s="12">
        <v>0.0</v>
      </c>
      <c r="J50" s="12">
        <v>20.0</v>
      </c>
      <c r="K50" s="12">
        <v>15.0</v>
      </c>
      <c r="L50" s="12">
        <v>37.0</v>
      </c>
      <c r="M50" s="12">
        <v>29.0</v>
      </c>
      <c r="N50" s="12">
        <v>0.0</v>
      </c>
      <c r="O50" s="12">
        <v>26.0</v>
      </c>
      <c r="P50" s="12">
        <v>18.0</v>
      </c>
      <c r="Q50" s="12">
        <v>18.0</v>
      </c>
      <c r="R50" s="12">
        <v>34.0</v>
      </c>
      <c r="S50" s="12">
        <v>31.0</v>
      </c>
    </row>
    <row r="51" ht="14.25" customHeight="1">
      <c r="A51" s="5" t="s">
        <v>7</v>
      </c>
      <c r="B51" s="8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2">
        <v>0.0</v>
      </c>
      <c r="I51" s="12">
        <v>0.0</v>
      </c>
      <c r="J51" s="12">
        <v>3.0</v>
      </c>
      <c r="K51" s="12">
        <v>3.0</v>
      </c>
      <c r="L51" s="12">
        <v>0.0</v>
      </c>
      <c r="M51" s="12">
        <v>0.0</v>
      </c>
      <c r="N51" s="12">
        <v>0.0</v>
      </c>
      <c r="O51" s="12">
        <v>0.0</v>
      </c>
      <c r="P51" s="12">
        <v>0.0</v>
      </c>
      <c r="Q51" s="12">
        <v>0.0</v>
      </c>
      <c r="R51" s="12">
        <v>0.0</v>
      </c>
      <c r="S51" s="12">
        <v>0.0</v>
      </c>
    </row>
    <row r="52" ht="14.25" customHeight="1">
      <c r="A52" s="5" t="s">
        <v>7</v>
      </c>
      <c r="B52" s="8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2">
        <v>40.0</v>
      </c>
      <c r="I52" s="12">
        <v>0.0</v>
      </c>
      <c r="J52" s="12">
        <v>0.0</v>
      </c>
      <c r="K52" s="12">
        <v>16.0</v>
      </c>
      <c r="L52" s="12">
        <v>13.0</v>
      </c>
      <c r="M52" s="12">
        <v>54.0</v>
      </c>
      <c r="N52" s="12">
        <v>23.0</v>
      </c>
      <c r="O52" s="12">
        <v>32.0</v>
      </c>
      <c r="P52" s="12">
        <v>35.0</v>
      </c>
      <c r="Q52" s="12">
        <v>39.0</v>
      </c>
      <c r="R52" s="12">
        <v>28.0</v>
      </c>
      <c r="S52" s="12">
        <v>34.0</v>
      </c>
    </row>
    <row r="53" ht="14.25" customHeight="1">
      <c r="A53" s="5" t="s">
        <v>7</v>
      </c>
      <c r="B53" s="8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2">
        <v>2.0</v>
      </c>
      <c r="I53" s="12">
        <v>0.0</v>
      </c>
      <c r="J53" s="12">
        <v>3.0</v>
      </c>
      <c r="K53" s="12">
        <v>7.0</v>
      </c>
      <c r="L53" s="12">
        <v>0.0</v>
      </c>
      <c r="M53" s="12">
        <v>2.0</v>
      </c>
      <c r="N53" s="12">
        <v>3.0</v>
      </c>
      <c r="O53" s="12">
        <v>2.0</v>
      </c>
      <c r="P53" s="12">
        <v>0.0</v>
      </c>
      <c r="Q53" s="12">
        <v>4.0</v>
      </c>
      <c r="R53" s="12">
        <v>0.0</v>
      </c>
      <c r="S53" s="12">
        <v>1.0</v>
      </c>
    </row>
    <row r="54" ht="14.25" customHeight="1">
      <c r="A54" s="5" t="s">
        <v>7</v>
      </c>
      <c r="B54" s="8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2">
        <v>0.0</v>
      </c>
      <c r="I54" s="12">
        <v>0.0</v>
      </c>
      <c r="J54" s="12">
        <v>4.0</v>
      </c>
      <c r="K54" s="12">
        <v>1.0</v>
      </c>
      <c r="L54" s="12">
        <v>0.0</v>
      </c>
      <c r="M54" s="12">
        <v>1.0</v>
      </c>
      <c r="N54" s="12">
        <v>0.0</v>
      </c>
      <c r="O54" s="12">
        <v>0.0</v>
      </c>
      <c r="P54" s="12">
        <v>1.0</v>
      </c>
      <c r="Q54" s="12">
        <v>0.0</v>
      </c>
      <c r="R54" s="12">
        <v>0.0</v>
      </c>
      <c r="S54" s="12">
        <v>1.0</v>
      </c>
    </row>
    <row r="55" ht="14.25" customHeight="1">
      <c r="A55" s="5" t="s">
        <v>7</v>
      </c>
      <c r="B55" s="8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2">
        <v>0.0</v>
      </c>
      <c r="I55" s="12">
        <v>0.0</v>
      </c>
      <c r="J55" s="12">
        <v>20.0</v>
      </c>
      <c r="K55" s="12">
        <v>13.0</v>
      </c>
      <c r="L55" s="12">
        <v>20.0</v>
      </c>
      <c r="M55" s="12">
        <v>17.0</v>
      </c>
      <c r="N55" s="12">
        <v>13.0</v>
      </c>
      <c r="O55" s="12">
        <v>6.0</v>
      </c>
      <c r="P55" s="12">
        <v>29.0</v>
      </c>
      <c r="Q55" s="12">
        <v>9.0</v>
      </c>
      <c r="R55" s="12">
        <v>15.0</v>
      </c>
      <c r="S55" s="12">
        <v>0.0</v>
      </c>
    </row>
    <row r="56" ht="14.25" customHeight="1">
      <c r="A56" s="5" t="s">
        <v>7</v>
      </c>
      <c r="B56" s="8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2">
        <v>0.0</v>
      </c>
      <c r="I56" s="12">
        <v>0.0</v>
      </c>
      <c r="J56" s="12">
        <v>0.0</v>
      </c>
      <c r="K56" s="12">
        <v>0.0</v>
      </c>
      <c r="L56" s="12">
        <v>0.0</v>
      </c>
      <c r="M56" s="12">
        <v>0.0</v>
      </c>
      <c r="N56" s="12">
        <v>0.0</v>
      </c>
      <c r="O56" s="12">
        <v>0.0</v>
      </c>
      <c r="P56" s="12">
        <v>0.0</v>
      </c>
      <c r="Q56" s="12">
        <v>0.0</v>
      </c>
      <c r="R56" s="12">
        <v>0.0</v>
      </c>
      <c r="S56" s="12">
        <v>0.0</v>
      </c>
    </row>
    <row r="57" ht="14.25" customHeight="1">
      <c r="A57" s="5" t="s">
        <v>7</v>
      </c>
      <c r="B57" s="8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  <c r="M57" s="12">
        <v>0.0</v>
      </c>
      <c r="N57" s="12">
        <v>0.0</v>
      </c>
      <c r="O57" s="12">
        <v>0.0</v>
      </c>
      <c r="P57" s="12">
        <v>0.0</v>
      </c>
      <c r="Q57" s="12">
        <v>0.0</v>
      </c>
      <c r="R57" s="12">
        <v>0.0</v>
      </c>
      <c r="S57" s="12">
        <v>0.0</v>
      </c>
    </row>
    <row r="58" ht="14.25" customHeight="1"/>
    <row r="59" ht="14.25" customHeight="1"/>
    <row r="60" ht="14.25" customHeight="1"/>
    <row r="61" ht="14.25" customHeight="1">
      <c r="G61" s="7" t="s">
        <v>116</v>
      </c>
    </row>
    <row r="62" ht="14.25" customHeight="1">
      <c r="G62" s="7" t="s">
        <v>117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8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2">
        <v>7.0</v>
      </c>
      <c r="I2" s="12">
        <v>0.0</v>
      </c>
      <c r="J2" s="12">
        <v>9.0</v>
      </c>
      <c r="K2" s="12">
        <v>351.0</v>
      </c>
      <c r="L2" s="12">
        <v>38.0</v>
      </c>
      <c r="M2" s="12">
        <v>31.0</v>
      </c>
      <c r="N2" s="12">
        <v>0.0</v>
      </c>
      <c r="O2" s="12">
        <v>23.0</v>
      </c>
      <c r="P2" s="12">
        <v>17.0</v>
      </c>
      <c r="Q2" s="12">
        <v>0.0</v>
      </c>
      <c r="R2" s="12">
        <v>24.0</v>
      </c>
      <c r="S2" s="12">
        <v>25.0</v>
      </c>
    </row>
    <row r="3" ht="14.25" customHeight="1">
      <c r="A3" s="5" t="s">
        <v>7</v>
      </c>
      <c r="B3" s="8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2">
        <v>9.0</v>
      </c>
      <c r="I3" s="12">
        <v>0.0</v>
      </c>
      <c r="J3" s="12">
        <v>9.0</v>
      </c>
      <c r="K3" s="12">
        <v>10.0</v>
      </c>
      <c r="L3" s="12">
        <v>0.0</v>
      </c>
      <c r="M3" s="12">
        <v>6.0</v>
      </c>
      <c r="N3" s="12">
        <v>3.0</v>
      </c>
      <c r="O3" s="12">
        <v>3.0</v>
      </c>
      <c r="P3" s="12">
        <v>9.0</v>
      </c>
      <c r="Q3" s="12">
        <v>2.0</v>
      </c>
      <c r="R3" s="12">
        <v>1.0</v>
      </c>
      <c r="S3" s="12">
        <v>5.0</v>
      </c>
    </row>
    <row r="4" ht="14.25" customHeight="1">
      <c r="A4" s="5" t="s">
        <v>7</v>
      </c>
      <c r="B4" s="8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2">
        <v>2.0</v>
      </c>
      <c r="I4" s="12">
        <v>0.0</v>
      </c>
      <c r="J4" s="12">
        <v>2.0</v>
      </c>
      <c r="K4" s="12">
        <v>0.0</v>
      </c>
      <c r="L4" s="12">
        <v>1.0</v>
      </c>
      <c r="M4" s="12">
        <v>5.0</v>
      </c>
      <c r="N4" s="12">
        <v>1.0</v>
      </c>
      <c r="O4" s="12">
        <v>1.0</v>
      </c>
      <c r="P4" s="12">
        <v>0.0</v>
      </c>
      <c r="Q4" s="12">
        <v>1.0</v>
      </c>
      <c r="R4" s="12">
        <v>0.0</v>
      </c>
      <c r="S4" s="12">
        <v>2.0</v>
      </c>
    </row>
    <row r="5" ht="14.25" customHeight="1">
      <c r="A5" s="5" t="s">
        <v>7</v>
      </c>
      <c r="B5" s="8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2">
        <v>0.0</v>
      </c>
      <c r="I5" s="12">
        <v>0.0</v>
      </c>
      <c r="J5" s="12">
        <v>0.0</v>
      </c>
      <c r="K5" s="12">
        <v>1.0</v>
      </c>
      <c r="L5" s="12">
        <v>0.0</v>
      </c>
      <c r="M5" s="12">
        <v>0.0</v>
      </c>
      <c r="N5" s="12">
        <v>1.0</v>
      </c>
      <c r="O5" s="12">
        <v>0.0</v>
      </c>
      <c r="P5" s="12">
        <v>0.0</v>
      </c>
      <c r="Q5" s="12">
        <v>0.0</v>
      </c>
      <c r="R5" s="12">
        <v>0.0</v>
      </c>
      <c r="S5" s="12">
        <v>1.0</v>
      </c>
    </row>
    <row r="6" ht="14.25" customHeight="1">
      <c r="A6" s="5" t="s">
        <v>7</v>
      </c>
      <c r="B6" s="8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2">
        <v>0.0</v>
      </c>
      <c r="I6" s="12">
        <v>0.0</v>
      </c>
      <c r="J6" s="12">
        <v>10.0</v>
      </c>
      <c r="K6" s="12">
        <v>12.0</v>
      </c>
      <c r="L6" s="12">
        <v>12.0</v>
      </c>
      <c r="M6" s="12">
        <v>11.0</v>
      </c>
      <c r="N6" s="12">
        <v>6.0</v>
      </c>
      <c r="O6" s="12">
        <v>7.0</v>
      </c>
      <c r="P6" s="12">
        <v>2.0</v>
      </c>
      <c r="Q6" s="12">
        <v>3.0</v>
      </c>
      <c r="R6" s="12">
        <v>0.0</v>
      </c>
      <c r="S6" s="12">
        <v>0.0</v>
      </c>
    </row>
    <row r="7" ht="14.25" customHeight="1">
      <c r="A7" s="5" t="s">
        <v>7</v>
      </c>
      <c r="B7" s="8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2">
        <v>0.0</v>
      </c>
      <c r="I7" s="12">
        <v>0.0</v>
      </c>
      <c r="J7" s="12">
        <v>3.0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</row>
    <row r="8" ht="14.25" customHeight="1">
      <c r="A8" s="5" t="s">
        <v>7</v>
      </c>
      <c r="B8" s="8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2">
        <v>0.0</v>
      </c>
      <c r="I8" s="12">
        <v>0.0</v>
      </c>
      <c r="J8" s="12">
        <v>0.0</v>
      </c>
      <c r="K8" s="12">
        <v>0.0</v>
      </c>
      <c r="L8" s="12">
        <v>0.0</v>
      </c>
      <c r="M8" s="12">
        <v>0.0</v>
      </c>
      <c r="N8" s="12">
        <v>3.0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</row>
    <row r="9" ht="14.25" customHeight="1">
      <c r="A9" s="5" t="s">
        <v>7</v>
      </c>
      <c r="B9" s="8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2">
        <v>1.0</v>
      </c>
      <c r="I9" s="12">
        <v>0.0</v>
      </c>
      <c r="J9" s="12">
        <v>0.0</v>
      </c>
      <c r="K9" s="12">
        <v>0.0</v>
      </c>
      <c r="L9" s="12">
        <v>6.0</v>
      </c>
      <c r="M9" s="12">
        <v>2.0</v>
      </c>
      <c r="N9" s="12">
        <v>2.0</v>
      </c>
      <c r="O9" s="12">
        <v>1.0</v>
      </c>
      <c r="P9" s="12">
        <v>4.0</v>
      </c>
      <c r="Q9" s="12">
        <v>0.0</v>
      </c>
      <c r="R9" s="12">
        <v>0.0</v>
      </c>
      <c r="S9" s="12">
        <v>0.0</v>
      </c>
    </row>
    <row r="10" ht="14.25" customHeight="1">
      <c r="A10" s="5" t="s">
        <v>7</v>
      </c>
      <c r="B10" s="8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</row>
    <row r="11" ht="14.25" customHeight="1">
      <c r="A11" s="5" t="s">
        <v>7</v>
      </c>
      <c r="B11" s="8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2">
        <v>16.0</v>
      </c>
      <c r="I11" s="12">
        <v>0.0</v>
      </c>
      <c r="J11" s="12">
        <v>9.0</v>
      </c>
      <c r="K11" s="12">
        <v>8.0</v>
      </c>
      <c r="L11" s="12">
        <v>5.0</v>
      </c>
      <c r="M11" s="12">
        <v>17.0</v>
      </c>
      <c r="N11" s="12">
        <v>6.0</v>
      </c>
      <c r="O11" s="12">
        <v>2.0</v>
      </c>
      <c r="P11" s="12">
        <v>6.0</v>
      </c>
      <c r="Q11" s="12">
        <v>7.0</v>
      </c>
      <c r="R11" s="12">
        <v>3.0</v>
      </c>
      <c r="S11" s="12">
        <v>11.0</v>
      </c>
    </row>
    <row r="12" ht="14.25" customHeight="1">
      <c r="A12" s="5" t="s">
        <v>7</v>
      </c>
      <c r="B12" s="8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2">
        <v>0.0</v>
      </c>
      <c r="I12" s="12">
        <v>0.0</v>
      </c>
      <c r="J12" s="12">
        <v>0.0</v>
      </c>
      <c r="K12" s="12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</row>
    <row r="13" ht="14.25" customHeight="1">
      <c r="A13" s="5" t="s">
        <v>7</v>
      </c>
      <c r="B13" s="8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  <c r="M13" s="12">
        <v>0.0</v>
      </c>
      <c r="N13" s="12">
        <v>0.0</v>
      </c>
      <c r="O13" s="12">
        <v>1.0</v>
      </c>
      <c r="P13" s="12">
        <v>0.0</v>
      </c>
      <c r="Q13" s="12">
        <v>0.0</v>
      </c>
      <c r="R13" s="12">
        <v>0.0</v>
      </c>
      <c r="S13" s="12">
        <v>78.0</v>
      </c>
    </row>
    <row r="14" ht="14.25" customHeight="1">
      <c r="A14" s="5" t="s">
        <v>7</v>
      </c>
      <c r="B14" s="8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2">
        <v>0.0</v>
      </c>
      <c r="I14" s="12" t="s">
        <v>114</v>
      </c>
      <c r="J14" s="12" t="s">
        <v>114</v>
      </c>
      <c r="K14" s="12" t="s">
        <v>114</v>
      </c>
      <c r="L14" s="12" t="s">
        <v>114</v>
      </c>
      <c r="M14" s="12" t="s">
        <v>114</v>
      </c>
      <c r="N14" s="12" t="s">
        <v>114</v>
      </c>
      <c r="O14" s="12" t="s">
        <v>114</v>
      </c>
      <c r="P14" s="12">
        <v>0.0</v>
      </c>
      <c r="Q14" s="12">
        <v>0.0</v>
      </c>
      <c r="R14" s="12">
        <v>0.0</v>
      </c>
      <c r="S14" s="12">
        <v>0.0</v>
      </c>
    </row>
    <row r="15" ht="14.25" customHeight="1">
      <c r="A15" s="5" t="s">
        <v>7</v>
      </c>
      <c r="B15" s="8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</row>
    <row r="16" ht="14.25" customHeight="1">
      <c r="A16" s="5" t="s">
        <v>7</v>
      </c>
      <c r="B16" s="8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</row>
    <row r="17" ht="14.25" customHeight="1">
      <c r="A17" s="5" t="s">
        <v>7</v>
      </c>
      <c r="B17" s="8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2">
        <v>0.0</v>
      </c>
      <c r="I17" s="12">
        <v>0.0</v>
      </c>
      <c r="J17" s="12">
        <v>12.0</v>
      </c>
      <c r="K17" s="12">
        <v>16.0</v>
      </c>
      <c r="L17" s="12">
        <v>12.0</v>
      </c>
      <c r="M17" s="12">
        <v>11.0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</row>
    <row r="18" ht="14.25" customHeight="1">
      <c r="A18" s="5" t="s">
        <v>7</v>
      </c>
      <c r="B18" s="8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</row>
    <row r="19" ht="14.25" customHeight="1">
      <c r="A19" s="5" t="s">
        <v>7</v>
      </c>
      <c r="B19" s="8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2">
        <v>22.0</v>
      </c>
      <c r="I19" s="12">
        <v>0.0</v>
      </c>
      <c r="J19" s="12">
        <v>10.0</v>
      </c>
      <c r="K19" s="12">
        <v>0.0</v>
      </c>
      <c r="L19" s="12">
        <v>9.0</v>
      </c>
      <c r="M19" s="12">
        <v>3.0</v>
      </c>
      <c r="N19" s="12">
        <v>18.0</v>
      </c>
      <c r="O19" s="12">
        <v>7.0</v>
      </c>
      <c r="P19" s="12">
        <v>17.0</v>
      </c>
      <c r="Q19" s="12">
        <v>22.0</v>
      </c>
      <c r="R19" s="12">
        <v>17.0</v>
      </c>
      <c r="S19" s="12">
        <v>29.0</v>
      </c>
    </row>
    <row r="20" ht="14.25" customHeight="1">
      <c r="A20" s="5" t="s">
        <v>7</v>
      </c>
      <c r="B20" s="8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2">
        <v>16.0</v>
      </c>
      <c r="I20" s="12">
        <v>0.0</v>
      </c>
      <c r="J20" s="12">
        <v>51.0</v>
      </c>
      <c r="K20" s="12">
        <v>5.0</v>
      </c>
      <c r="L20" s="12">
        <v>43.0</v>
      </c>
      <c r="M20" s="12">
        <v>41.0</v>
      </c>
      <c r="N20" s="12">
        <v>34.0</v>
      </c>
      <c r="O20" s="12">
        <v>18.0</v>
      </c>
      <c r="P20" s="12">
        <v>0.0</v>
      </c>
      <c r="Q20" s="12">
        <v>20.0</v>
      </c>
      <c r="R20" s="12">
        <v>26.0</v>
      </c>
      <c r="S20" s="12">
        <v>14.0</v>
      </c>
    </row>
    <row r="21" ht="14.25" customHeight="1">
      <c r="A21" s="5" t="s">
        <v>7</v>
      </c>
      <c r="B21" s="8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2">
        <v>0.0</v>
      </c>
      <c r="I21" s="12">
        <v>0.0</v>
      </c>
      <c r="J21" s="12">
        <v>108.0</v>
      </c>
      <c r="K21" s="12">
        <v>215.0</v>
      </c>
      <c r="L21" s="12">
        <v>651.0</v>
      </c>
      <c r="M21" s="12">
        <v>201.0</v>
      </c>
      <c r="N21" s="12">
        <v>175.0</v>
      </c>
      <c r="O21" s="12">
        <v>102.0</v>
      </c>
      <c r="P21" s="12">
        <v>94.0</v>
      </c>
      <c r="Q21" s="12">
        <v>133.0</v>
      </c>
      <c r="R21" s="12">
        <v>103.0</v>
      </c>
      <c r="S21" s="12">
        <v>88.0</v>
      </c>
    </row>
    <row r="22" ht="14.25" customHeight="1">
      <c r="A22" s="5" t="s">
        <v>7</v>
      </c>
      <c r="B22" s="8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2">
        <v>37.0</v>
      </c>
      <c r="I22" s="12">
        <v>0.0</v>
      </c>
      <c r="J22" s="12">
        <v>9.0</v>
      </c>
      <c r="K22" s="12">
        <v>15.0</v>
      </c>
      <c r="L22" s="12">
        <v>10.0</v>
      </c>
      <c r="M22" s="12">
        <v>8.0</v>
      </c>
      <c r="N22" s="12">
        <v>5.0</v>
      </c>
      <c r="O22" s="12">
        <v>15.0</v>
      </c>
      <c r="P22" s="12">
        <v>15.0</v>
      </c>
      <c r="Q22" s="12">
        <v>18.0</v>
      </c>
      <c r="R22" s="12">
        <v>17.0</v>
      </c>
      <c r="S22" s="12">
        <v>24.0</v>
      </c>
    </row>
    <row r="23" ht="14.25" customHeight="1">
      <c r="A23" s="5" t="s">
        <v>7</v>
      </c>
      <c r="B23" s="8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2">
        <v>0.0</v>
      </c>
      <c r="I23" s="12">
        <v>0.0</v>
      </c>
      <c r="J23" s="12">
        <v>39.0</v>
      </c>
      <c r="K23" s="12">
        <v>37.0</v>
      </c>
      <c r="L23" s="12">
        <v>17.0</v>
      </c>
      <c r="M23" s="12">
        <v>20.0</v>
      </c>
      <c r="N23" s="12">
        <v>34.0</v>
      </c>
      <c r="O23" s="12">
        <v>39.0</v>
      </c>
      <c r="P23" s="12">
        <v>68.0</v>
      </c>
      <c r="Q23" s="12">
        <v>47.0</v>
      </c>
      <c r="R23" s="12">
        <v>43.0</v>
      </c>
      <c r="S23" s="12">
        <v>24.0</v>
      </c>
    </row>
    <row r="24" ht="14.25" customHeight="1">
      <c r="A24" s="5" t="s">
        <v>7</v>
      </c>
      <c r="B24" s="8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2">
        <v>1.0</v>
      </c>
      <c r="I24" s="12">
        <v>0.0</v>
      </c>
      <c r="J24" s="12">
        <v>1.0</v>
      </c>
      <c r="K24" s="12">
        <v>10.0</v>
      </c>
      <c r="L24" s="12">
        <v>8.0</v>
      </c>
      <c r="M24" s="12">
        <v>0.0</v>
      </c>
      <c r="N24" s="12">
        <v>0.0</v>
      </c>
      <c r="O24" s="12">
        <v>0.0</v>
      </c>
      <c r="P24" s="12">
        <v>13.0</v>
      </c>
      <c r="Q24" s="12">
        <v>1.0</v>
      </c>
      <c r="R24" s="12">
        <v>0.0</v>
      </c>
      <c r="S24" s="12">
        <v>3.0</v>
      </c>
    </row>
    <row r="25" ht="14.25" customHeight="1">
      <c r="A25" s="5" t="s">
        <v>7</v>
      </c>
      <c r="B25" s="8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2">
        <v>0.0</v>
      </c>
      <c r="I25" s="12">
        <v>0.0</v>
      </c>
      <c r="J25" s="12">
        <v>5.0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</row>
    <row r="26" ht="14.25" customHeight="1">
      <c r="A26" s="5" t="s">
        <v>7</v>
      </c>
      <c r="B26" s="8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2">
        <v>0.0</v>
      </c>
      <c r="I26" s="12">
        <v>0.0</v>
      </c>
      <c r="J26" s="12">
        <v>0.0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</row>
    <row r="27" ht="14.25" customHeight="1">
      <c r="A27" s="5" t="s">
        <v>7</v>
      </c>
      <c r="B27" s="8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2">
        <v>36.0</v>
      </c>
      <c r="I27" s="12">
        <v>0.0</v>
      </c>
      <c r="J27" s="12">
        <v>0.0</v>
      </c>
      <c r="K27" s="12">
        <v>0.0</v>
      </c>
      <c r="L27" s="12">
        <v>6.0</v>
      </c>
      <c r="M27" s="12">
        <v>27.0</v>
      </c>
      <c r="N27" s="12">
        <v>13.0</v>
      </c>
      <c r="O27" s="12">
        <v>16.0</v>
      </c>
      <c r="P27" s="12">
        <v>11.0</v>
      </c>
      <c r="Q27" s="12">
        <v>11.0</v>
      </c>
      <c r="R27" s="12">
        <v>12.0</v>
      </c>
      <c r="S27" s="12">
        <v>44.0</v>
      </c>
    </row>
    <row r="28" ht="14.25" customHeight="1">
      <c r="A28" s="5" t="s">
        <v>7</v>
      </c>
      <c r="B28" s="8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2">
        <v>1.0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</row>
    <row r="29" ht="14.25" customHeight="1">
      <c r="A29" s="5" t="s">
        <v>7</v>
      </c>
      <c r="B29" s="8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2">
        <v>3.0</v>
      </c>
      <c r="I29" s="12">
        <v>0.0</v>
      </c>
      <c r="J29" s="12">
        <v>0.0</v>
      </c>
      <c r="K29" s="12">
        <v>0.0</v>
      </c>
      <c r="L29" s="12">
        <v>0.0</v>
      </c>
      <c r="M29" s="12">
        <v>4.0</v>
      </c>
      <c r="N29" s="12">
        <v>0.0</v>
      </c>
      <c r="O29" s="12">
        <v>0.0</v>
      </c>
      <c r="P29" s="12">
        <v>0.0</v>
      </c>
      <c r="Q29" s="12">
        <v>3.0</v>
      </c>
      <c r="R29" s="12">
        <v>21.0</v>
      </c>
      <c r="S29" s="12">
        <v>15.0</v>
      </c>
    </row>
    <row r="30" ht="14.25" customHeight="1">
      <c r="A30" s="5" t="s">
        <v>7</v>
      </c>
      <c r="B30" s="8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3.0</v>
      </c>
      <c r="O30" s="12">
        <v>0.0</v>
      </c>
      <c r="P30" s="12">
        <v>5.0</v>
      </c>
      <c r="Q30" s="12">
        <v>6.0</v>
      </c>
      <c r="R30" s="12">
        <v>3.0</v>
      </c>
      <c r="S30" s="12">
        <v>1.0</v>
      </c>
    </row>
    <row r="31" ht="14.25" customHeight="1">
      <c r="A31" s="5" t="s">
        <v>7</v>
      </c>
      <c r="B31" s="8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874.0</v>
      </c>
    </row>
    <row r="32" ht="14.25" customHeight="1">
      <c r="A32" s="5" t="s">
        <v>7</v>
      </c>
      <c r="B32" s="8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</row>
    <row r="33" ht="14.25" customHeight="1">
      <c r="A33" s="5" t="s">
        <v>7</v>
      </c>
      <c r="B33" s="8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2">
        <v>0.0</v>
      </c>
      <c r="R33" s="12">
        <v>0.0</v>
      </c>
      <c r="S33" s="12">
        <v>0.0</v>
      </c>
    </row>
    <row r="34" ht="14.25" customHeight="1">
      <c r="A34" s="5" t="s">
        <v>7</v>
      </c>
      <c r="B34" s="8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0.0</v>
      </c>
      <c r="S34" s="12">
        <v>0.0</v>
      </c>
    </row>
    <row r="35" ht="14.25" customHeight="1">
      <c r="A35" s="5" t="s">
        <v>7</v>
      </c>
      <c r="B35" s="8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2">
        <v>1.0</v>
      </c>
      <c r="I35" s="12">
        <v>0.0</v>
      </c>
      <c r="J35" s="12">
        <v>0.0</v>
      </c>
      <c r="K35" s="12">
        <v>2.0</v>
      </c>
      <c r="L35" s="12">
        <v>1.0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</row>
    <row r="36" ht="14.25" customHeight="1">
      <c r="A36" s="5" t="s">
        <v>7</v>
      </c>
      <c r="B36" s="8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2">
        <v>0.0</v>
      </c>
      <c r="I36" s="12">
        <v>0.0</v>
      </c>
      <c r="J36" s="12">
        <v>1.0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0.0</v>
      </c>
      <c r="R36" s="12">
        <v>0.0</v>
      </c>
      <c r="S36" s="12">
        <v>0.0</v>
      </c>
    </row>
    <row r="37" ht="14.25" customHeight="1">
      <c r="A37" s="5" t="s">
        <v>7</v>
      </c>
      <c r="B37" s="8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2">
        <v>14.0</v>
      </c>
      <c r="I37" s="12">
        <v>0.0</v>
      </c>
      <c r="J37" s="12">
        <v>16.0</v>
      </c>
      <c r="K37" s="12">
        <v>15.0</v>
      </c>
      <c r="L37" s="12">
        <v>29.0</v>
      </c>
      <c r="M37" s="12">
        <v>49.0</v>
      </c>
      <c r="N37" s="12">
        <v>38.0</v>
      </c>
      <c r="O37" s="12">
        <v>0.0</v>
      </c>
      <c r="P37" s="12">
        <v>36.0</v>
      </c>
      <c r="Q37" s="12">
        <v>8.0</v>
      </c>
      <c r="R37" s="12">
        <v>28.0</v>
      </c>
      <c r="S37" s="12">
        <v>25.0</v>
      </c>
    </row>
    <row r="38" ht="14.25" customHeight="1">
      <c r="A38" s="5" t="s">
        <v>7</v>
      </c>
      <c r="B38" s="8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0.0</v>
      </c>
      <c r="P38" s="12">
        <v>0.0</v>
      </c>
      <c r="Q38" s="12">
        <v>0.0</v>
      </c>
      <c r="R38" s="12">
        <v>0.0</v>
      </c>
      <c r="S38" s="12">
        <v>0.0</v>
      </c>
    </row>
    <row r="39" ht="14.25" customHeight="1">
      <c r="A39" s="5" t="s">
        <v>7</v>
      </c>
      <c r="B39" s="8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2">
        <v>0.0</v>
      </c>
      <c r="N39" s="12">
        <v>0.0</v>
      </c>
      <c r="O39" s="12">
        <v>0.0</v>
      </c>
      <c r="P39" s="12">
        <v>0.0</v>
      </c>
      <c r="Q39" s="12">
        <v>0.0</v>
      </c>
      <c r="R39" s="12">
        <v>0.0</v>
      </c>
      <c r="S39" s="12">
        <v>0.0</v>
      </c>
    </row>
    <row r="40" ht="14.25" customHeight="1">
      <c r="A40" s="5" t="s">
        <v>7</v>
      </c>
      <c r="B40" s="8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2">
        <v>0.0</v>
      </c>
      <c r="I40" s="12">
        <v>0.0</v>
      </c>
      <c r="J40" s="12">
        <v>0.0</v>
      </c>
      <c r="K40" s="12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0.0</v>
      </c>
      <c r="Q40" s="12">
        <v>0.0</v>
      </c>
      <c r="R40" s="12">
        <v>0.0</v>
      </c>
      <c r="S40" s="12">
        <v>0.0</v>
      </c>
    </row>
    <row r="41" ht="14.25" customHeight="1">
      <c r="A41" s="5" t="s">
        <v>7</v>
      </c>
      <c r="B41" s="8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2">
        <v>0.0</v>
      </c>
      <c r="I41" s="12" t="s">
        <v>114</v>
      </c>
      <c r="J41" s="12" t="s">
        <v>114</v>
      </c>
      <c r="K41" s="12" t="s">
        <v>114</v>
      </c>
      <c r="L41" s="12" t="s">
        <v>114</v>
      </c>
      <c r="M41" s="12" t="s">
        <v>114</v>
      </c>
      <c r="N41" s="12" t="s">
        <v>114</v>
      </c>
      <c r="O41" s="12" t="s">
        <v>114</v>
      </c>
      <c r="P41" s="12">
        <v>0.0</v>
      </c>
      <c r="Q41" s="12">
        <v>0.0</v>
      </c>
      <c r="R41" s="12">
        <v>0.0</v>
      </c>
      <c r="S41" s="12">
        <v>0.0</v>
      </c>
    </row>
    <row r="42" ht="14.25" customHeight="1">
      <c r="A42" s="5" t="s">
        <v>7</v>
      </c>
      <c r="B42" s="8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2">
        <v>0.0</v>
      </c>
      <c r="I42" s="12">
        <v>0.0</v>
      </c>
      <c r="J42" s="12">
        <v>10.0</v>
      </c>
      <c r="K42" s="12">
        <v>6.0</v>
      </c>
      <c r="L42" s="12">
        <v>4.0</v>
      </c>
      <c r="M42" s="12">
        <v>3.0</v>
      </c>
      <c r="N42" s="12">
        <v>6.0</v>
      </c>
      <c r="O42" s="12">
        <v>20.0</v>
      </c>
      <c r="P42" s="12">
        <v>3.0</v>
      </c>
      <c r="Q42" s="12">
        <v>2.0</v>
      </c>
      <c r="R42" s="12">
        <v>1.0</v>
      </c>
      <c r="S42" s="12">
        <v>5.0</v>
      </c>
    </row>
    <row r="43" ht="14.25" customHeight="1">
      <c r="A43" s="5" t="s">
        <v>7</v>
      </c>
      <c r="B43" s="8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  <c r="M43" s="12">
        <v>0.0</v>
      </c>
      <c r="N43" s="12">
        <v>0.0</v>
      </c>
      <c r="O43" s="12">
        <v>0.0</v>
      </c>
      <c r="P43" s="12">
        <v>0.0</v>
      </c>
      <c r="Q43" s="12">
        <v>0.0</v>
      </c>
      <c r="R43" s="12">
        <v>0.0</v>
      </c>
      <c r="S43" s="12">
        <v>0.0</v>
      </c>
    </row>
    <row r="44" ht="14.25" customHeight="1">
      <c r="A44" s="5" t="s">
        <v>7</v>
      </c>
      <c r="B44" s="8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2">
        <v>0.0</v>
      </c>
      <c r="I44" s="12">
        <v>0.0</v>
      </c>
      <c r="J44" s="12">
        <v>0.0</v>
      </c>
      <c r="K44" s="12">
        <v>0.0</v>
      </c>
      <c r="L44" s="12">
        <v>0.0</v>
      </c>
      <c r="M44" s="12">
        <v>0.0</v>
      </c>
      <c r="N44" s="12">
        <v>0.0</v>
      </c>
      <c r="O44" s="12">
        <v>0.0</v>
      </c>
      <c r="P44" s="12">
        <v>0.0</v>
      </c>
      <c r="Q44" s="12">
        <v>0.0</v>
      </c>
      <c r="R44" s="12">
        <v>0.0</v>
      </c>
      <c r="S44" s="12">
        <v>0.0</v>
      </c>
    </row>
    <row r="45" ht="14.25" customHeight="1">
      <c r="A45" s="5" t="s">
        <v>7</v>
      </c>
      <c r="B45" s="8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  <c r="M45" s="12">
        <v>0.0</v>
      </c>
      <c r="N45" s="12">
        <v>0.0</v>
      </c>
      <c r="O45" s="12">
        <v>0.0</v>
      </c>
      <c r="P45" s="12">
        <v>0.0</v>
      </c>
      <c r="Q45" s="12">
        <v>0.0</v>
      </c>
      <c r="R45" s="12">
        <v>0.0</v>
      </c>
      <c r="S45" s="12">
        <v>0.0</v>
      </c>
    </row>
    <row r="46" ht="14.25" customHeight="1">
      <c r="A46" s="5" t="s">
        <v>7</v>
      </c>
      <c r="B46" s="8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2">
        <v>0.0</v>
      </c>
      <c r="I46" s="12">
        <v>0.0</v>
      </c>
      <c r="J46" s="12">
        <v>0.0</v>
      </c>
      <c r="K46" s="12">
        <v>0.0</v>
      </c>
      <c r="L46" s="12">
        <v>0.0</v>
      </c>
      <c r="M46" s="12">
        <v>0.0</v>
      </c>
      <c r="N46" s="12">
        <v>0.0</v>
      </c>
      <c r="O46" s="12">
        <v>0.0</v>
      </c>
      <c r="P46" s="12">
        <v>0.0</v>
      </c>
      <c r="Q46" s="12">
        <v>0.0</v>
      </c>
      <c r="R46" s="12">
        <v>1.0</v>
      </c>
      <c r="S46" s="12">
        <v>5.0</v>
      </c>
    </row>
    <row r="47" ht="14.25" customHeight="1">
      <c r="A47" s="5" t="s">
        <v>7</v>
      </c>
      <c r="B47" s="8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  <c r="M47" s="12">
        <v>0.0</v>
      </c>
      <c r="N47" s="12">
        <v>0.0</v>
      </c>
      <c r="O47" s="12">
        <v>0.0</v>
      </c>
      <c r="P47" s="12">
        <v>0.0</v>
      </c>
      <c r="Q47" s="12">
        <v>0.0</v>
      </c>
      <c r="R47" s="12">
        <v>0.0</v>
      </c>
      <c r="S47" s="12">
        <v>0.0</v>
      </c>
    </row>
    <row r="48" ht="14.25" customHeight="1">
      <c r="A48" s="5" t="s">
        <v>7</v>
      </c>
      <c r="B48" s="8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  <c r="Q48" s="12">
        <v>0.0</v>
      </c>
      <c r="R48" s="12">
        <v>0.0</v>
      </c>
      <c r="S48" s="12">
        <v>0.0</v>
      </c>
    </row>
    <row r="49" ht="14.25" customHeight="1">
      <c r="A49" s="5" t="s">
        <v>7</v>
      </c>
      <c r="B49" s="8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2">
        <v>164.0</v>
      </c>
      <c r="I49" s="12">
        <v>0.0</v>
      </c>
      <c r="J49" s="12">
        <v>177.0</v>
      </c>
      <c r="K49" s="12">
        <v>240.0</v>
      </c>
      <c r="L49" s="12">
        <v>149.0</v>
      </c>
      <c r="M49" s="12">
        <v>178.0</v>
      </c>
      <c r="N49" s="12">
        <v>270.0</v>
      </c>
      <c r="O49" s="12">
        <v>141.0</v>
      </c>
      <c r="P49" s="12">
        <v>130.0</v>
      </c>
      <c r="Q49" s="12">
        <v>407.0</v>
      </c>
      <c r="R49" s="12">
        <v>84.0</v>
      </c>
      <c r="S49" s="12">
        <v>167.0</v>
      </c>
    </row>
    <row r="50" ht="14.25" customHeight="1">
      <c r="A50" s="5" t="s">
        <v>7</v>
      </c>
      <c r="B50" s="8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2">
        <v>16.0</v>
      </c>
      <c r="I50" s="12">
        <v>0.0</v>
      </c>
      <c r="J50" s="12">
        <v>16.0</v>
      </c>
      <c r="K50" s="12">
        <v>6.0</v>
      </c>
      <c r="L50" s="12">
        <v>26.0</v>
      </c>
      <c r="M50" s="12">
        <v>12.0</v>
      </c>
      <c r="N50" s="12">
        <v>0.0</v>
      </c>
      <c r="O50" s="12">
        <v>16.0</v>
      </c>
      <c r="P50" s="12">
        <v>7.0</v>
      </c>
      <c r="Q50" s="12">
        <v>7.0</v>
      </c>
      <c r="R50" s="12">
        <v>18.0</v>
      </c>
      <c r="S50" s="12">
        <v>10.0</v>
      </c>
    </row>
    <row r="51" ht="14.25" customHeight="1">
      <c r="A51" s="5" t="s">
        <v>7</v>
      </c>
      <c r="B51" s="8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  <c r="M51" s="12">
        <v>0.0</v>
      </c>
      <c r="N51" s="12">
        <v>0.0</v>
      </c>
      <c r="O51" s="12">
        <v>0.0</v>
      </c>
      <c r="P51" s="12">
        <v>0.0</v>
      </c>
      <c r="Q51" s="12">
        <v>0.0</v>
      </c>
      <c r="R51" s="12">
        <v>0.0</v>
      </c>
      <c r="S51" s="12">
        <v>0.0</v>
      </c>
    </row>
    <row r="52" ht="14.25" customHeight="1">
      <c r="A52" s="5" t="s">
        <v>7</v>
      </c>
      <c r="B52" s="8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2">
        <v>51.0</v>
      </c>
      <c r="I52" s="12">
        <v>0.0</v>
      </c>
      <c r="J52" s="12">
        <v>6.0</v>
      </c>
      <c r="K52" s="12">
        <v>189.0</v>
      </c>
      <c r="L52" s="12">
        <v>10.0</v>
      </c>
      <c r="M52" s="12">
        <v>159.0</v>
      </c>
      <c r="N52" s="12">
        <v>443.0</v>
      </c>
      <c r="O52" s="12">
        <v>51.0</v>
      </c>
      <c r="P52" s="12">
        <v>159.0</v>
      </c>
      <c r="Q52" s="12">
        <v>81.0</v>
      </c>
      <c r="R52" s="12">
        <v>594.0</v>
      </c>
      <c r="S52" s="12">
        <v>111.0</v>
      </c>
    </row>
    <row r="53" ht="14.25" customHeight="1">
      <c r="A53" s="5" t="s">
        <v>7</v>
      </c>
      <c r="B53" s="8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2">
        <v>4.0</v>
      </c>
      <c r="I53" s="12">
        <v>0.0</v>
      </c>
      <c r="J53" s="12">
        <v>7.0</v>
      </c>
      <c r="K53" s="12">
        <v>1.0</v>
      </c>
      <c r="L53" s="12">
        <v>2.0</v>
      </c>
      <c r="M53" s="12">
        <v>3.0</v>
      </c>
      <c r="N53" s="12">
        <v>3.0</v>
      </c>
      <c r="O53" s="12">
        <v>3.0</v>
      </c>
      <c r="P53" s="12">
        <v>0.0</v>
      </c>
      <c r="Q53" s="12">
        <v>2.0</v>
      </c>
      <c r="R53" s="12">
        <v>2.0</v>
      </c>
      <c r="S53" s="12">
        <v>1.0</v>
      </c>
    </row>
    <row r="54" ht="14.25" customHeight="1">
      <c r="A54" s="5" t="s">
        <v>7</v>
      </c>
      <c r="B54" s="8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2">
        <v>0.0</v>
      </c>
      <c r="I54" s="12">
        <v>0.0</v>
      </c>
      <c r="J54" s="12">
        <v>0.0</v>
      </c>
      <c r="K54" s="12">
        <v>0.0</v>
      </c>
      <c r="L54" s="12">
        <v>0.0</v>
      </c>
      <c r="M54" s="12">
        <v>0.0</v>
      </c>
      <c r="N54" s="12">
        <v>0.0</v>
      </c>
      <c r="O54" s="12">
        <v>0.0</v>
      </c>
      <c r="P54" s="12">
        <v>0.0</v>
      </c>
      <c r="Q54" s="12">
        <v>0.0</v>
      </c>
      <c r="R54" s="12">
        <v>0.0</v>
      </c>
      <c r="S54" s="12">
        <v>0.0</v>
      </c>
    </row>
    <row r="55" ht="14.25" customHeight="1">
      <c r="A55" s="5" t="s">
        <v>7</v>
      </c>
      <c r="B55" s="8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2">
        <v>0.0</v>
      </c>
      <c r="I55" s="12">
        <v>0.0</v>
      </c>
      <c r="J55" s="12">
        <v>5.0</v>
      </c>
      <c r="K55" s="12">
        <v>148.0</v>
      </c>
      <c r="L55" s="12">
        <v>99.0</v>
      </c>
      <c r="M55" s="12">
        <v>94.0</v>
      </c>
      <c r="N55" s="12">
        <v>128.0</v>
      </c>
      <c r="O55" s="12">
        <v>71.0</v>
      </c>
      <c r="P55" s="12">
        <v>10.0</v>
      </c>
      <c r="Q55" s="12">
        <v>20.0</v>
      </c>
      <c r="R55" s="12">
        <v>2.0</v>
      </c>
      <c r="S55" s="12">
        <v>0.0</v>
      </c>
    </row>
    <row r="56" ht="14.25" customHeight="1">
      <c r="A56" s="5" t="s">
        <v>7</v>
      </c>
      <c r="B56" s="8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2">
        <v>0.0</v>
      </c>
      <c r="I56" s="12">
        <v>0.0</v>
      </c>
      <c r="J56" s="12">
        <v>0.0</v>
      </c>
      <c r="K56" s="12">
        <v>0.0</v>
      </c>
      <c r="L56" s="12">
        <v>0.0</v>
      </c>
      <c r="M56" s="12">
        <v>0.0</v>
      </c>
      <c r="N56" s="12">
        <v>0.0</v>
      </c>
      <c r="O56" s="12">
        <v>0.0</v>
      </c>
      <c r="P56" s="12">
        <v>0.0</v>
      </c>
      <c r="Q56" s="12">
        <v>0.0</v>
      </c>
      <c r="R56" s="12">
        <v>0.0</v>
      </c>
      <c r="S56" s="12">
        <v>0.0</v>
      </c>
    </row>
    <row r="57" ht="14.25" customHeight="1">
      <c r="A57" s="5" t="s">
        <v>7</v>
      </c>
      <c r="B57" s="8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  <c r="M57" s="12">
        <v>0.0</v>
      </c>
      <c r="N57" s="12">
        <v>0.0</v>
      </c>
      <c r="O57" s="12">
        <v>0.0</v>
      </c>
      <c r="P57" s="12">
        <v>0.0</v>
      </c>
      <c r="Q57" s="12">
        <v>0.0</v>
      </c>
      <c r="R57" s="12">
        <v>0.0</v>
      </c>
      <c r="S57" s="12">
        <v>0.0</v>
      </c>
    </row>
    <row r="58" ht="14.25" customHeight="1"/>
    <row r="59" ht="14.25" customHeight="1"/>
    <row r="60" ht="14.25" customHeight="1"/>
    <row r="61" ht="14.25" customHeight="1"/>
    <row r="62" ht="14.25" customHeight="1">
      <c r="H62" s="7" t="s">
        <v>118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6">
        <v>0.0</v>
      </c>
      <c r="I3" s="16">
        <v>0.0</v>
      </c>
      <c r="J3" s="16">
        <v>0.0</v>
      </c>
      <c r="K3" s="16">
        <v>0.0</v>
      </c>
      <c r="L3" s="16">
        <v>0.0</v>
      </c>
      <c r="M3" s="16">
        <v>0.0</v>
      </c>
      <c r="N3" s="16">
        <v>0.0</v>
      </c>
      <c r="O3" s="16">
        <v>0.0</v>
      </c>
      <c r="P3" s="16">
        <v>0.0</v>
      </c>
      <c r="Q3" s="16">
        <v>0.0</v>
      </c>
      <c r="R3" s="16">
        <v>0.0</v>
      </c>
      <c r="S3" s="16">
        <v>0.0</v>
      </c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6">
        <v>0.0</v>
      </c>
      <c r="I4" s="16">
        <v>0.0</v>
      </c>
      <c r="J4" s="16">
        <v>0.0</v>
      </c>
      <c r="K4" s="16">
        <v>0.0</v>
      </c>
      <c r="L4" s="16">
        <v>0.0</v>
      </c>
      <c r="M4" s="16">
        <v>0.0</v>
      </c>
      <c r="N4" s="16">
        <v>0.0</v>
      </c>
      <c r="O4" s="16">
        <v>0.0</v>
      </c>
      <c r="P4" s="16">
        <v>0.0</v>
      </c>
      <c r="Q4" s="16">
        <v>0.0</v>
      </c>
      <c r="R4" s="16">
        <v>0.0</v>
      </c>
      <c r="S4" s="16">
        <v>0.0</v>
      </c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16">
        <v>0.0</v>
      </c>
      <c r="P5" s="16">
        <v>0.0</v>
      </c>
      <c r="Q5" s="16">
        <v>0.0</v>
      </c>
      <c r="R5" s="16">
        <v>0.0</v>
      </c>
      <c r="S5" s="16">
        <v>0.0</v>
      </c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6">
        <v>0.0</v>
      </c>
      <c r="I6" s="16">
        <v>0.0</v>
      </c>
      <c r="J6" s="16">
        <v>0.0</v>
      </c>
      <c r="K6" s="16">
        <v>0.0</v>
      </c>
      <c r="L6" s="16">
        <v>0.0</v>
      </c>
      <c r="M6" s="16">
        <v>0.0</v>
      </c>
      <c r="N6" s="16">
        <v>0.0</v>
      </c>
      <c r="O6" s="16">
        <v>0.0</v>
      </c>
      <c r="P6" s="16">
        <v>0.0</v>
      </c>
      <c r="Q6" s="16">
        <v>0.0</v>
      </c>
      <c r="R6" s="16">
        <v>0.0</v>
      </c>
      <c r="S6" s="16">
        <v>0.0</v>
      </c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6">
        <v>0.0</v>
      </c>
      <c r="I7" s="16">
        <v>0.0</v>
      </c>
      <c r="J7" s="16">
        <v>0.0</v>
      </c>
      <c r="K7" s="16">
        <v>0.0</v>
      </c>
      <c r="L7" s="16">
        <v>0.0</v>
      </c>
      <c r="M7" s="16">
        <v>0.0</v>
      </c>
      <c r="N7" s="16">
        <v>0.0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6">
        <v>0.0</v>
      </c>
      <c r="I8" s="16">
        <v>0.0</v>
      </c>
      <c r="J8" s="16">
        <v>0.0</v>
      </c>
      <c r="K8" s="16">
        <v>0.0</v>
      </c>
      <c r="L8" s="16">
        <v>0.0</v>
      </c>
      <c r="M8" s="16">
        <v>0.0</v>
      </c>
      <c r="N8" s="16">
        <v>0.0</v>
      </c>
      <c r="O8" s="16">
        <v>0.0</v>
      </c>
      <c r="P8" s="16">
        <v>0.0</v>
      </c>
      <c r="Q8" s="16">
        <v>0.0</v>
      </c>
      <c r="R8" s="16">
        <v>0.0</v>
      </c>
      <c r="S8" s="16">
        <v>0.0</v>
      </c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6">
        <v>0.0</v>
      </c>
      <c r="I9" s="16">
        <v>0.0</v>
      </c>
      <c r="J9" s="16">
        <v>0.0</v>
      </c>
      <c r="K9" s="16">
        <v>0.0</v>
      </c>
      <c r="L9" s="16">
        <v>0.0</v>
      </c>
      <c r="M9" s="16">
        <v>0.0</v>
      </c>
      <c r="N9" s="16">
        <v>0.0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6">
        <v>0.0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0.0</v>
      </c>
      <c r="P10" s="16">
        <v>0.0</v>
      </c>
      <c r="Q10" s="16">
        <v>0.0</v>
      </c>
      <c r="R10" s="16">
        <v>0.0</v>
      </c>
      <c r="S10" s="16">
        <v>0.0</v>
      </c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6">
        <v>0.0</v>
      </c>
      <c r="I11" s="16">
        <v>0.0</v>
      </c>
      <c r="J11" s="16">
        <v>0.0</v>
      </c>
      <c r="K11" s="16">
        <v>0.0</v>
      </c>
      <c r="L11" s="16">
        <v>0.0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R11" s="16">
        <v>0.0</v>
      </c>
      <c r="S11" s="16">
        <v>0.0</v>
      </c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0.0</v>
      </c>
      <c r="Q12" s="16">
        <v>0.0</v>
      </c>
      <c r="R12" s="16">
        <v>0.0</v>
      </c>
      <c r="S12" s="16">
        <v>0.0</v>
      </c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6">
        <v>0.0</v>
      </c>
      <c r="I13" s="16">
        <v>0.0</v>
      </c>
      <c r="J13" s="16">
        <v>0.0</v>
      </c>
      <c r="K13" s="16">
        <v>0.0</v>
      </c>
      <c r="L13" s="16">
        <v>0.0</v>
      </c>
      <c r="M13" s="16">
        <v>0.0</v>
      </c>
      <c r="N13" s="16">
        <v>0.0</v>
      </c>
      <c r="O13" s="16">
        <v>0.0</v>
      </c>
      <c r="P13" s="16">
        <v>0.0</v>
      </c>
      <c r="Q13" s="16">
        <v>0.0</v>
      </c>
      <c r="R13" s="16">
        <v>0.0</v>
      </c>
      <c r="S13" s="16">
        <v>0.0</v>
      </c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0.0</v>
      </c>
      <c r="Q14" s="16">
        <v>0.0</v>
      </c>
      <c r="R14" s="16">
        <v>0.0</v>
      </c>
      <c r="S14" s="16">
        <v>0.0</v>
      </c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6">
        <v>0.0</v>
      </c>
      <c r="I15" s="16">
        <v>0.0</v>
      </c>
      <c r="J15" s="16">
        <v>0.0</v>
      </c>
      <c r="K15" s="16">
        <v>0.0</v>
      </c>
      <c r="L15" s="16">
        <v>0.0</v>
      </c>
      <c r="M15" s="16">
        <v>0.0</v>
      </c>
      <c r="N15" s="16">
        <v>0.0</v>
      </c>
      <c r="O15" s="16">
        <v>0.0</v>
      </c>
      <c r="P15" s="16">
        <v>0.0</v>
      </c>
      <c r="Q15" s="16">
        <v>0.0</v>
      </c>
      <c r="R15" s="16">
        <v>0.0</v>
      </c>
      <c r="S15" s="16">
        <v>0.0</v>
      </c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6">
        <v>0.0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  <c r="P16" s="16">
        <v>0.0</v>
      </c>
      <c r="Q16" s="16">
        <v>0.0</v>
      </c>
      <c r="R16" s="16">
        <v>0.0</v>
      </c>
      <c r="S16" s="16">
        <v>0.0</v>
      </c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6">
        <v>0.0</v>
      </c>
      <c r="I17" s="16">
        <v>0.0</v>
      </c>
      <c r="J17" s="16">
        <v>0.0</v>
      </c>
      <c r="K17" s="16">
        <v>0.0</v>
      </c>
      <c r="L17" s="16">
        <v>0.0</v>
      </c>
      <c r="M17" s="16">
        <v>0.0</v>
      </c>
      <c r="N17" s="16">
        <v>0.0</v>
      </c>
      <c r="O17" s="16">
        <v>0.0</v>
      </c>
      <c r="P17" s="16">
        <v>0.0</v>
      </c>
      <c r="Q17" s="16">
        <v>0.0</v>
      </c>
      <c r="R17" s="16">
        <v>0.0</v>
      </c>
      <c r="S17" s="16">
        <v>0.0</v>
      </c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6">
        <v>0.0</v>
      </c>
      <c r="I18" s="16">
        <v>0.0</v>
      </c>
      <c r="J18" s="16">
        <v>0.0</v>
      </c>
      <c r="K18" s="16">
        <v>0.0</v>
      </c>
      <c r="L18" s="16">
        <v>0.0</v>
      </c>
      <c r="M18" s="16">
        <v>0.0</v>
      </c>
      <c r="N18" s="16">
        <v>0.0</v>
      </c>
      <c r="O18" s="16">
        <v>0.0</v>
      </c>
      <c r="P18" s="16">
        <v>0.0</v>
      </c>
      <c r="Q18" s="16">
        <v>0.0</v>
      </c>
      <c r="R18" s="16">
        <v>0.0</v>
      </c>
      <c r="S18" s="16">
        <v>0.0</v>
      </c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6">
        <v>0.0</v>
      </c>
      <c r="I19" s="16">
        <v>0.0</v>
      </c>
      <c r="J19" s="16">
        <v>0.0</v>
      </c>
      <c r="K19" s="16">
        <v>0.0</v>
      </c>
      <c r="L19" s="16">
        <v>0.0</v>
      </c>
      <c r="M19" s="16">
        <v>0.0</v>
      </c>
      <c r="N19" s="16">
        <v>0.0</v>
      </c>
      <c r="O19" s="16">
        <v>0.0</v>
      </c>
      <c r="P19" s="16">
        <v>0.0</v>
      </c>
      <c r="Q19" s="16">
        <v>0.0</v>
      </c>
      <c r="R19" s="16">
        <v>0.0</v>
      </c>
      <c r="S19" s="16">
        <v>27.33</v>
      </c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6">
        <v>0.0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16">
        <v>0.0</v>
      </c>
      <c r="O20" s="16">
        <v>0.0</v>
      </c>
      <c r="P20" s="16">
        <v>0.0</v>
      </c>
      <c r="Q20" s="16">
        <v>0.0</v>
      </c>
      <c r="R20" s="16">
        <v>0.0</v>
      </c>
      <c r="S20" s="16">
        <v>5.60025</v>
      </c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6">
        <v>0.0</v>
      </c>
      <c r="I21" s="16">
        <v>0.0</v>
      </c>
      <c r="J21" s="16">
        <v>0.0</v>
      </c>
      <c r="K21" s="16">
        <v>0.0</v>
      </c>
      <c r="L21" s="16">
        <v>0.0</v>
      </c>
      <c r="M21" s="16">
        <v>0.0</v>
      </c>
      <c r="N21" s="16">
        <v>0.0</v>
      </c>
      <c r="O21" s="16">
        <v>0.0</v>
      </c>
      <c r="P21" s="16">
        <v>0.0</v>
      </c>
      <c r="Q21" s="16">
        <v>0.0</v>
      </c>
      <c r="R21" s="16">
        <v>0.0</v>
      </c>
      <c r="S21" s="16">
        <v>17.41828</v>
      </c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6">
        <v>0.0</v>
      </c>
      <c r="I22" s="16">
        <v>0.0</v>
      </c>
      <c r="J22" s="16">
        <v>0.0</v>
      </c>
      <c r="K22" s="16">
        <v>0.0</v>
      </c>
      <c r="L22" s="16">
        <v>0.0</v>
      </c>
      <c r="M22" s="16">
        <v>0.0</v>
      </c>
      <c r="N22" s="16">
        <v>0.0</v>
      </c>
      <c r="O22" s="16">
        <v>0.0</v>
      </c>
      <c r="P22" s="16">
        <v>0.0</v>
      </c>
      <c r="Q22" s="16">
        <v>0.0</v>
      </c>
      <c r="R22" s="16">
        <v>0.0</v>
      </c>
      <c r="S22" s="16">
        <v>9.18499</v>
      </c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6">
        <v>0.0</v>
      </c>
      <c r="I23" s="16">
        <v>0.0</v>
      </c>
      <c r="J23" s="16">
        <v>0.0</v>
      </c>
      <c r="K23" s="16">
        <v>0.0</v>
      </c>
      <c r="L23" s="16">
        <v>0.0</v>
      </c>
      <c r="M23" s="16">
        <v>0.0</v>
      </c>
      <c r="N23" s="16">
        <v>0.0</v>
      </c>
      <c r="O23" s="16">
        <v>0.0</v>
      </c>
      <c r="P23" s="16">
        <v>0.0</v>
      </c>
      <c r="Q23" s="16">
        <v>0.0</v>
      </c>
      <c r="R23" s="16">
        <v>0.0</v>
      </c>
      <c r="S23" s="16">
        <v>128.29</v>
      </c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6">
        <v>0.0</v>
      </c>
      <c r="I24" s="16">
        <v>0.0</v>
      </c>
      <c r="J24" s="16">
        <v>0.0</v>
      </c>
      <c r="K24" s="16">
        <v>0.0</v>
      </c>
      <c r="L24" s="16">
        <v>0.0</v>
      </c>
      <c r="M24" s="16">
        <v>0.0</v>
      </c>
      <c r="N24" s="16">
        <v>0.0</v>
      </c>
      <c r="O24" s="16">
        <v>0.0</v>
      </c>
      <c r="P24" s="16">
        <v>0.0</v>
      </c>
      <c r="Q24" s="16">
        <v>0.0</v>
      </c>
      <c r="R24" s="16">
        <v>0.0</v>
      </c>
      <c r="S24" s="16">
        <v>5.43674</v>
      </c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6">
        <v>0.0</v>
      </c>
      <c r="I25" s="16">
        <v>0.0</v>
      </c>
      <c r="J25" s="16">
        <v>0.0</v>
      </c>
      <c r="K25" s="16">
        <v>0.0</v>
      </c>
      <c r="L25" s="16">
        <v>0.0</v>
      </c>
      <c r="M25" s="16">
        <v>0.0</v>
      </c>
      <c r="N25" s="16">
        <v>0.0</v>
      </c>
      <c r="O25" s="16">
        <v>0.0</v>
      </c>
      <c r="P25" s="16">
        <v>0.0</v>
      </c>
      <c r="Q25" s="16">
        <v>0.0</v>
      </c>
      <c r="R25" s="16">
        <v>0.0</v>
      </c>
      <c r="S25" s="16">
        <v>0.0</v>
      </c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0.0</v>
      </c>
      <c r="P26" s="16">
        <v>0.0</v>
      </c>
      <c r="Q26" s="16">
        <v>0.0</v>
      </c>
      <c r="R26" s="16">
        <v>0.0</v>
      </c>
      <c r="S26" s="16">
        <v>0.0</v>
      </c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6">
        <v>0.0</v>
      </c>
      <c r="I27" s="16">
        <v>0.0</v>
      </c>
      <c r="J27" s="16">
        <v>0.0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16">
        <v>0.0</v>
      </c>
      <c r="S27" s="16">
        <v>0.0</v>
      </c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6">
        <v>0.0</v>
      </c>
      <c r="I28" s="16">
        <v>0.0</v>
      </c>
      <c r="J28" s="16">
        <v>0.0</v>
      </c>
      <c r="K28" s="16">
        <v>0.0</v>
      </c>
      <c r="L28" s="16">
        <v>0.0</v>
      </c>
      <c r="M28" s="16">
        <v>0.0</v>
      </c>
      <c r="N28" s="16">
        <v>0.0</v>
      </c>
      <c r="O28" s="16">
        <v>0.0</v>
      </c>
      <c r="P28" s="16">
        <v>0.0</v>
      </c>
      <c r="Q28" s="16">
        <v>0.0</v>
      </c>
      <c r="R28" s="16">
        <v>0.0</v>
      </c>
      <c r="S28" s="16">
        <v>0.0</v>
      </c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6">
        <v>0.0</v>
      </c>
      <c r="I29" s="16">
        <v>0.0</v>
      </c>
      <c r="J29" s="16">
        <v>0.0</v>
      </c>
      <c r="K29" s="16">
        <v>0.0</v>
      </c>
      <c r="L29" s="16">
        <v>0.0</v>
      </c>
      <c r="M29" s="16">
        <v>0.0</v>
      </c>
      <c r="N29" s="16">
        <v>0.0</v>
      </c>
      <c r="O29" s="16">
        <v>0.0</v>
      </c>
      <c r="P29" s="16">
        <v>0.0</v>
      </c>
      <c r="Q29" s="16">
        <v>0.0</v>
      </c>
      <c r="R29" s="16">
        <v>0.0</v>
      </c>
      <c r="S29" s="16">
        <v>15.0436</v>
      </c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6">
        <v>0.0</v>
      </c>
      <c r="I30" s="16">
        <v>0.0</v>
      </c>
      <c r="J30" s="16">
        <v>0.0</v>
      </c>
      <c r="K30" s="16">
        <v>0.0</v>
      </c>
      <c r="L30" s="16">
        <v>0.0</v>
      </c>
      <c r="M30" s="16">
        <v>0.0</v>
      </c>
      <c r="N30" s="16">
        <v>0.0</v>
      </c>
      <c r="O30" s="16">
        <v>0.0</v>
      </c>
      <c r="P30" s="16">
        <v>0.0</v>
      </c>
      <c r="Q30" s="16">
        <v>0.0</v>
      </c>
      <c r="R30" s="16">
        <v>0.0</v>
      </c>
      <c r="S30" s="16">
        <v>0.0</v>
      </c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6">
        <v>0.0</v>
      </c>
      <c r="I31" s="16">
        <v>0.0</v>
      </c>
      <c r="J31" s="16">
        <v>0.0</v>
      </c>
      <c r="K31" s="16">
        <v>0.0</v>
      </c>
      <c r="L31" s="16">
        <v>0.0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6">
        <v>0.0</v>
      </c>
      <c r="I32" s="16">
        <v>0.0</v>
      </c>
      <c r="J32" s="16">
        <v>0.0</v>
      </c>
      <c r="K32" s="16">
        <v>0.0</v>
      </c>
      <c r="L32" s="16">
        <v>0.0</v>
      </c>
      <c r="M32" s="16">
        <v>0.0</v>
      </c>
      <c r="N32" s="16">
        <v>0.0</v>
      </c>
      <c r="O32" s="16">
        <v>0.0</v>
      </c>
      <c r="P32" s="16">
        <v>0.0</v>
      </c>
      <c r="Q32" s="16">
        <v>0.0</v>
      </c>
      <c r="R32" s="16">
        <v>0.0</v>
      </c>
      <c r="S32" s="16">
        <v>0.0</v>
      </c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6">
        <v>0.0</v>
      </c>
      <c r="I33" s="16">
        <v>0.0</v>
      </c>
      <c r="J33" s="16">
        <v>0.0</v>
      </c>
      <c r="K33" s="16">
        <v>0.0</v>
      </c>
      <c r="L33" s="16">
        <v>0.0</v>
      </c>
      <c r="M33" s="16">
        <v>0.0</v>
      </c>
      <c r="N33" s="16">
        <v>0.0</v>
      </c>
      <c r="O33" s="16">
        <v>0.0</v>
      </c>
      <c r="P33" s="16">
        <v>0.0</v>
      </c>
      <c r="Q33" s="16">
        <v>0.0</v>
      </c>
      <c r="R33" s="16">
        <v>0.0</v>
      </c>
      <c r="S33" s="16">
        <v>0.0</v>
      </c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6">
        <v>0.0</v>
      </c>
      <c r="I34" s="16">
        <v>0.0</v>
      </c>
      <c r="J34" s="16">
        <v>0.0</v>
      </c>
      <c r="K34" s="16">
        <v>0.0</v>
      </c>
      <c r="L34" s="16">
        <v>0.0</v>
      </c>
      <c r="M34" s="16">
        <v>0.0</v>
      </c>
      <c r="N34" s="16">
        <v>0.0</v>
      </c>
      <c r="O34" s="16">
        <v>0.0</v>
      </c>
      <c r="P34" s="16">
        <v>0.0</v>
      </c>
      <c r="Q34" s="16">
        <v>0.0</v>
      </c>
      <c r="R34" s="16">
        <v>0.0</v>
      </c>
      <c r="S34" s="16">
        <v>0.0</v>
      </c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6">
        <v>0.0</v>
      </c>
      <c r="I35" s="16">
        <v>0.0</v>
      </c>
      <c r="J35" s="16">
        <v>0.0</v>
      </c>
      <c r="K35" s="16">
        <v>0.0</v>
      </c>
      <c r="L35" s="16">
        <v>0.0</v>
      </c>
      <c r="M35" s="16">
        <v>0.0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16">
        <v>0.0</v>
      </c>
      <c r="Q36" s="16">
        <v>0.0</v>
      </c>
      <c r="R36" s="16">
        <v>0.0</v>
      </c>
      <c r="S36" s="16">
        <v>0.0</v>
      </c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6">
        <v>0.0</v>
      </c>
      <c r="I37" s="16">
        <v>0.0</v>
      </c>
      <c r="J37" s="16">
        <v>0.0</v>
      </c>
      <c r="K37" s="16">
        <v>0.0</v>
      </c>
      <c r="L37" s="16">
        <v>0.0</v>
      </c>
      <c r="M37" s="16">
        <v>0.0</v>
      </c>
      <c r="N37" s="16">
        <v>0.0</v>
      </c>
      <c r="O37" s="16">
        <v>0.0</v>
      </c>
      <c r="P37" s="16">
        <v>0.0</v>
      </c>
      <c r="Q37" s="16">
        <v>0.0</v>
      </c>
      <c r="R37" s="16">
        <v>0.0</v>
      </c>
      <c r="S37" s="16">
        <v>0.0</v>
      </c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16">
        <v>0.0</v>
      </c>
      <c r="P38" s="16">
        <v>0.0</v>
      </c>
      <c r="Q38" s="16">
        <v>0.0</v>
      </c>
      <c r="R38" s="16">
        <v>0.0</v>
      </c>
      <c r="S38" s="16">
        <v>0.0</v>
      </c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6">
        <v>0.0</v>
      </c>
      <c r="I39" s="16">
        <v>0.0</v>
      </c>
      <c r="J39" s="16">
        <v>0.0</v>
      </c>
      <c r="K39" s="16">
        <v>0.0</v>
      </c>
      <c r="L39" s="16">
        <v>0.0</v>
      </c>
      <c r="M39" s="16">
        <v>0.0</v>
      </c>
      <c r="N39" s="16">
        <v>0.0</v>
      </c>
      <c r="O39" s="16">
        <v>0.0</v>
      </c>
      <c r="P39" s="16">
        <v>0.0</v>
      </c>
      <c r="Q39" s="16">
        <v>0.0</v>
      </c>
      <c r="R39" s="16">
        <v>0.0</v>
      </c>
      <c r="S39" s="16">
        <v>0.0</v>
      </c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6">
        <v>0.0</v>
      </c>
      <c r="I40" s="16">
        <v>0.0</v>
      </c>
      <c r="J40" s="16">
        <v>0.0</v>
      </c>
      <c r="K40" s="16">
        <v>0.0</v>
      </c>
      <c r="L40" s="16">
        <v>0.0</v>
      </c>
      <c r="M40" s="16">
        <v>0.0</v>
      </c>
      <c r="N40" s="16">
        <v>0.0</v>
      </c>
      <c r="O40" s="16">
        <v>0.0</v>
      </c>
      <c r="P40" s="16">
        <v>0.0</v>
      </c>
      <c r="Q40" s="16">
        <v>0.0</v>
      </c>
      <c r="R40" s="16">
        <v>0.0</v>
      </c>
      <c r="S40" s="16">
        <v>0.0</v>
      </c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6">
        <v>0.0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16">
        <v>0.0</v>
      </c>
      <c r="O41" s="16">
        <v>0.0</v>
      </c>
      <c r="P41" s="16">
        <v>0.0</v>
      </c>
      <c r="Q41" s="16">
        <v>0.0</v>
      </c>
      <c r="R41" s="16">
        <v>0.0</v>
      </c>
      <c r="S41" s="16">
        <v>0.0</v>
      </c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6">
        <v>0.0</v>
      </c>
      <c r="I42" s="16">
        <v>0.0</v>
      </c>
      <c r="J42" s="16">
        <v>0.0</v>
      </c>
      <c r="K42" s="16">
        <v>0.0</v>
      </c>
      <c r="L42" s="16">
        <v>0.0</v>
      </c>
      <c r="M42" s="16">
        <v>0.0</v>
      </c>
      <c r="N42" s="16">
        <v>0.0</v>
      </c>
      <c r="O42" s="16">
        <v>0.0</v>
      </c>
      <c r="P42" s="16">
        <v>0.0</v>
      </c>
      <c r="Q42" s="16">
        <v>0.0</v>
      </c>
      <c r="R42" s="16">
        <v>0.0</v>
      </c>
      <c r="S42" s="16">
        <v>0.0</v>
      </c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6">
        <v>0.0</v>
      </c>
      <c r="I43" s="16">
        <v>0.0</v>
      </c>
      <c r="J43" s="16">
        <v>0.0</v>
      </c>
      <c r="K43" s="16">
        <v>0.0</v>
      </c>
      <c r="L43" s="16">
        <v>0.0</v>
      </c>
      <c r="M43" s="16">
        <v>0.0</v>
      </c>
      <c r="N43" s="16">
        <v>0.0</v>
      </c>
      <c r="O43" s="16">
        <v>0.0</v>
      </c>
      <c r="P43" s="16">
        <v>0.0</v>
      </c>
      <c r="Q43" s="16">
        <v>0.0</v>
      </c>
      <c r="R43" s="16">
        <v>0.0</v>
      </c>
      <c r="S43" s="16">
        <v>0.0</v>
      </c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6">
        <v>0.0</v>
      </c>
      <c r="I44" s="16">
        <v>0.0</v>
      </c>
      <c r="J44" s="16">
        <v>0.0</v>
      </c>
      <c r="K44" s="16">
        <v>0.0</v>
      </c>
      <c r="L44" s="16">
        <v>0.0</v>
      </c>
      <c r="M44" s="16">
        <v>0.0</v>
      </c>
      <c r="N44" s="16">
        <v>0.0</v>
      </c>
      <c r="O44" s="16">
        <v>0.0</v>
      </c>
      <c r="P44" s="16">
        <v>0.0</v>
      </c>
      <c r="Q44" s="16">
        <v>0.0</v>
      </c>
      <c r="R44" s="16">
        <v>0.0</v>
      </c>
      <c r="S44" s="16">
        <v>0.0</v>
      </c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0.0</v>
      </c>
      <c r="N45" s="16">
        <v>0.0</v>
      </c>
      <c r="O45" s="16">
        <v>0.0</v>
      </c>
      <c r="P45" s="16">
        <v>0.0</v>
      </c>
      <c r="Q45" s="16">
        <v>0.0</v>
      </c>
      <c r="R45" s="16">
        <v>0.0</v>
      </c>
      <c r="S45" s="16">
        <v>0.0</v>
      </c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6">
        <v>0.0</v>
      </c>
      <c r="I46" s="16">
        <v>0.0</v>
      </c>
      <c r="J46" s="16">
        <v>0.0</v>
      </c>
      <c r="K46" s="16">
        <v>0.0</v>
      </c>
      <c r="L46" s="16">
        <v>0.0</v>
      </c>
      <c r="M46" s="16">
        <v>0.0</v>
      </c>
      <c r="N46" s="16">
        <v>0.0</v>
      </c>
      <c r="O46" s="16">
        <v>0.0</v>
      </c>
      <c r="P46" s="16">
        <v>0.0</v>
      </c>
      <c r="Q46" s="16">
        <v>0.0</v>
      </c>
      <c r="R46" s="16">
        <v>0.0</v>
      </c>
      <c r="S46" s="16">
        <v>0.0</v>
      </c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6">
        <v>0.0</v>
      </c>
      <c r="I47" s="16">
        <v>0.0</v>
      </c>
      <c r="J47" s="16">
        <v>0.0</v>
      </c>
      <c r="K47" s="16">
        <v>0.0</v>
      </c>
      <c r="L47" s="16">
        <v>0.0</v>
      </c>
      <c r="M47" s="16">
        <v>0.0</v>
      </c>
      <c r="N47" s="16">
        <v>0.0</v>
      </c>
      <c r="O47" s="16">
        <v>0.0</v>
      </c>
      <c r="P47" s="16">
        <v>0.0</v>
      </c>
      <c r="Q47" s="16">
        <v>0.0</v>
      </c>
      <c r="R47" s="16">
        <v>0.0</v>
      </c>
      <c r="S47" s="16">
        <v>0.0</v>
      </c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6">
        <v>0.0</v>
      </c>
      <c r="Q49" s="16">
        <v>0.0</v>
      </c>
      <c r="R49" s="16">
        <v>0.0</v>
      </c>
      <c r="S49" s="16">
        <v>122.17864</v>
      </c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0.0</v>
      </c>
      <c r="R50" s="16">
        <v>0.0</v>
      </c>
      <c r="S50" s="16">
        <v>0.0</v>
      </c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6">
        <v>0.0</v>
      </c>
      <c r="I52" s="16">
        <v>0.0</v>
      </c>
      <c r="J52" s="16">
        <v>0.0</v>
      </c>
      <c r="K52" s="16">
        <v>0.0</v>
      </c>
      <c r="L52" s="16">
        <v>0.0</v>
      </c>
      <c r="M52" s="16">
        <v>0.0</v>
      </c>
      <c r="N52" s="16">
        <v>0.0</v>
      </c>
      <c r="O52" s="16">
        <v>0.0</v>
      </c>
      <c r="P52" s="16">
        <v>0.0</v>
      </c>
      <c r="Q52" s="16">
        <v>0.0</v>
      </c>
      <c r="R52" s="16">
        <v>0.0</v>
      </c>
      <c r="S52" s="16">
        <v>0.0</v>
      </c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6">
        <v>0.0</v>
      </c>
      <c r="I53" s="16">
        <v>0.0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16.65244</v>
      </c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16">
        <v>0.0</v>
      </c>
      <c r="O54" s="16">
        <v>0.0</v>
      </c>
      <c r="P54" s="16">
        <v>0.0</v>
      </c>
      <c r="Q54" s="16">
        <v>0.0</v>
      </c>
      <c r="R54" s="16">
        <v>0.0</v>
      </c>
      <c r="S54" s="16">
        <v>0.0</v>
      </c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6">
        <v>0.0</v>
      </c>
      <c r="I55" s="16">
        <v>0.0</v>
      </c>
      <c r="J55" s="16">
        <v>0.0</v>
      </c>
      <c r="K55" s="16">
        <v>0.0</v>
      </c>
      <c r="L55" s="16">
        <v>0.0</v>
      </c>
      <c r="M55" s="16">
        <v>0.0</v>
      </c>
      <c r="N55" s="16">
        <v>0.0</v>
      </c>
      <c r="O55" s="16">
        <v>0.0</v>
      </c>
      <c r="P55" s="16">
        <v>0.0</v>
      </c>
      <c r="Q55" s="16">
        <v>0.0</v>
      </c>
      <c r="R55" s="16">
        <v>0.0</v>
      </c>
      <c r="S55" s="16">
        <v>0.0</v>
      </c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6">
        <v>0.0</v>
      </c>
      <c r="I56" s="16">
        <v>0.0</v>
      </c>
      <c r="J56" s="16">
        <v>0.0</v>
      </c>
      <c r="K56" s="16">
        <v>0.0</v>
      </c>
      <c r="L56" s="16">
        <v>0.0</v>
      </c>
      <c r="M56" s="16">
        <v>0.0</v>
      </c>
      <c r="N56" s="16">
        <v>0.0</v>
      </c>
      <c r="O56" s="16">
        <v>0.0</v>
      </c>
      <c r="P56" s="16">
        <v>0.0</v>
      </c>
      <c r="Q56" s="16">
        <v>0.0</v>
      </c>
      <c r="R56" s="16">
        <v>0.0</v>
      </c>
      <c r="S56" s="16">
        <v>0.0</v>
      </c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6">
        <v>0.0</v>
      </c>
      <c r="I57" s="16">
        <v>0.0</v>
      </c>
      <c r="J57" s="16">
        <v>0.0</v>
      </c>
      <c r="K57" s="16">
        <v>0.0</v>
      </c>
      <c r="L57" s="16">
        <v>0.0</v>
      </c>
      <c r="M57" s="16">
        <v>0.0</v>
      </c>
      <c r="N57" s="16">
        <v>0.0</v>
      </c>
      <c r="O57" s="16">
        <v>0.0</v>
      </c>
      <c r="P57" s="16">
        <v>0.0</v>
      </c>
      <c r="Q57" s="16">
        <v>0.0</v>
      </c>
      <c r="R57" s="16">
        <v>0.0</v>
      </c>
      <c r="S57" s="16">
        <v>0.0</v>
      </c>
    </row>
    <row r="58" ht="14.25" customHeight="1"/>
    <row r="59" ht="14.25" customHeight="1"/>
    <row r="60" ht="14.25" customHeight="1">
      <c r="H60" s="7" t="s">
        <v>119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1">
        <v>45.33</v>
      </c>
      <c r="I2" s="11">
        <v>45.0</v>
      </c>
      <c r="J2" s="11">
        <v>31.9</v>
      </c>
      <c r="K2" s="11">
        <v>27.25</v>
      </c>
      <c r="L2" s="11">
        <v>26.25</v>
      </c>
      <c r="M2" s="11">
        <v>27.25</v>
      </c>
      <c r="N2" s="11">
        <v>27.25</v>
      </c>
      <c r="O2" s="11">
        <v>25.8</v>
      </c>
      <c r="P2" s="11">
        <v>24.5</v>
      </c>
      <c r="Q2" s="11">
        <v>20.5</v>
      </c>
      <c r="R2" s="11">
        <v>11.5</v>
      </c>
      <c r="S2" s="11">
        <v>2.0</v>
      </c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1">
        <v>7.84</v>
      </c>
      <c r="I3" s="11">
        <v>5.5</v>
      </c>
      <c r="J3" s="11">
        <v>5.8</v>
      </c>
      <c r="K3" s="11">
        <v>6.05</v>
      </c>
      <c r="L3" s="11">
        <v>7.0</v>
      </c>
      <c r="M3" s="11">
        <v>5.25</v>
      </c>
      <c r="N3" s="11">
        <v>2.75</v>
      </c>
      <c r="O3" s="11">
        <v>3.2</v>
      </c>
      <c r="P3" s="11">
        <v>2.7</v>
      </c>
      <c r="Q3" s="11">
        <v>3.0</v>
      </c>
      <c r="R3" s="11">
        <v>4.0</v>
      </c>
      <c r="S3" s="11">
        <v>4.5</v>
      </c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1">
        <v>6.0</v>
      </c>
      <c r="I4" s="11">
        <v>6.0</v>
      </c>
      <c r="J4" s="11">
        <v>6.0</v>
      </c>
      <c r="K4" s="11">
        <v>4.0</v>
      </c>
      <c r="L4" s="11">
        <v>4.0</v>
      </c>
      <c r="M4" s="11">
        <v>4.0</v>
      </c>
      <c r="N4" s="11">
        <v>4.0</v>
      </c>
      <c r="O4" s="11">
        <v>3.0</v>
      </c>
      <c r="P4" s="11">
        <v>3.0</v>
      </c>
      <c r="Q4" s="11">
        <v>3.0</v>
      </c>
      <c r="R4" s="11">
        <v>5.0</v>
      </c>
      <c r="S4" s="11">
        <v>4.5</v>
      </c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1">
        <v>1.0</v>
      </c>
      <c r="I5" s="11">
        <v>1.0</v>
      </c>
      <c r="J5" s="11">
        <v>1.0</v>
      </c>
      <c r="K5" s="11">
        <v>1.0</v>
      </c>
      <c r="L5" s="11">
        <v>1.0</v>
      </c>
      <c r="M5" s="11">
        <v>1.0</v>
      </c>
      <c r="N5" s="11">
        <v>1.0</v>
      </c>
      <c r="O5" s="11">
        <v>1.2</v>
      </c>
      <c r="P5" s="11">
        <v>0.0</v>
      </c>
      <c r="Q5" s="11">
        <v>0.0</v>
      </c>
      <c r="R5" s="11">
        <v>1.0</v>
      </c>
      <c r="S5" s="11">
        <v>1.0</v>
      </c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1">
        <v>14.33</v>
      </c>
      <c r="I6" s="11">
        <v>14.0</v>
      </c>
      <c r="J6" s="11">
        <v>15.0</v>
      </c>
      <c r="K6" s="11">
        <v>15.25</v>
      </c>
      <c r="L6" s="11">
        <v>14.25</v>
      </c>
      <c r="M6" s="11">
        <v>16.25</v>
      </c>
      <c r="N6" s="11">
        <v>11.25</v>
      </c>
      <c r="O6" s="11">
        <v>2.8</v>
      </c>
      <c r="P6" s="11">
        <v>3.5</v>
      </c>
      <c r="Q6" s="11">
        <v>0.2</v>
      </c>
      <c r="R6" s="11">
        <v>0.2</v>
      </c>
      <c r="S6" s="11">
        <v>0.0</v>
      </c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1">
        <v>1.5</v>
      </c>
      <c r="I7" s="11">
        <v>1.5</v>
      </c>
      <c r="J7" s="11">
        <v>1.5</v>
      </c>
      <c r="K7" s="11">
        <v>1.5</v>
      </c>
      <c r="L7" s="11">
        <v>0.75</v>
      </c>
      <c r="M7" s="11">
        <v>0.5</v>
      </c>
      <c r="N7" s="11">
        <v>0.0</v>
      </c>
      <c r="O7" s="11">
        <v>0.0</v>
      </c>
      <c r="P7" s="11">
        <v>0.0</v>
      </c>
      <c r="Q7" s="11">
        <v>0.0</v>
      </c>
      <c r="R7" s="11">
        <v>0.0</v>
      </c>
      <c r="S7" s="11">
        <v>0.0</v>
      </c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1">
        <v>1.5</v>
      </c>
      <c r="I8" s="11">
        <v>3.0</v>
      </c>
      <c r="J8" s="11">
        <v>2.4</v>
      </c>
      <c r="K8" s="11">
        <v>3.0</v>
      </c>
      <c r="L8" s="11">
        <v>2.0</v>
      </c>
      <c r="M8" s="11">
        <v>2.0</v>
      </c>
      <c r="N8" s="11">
        <v>2.0</v>
      </c>
      <c r="O8" s="11">
        <v>2.0</v>
      </c>
      <c r="P8" s="11">
        <v>2.0</v>
      </c>
      <c r="Q8" s="11">
        <v>2.0</v>
      </c>
      <c r="R8" s="11">
        <v>1.0</v>
      </c>
      <c r="S8" s="11">
        <v>0.0</v>
      </c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1">
        <v>5.0</v>
      </c>
      <c r="I9" s="11">
        <v>5.0</v>
      </c>
      <c r="J9" s="11">
        <v>5.0</v>
      </c>
      <c r="K9" s="11">
        <v>5.25</v>
      </c>
      <c r="L9" s="11">
        <v>6.75</v>
      </c>
      <c r="M9" s="11">
        <v>9.75</v>
      </c>
      <c r="N9" s="11">
        <v>11.75</v>
      </c>
      <c r="O9" s="11">
        <v>13.5</v>
      </c>
      <c r="P9" s="11">
        <v>12.0</v>
      </c>
      <c r="Q9" s="11">
        <v>12.0</v>
      </c>
      <c r="R9" s="11">
        <v>12.0</v>
      </c>
      <c r="S9" s="11">
        <v>15.5</v>
      </c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1.0</v>
      </c>
      <c r="P10" s="11">
        <v>0.0</v>
      </c>
      <c r="Q10" s="11">
        <v>1.0</v>
      </c>
      <c r="R10" s="11">
        <v>2.0</v>
      </c>
      <c r="S10" s="11">
        <v>3.0</v>
      </c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1">
        <v>9.5</v>
      </c>
      <c r="I11" s="11">
        <v>10.5</v>
      </c>
      <c r="J11" s="11">
        <v>11.5</v>
      </c>
      <c r="K11" s="11">
        <v>12.0</v>
      </c>
      <c r="L11" s="11">
        <v>11.0</v>
      </c>
      <c r="M11" s="11">
        <v>11.0</v>
      </c>
      <c r="N11" s="11">
        <v>10.0</v>
      </c>
      <c r="O11" s="11">
        <v>9.0</v>
      </c>
      <c r="P11" s="11">
        <v>9.0</v>
      </c>
      <c r="Q11" s="11">
        <v>9.0</v>
      </c>
      <c r="R11" s="11">
        <v>9.0</v>
      </c>
      <c r="S11" s="11">
        <v>9.0</v>
      </c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1">
        <v>11.4</v>
      </c>
      <c r="I12" s="11">
        <v>10.0</v>
      </c>
      <c r="J12" s="11">
        <v>10.0</v>
      </c>
      <c r="K12" s="11">
        <v>10.0</v>
      </c>
      <c r="L12" s="11">
        <v>9.0</v>
      </c>
      <c r="M12" s="11">
        <v>10.0</v>
      </c>
      <c r="N12" s="11">
        <v>10.0</v>
      </c>
      <c r="O12" s="11">
        <v>8.0</v>
      </c>
      <c r="P12" s="11">
        <v>8.0</v>
      </c>
      <c r="Q12" s="11">
        <v>8.0</v>
      </c>
      <c r="R12" s="11">
        <v>8.0</v>
      </c>
      <c r="S12" s="11">
        <v>4.0</v>
      </c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1">
        <v>0.4</v>
      </c>
      <c r="I13" s="11">
        <v>2.0</v>
      </c>
      <c r="J13" s="11">
        <v>6.5</v>
      </c>
      <c r="K13" s="11">
        <v>16.1</v>
      </c>
      <c r="L13" s="11">
        <v>19.5</v>
      </c>
      <c r="M13" s="11">
        <v>30.15</v>
      </c>
      <c r="N13" s="11">
        <v>29.0</v>
      </c>
      <c r="O13" s="11">
        <v>43.5</v>
      </c>
      <c r="P13" s="11">
        <v>45.0</v>
      </c>
      <c r="Q13" s="11">
        <v>47.4</v>
      </c>
      <c r="R13" s="11">
        <v>46.4</v>
      </c>
      <c r="S13" s="11">
        <v>52.5</v>
      </c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  <c r="M14" s="11">
        <v>1.0</v>
      </c>
      <c r="N14" s="11">
        <v>0.0</v>
      </c>
      <c r="O14" s="11">
        <v>0.0</v>
      </c>
      <c r="P14" s="11">
        <v>0.0</v>
      </c>
      <c r="Q14" s="11">
        <v>0.0</v>
      </c>
      <c r="R14" s="11">
        <v>1.0</v>
      </c>
      <c r="S14" s="11">
        <v>1.0</v>
      </c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1">
        <v>0.0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1.0</v>
      </c>
      <c r="O15" s="11">
        <v>1.0</v>
      </c>
      <c r="P15" s="11">
        <v>2.0</v>
      </c>
      <c r="Q15" s="11">
        <v>1.0</v>
      </c>
      <c r="R15" s="11">
        <v>1.0</v>
      </c>
      <c r="S15" s="11">
        <v>2.0</v>
      </c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1">
        <v>0.0</v>
      </c>
      <c r="I16" s="11">
        <v>0.0</v>
      </c>
      <c r="J16" s="11">
        <v>0.0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0.0</v>
      </c>
      <c r="S16" s="11">
        <v>2.0</v>
      </c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1">
        <v>7.0</v>
      </c>
      <c r="I17" s="11">
        <v>7.0</v>
      </c>
      <c r="J17" s="11">
        <v>7.0</v>
      </c>
      <c r="K17" s="11">
        <v>6.0</v>
      </c>
      <c r="L17" s="11">
        <v>6.0</v>
      </c>
      <c r="M17" s="11">
        <v>7.0</v>
      </c>
      <c r="N17" s="11">
        <v>3.0</v>
      </c>
      <c r="O17" s="11">
        <v>4.0</v>
      </c>
      <c r="P17" s="11">
        <v>4.0</v>
      </c>
      <c r="Q17" s="11">
        <v>4.0</v>
      </c>
      <c r="R17" s="11">
        <v>3.0</v>
      </c>
      <c r="S17" s="11">
        <v>4.0</v>
      </c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1">
        <v>2.0</v>
      </c>
      <c r="I18" s="11">
        <v>2.0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1">
        <v>13.0</v>
      </c>
      <c r="I19" s="11">
        <v>12.0</v>
      </c>
      <c r="J19" s="11">
        <v>11.0</v>
      </c>
      <c r="K19" s="11">
        <v>10.9</v>
      </c>
      <c r="L19" s="11">
        <v>10.0</v>
      </c>
      <c r="M19" s="11">
        <v>12.0</v>
      </c>
      <c r="N19" s="11">
        <v>13.0</v>
      </c>
      <c r="O19" s="11">
        <v>10.0</v>
      </c>
      <c r="P19" s="11">
        <v>10.0</v>
      </c>
      <c r="Q19" s="11">
        <v>10.0</v>
      </c>
      <c r="R19" s="11">
        <v>11.0</v>
      </c>
      <c r="S19" s="11">
        <v>11.0</v>
      </c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1">
        <v>18.5</v>
      </c>
      <c r="I20" s="11">
        <v>16.0</v>
      </c>
      <c r="J20" s="11">
        <v>16.0</v>
      </c>
      <c r="K20" s="11">
        <v>16.0</v>
      </c>
      <c r="L20" s="11">
        <v>16.0</v>
      </c>
      <c r="M20" s="11">
        <v>16.0</v>
      </c>
      <c r="N20" s="11">
        <v>16.0</v>
      </c>
      <c r="O20" s="11">
        <v>16.5</v>
      </c>
      <c r="P20" s="11">
        <v>12.5</v>
      </c>
      <c r="Q20" s="11">
        <v>8.0</v>
      </c>
      <c r="R20" s="11">
        <v>8.0</v>
      </c>
      <c r="S20" s="11">
        <v>8.0</v>
      </c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1">
        <v>61.2</v>
      </c>
      <c r="I21" s="11">
        <v>58.0</v>
      </c>
      <c r="J21" s="11">
        <v>52.7</v>
      </c>
      <c r="K21" s="11">
        <v>51.4</v>
      </c>
      <c r="L21" s="11">
        <v>52.5</v>
      </c>
      <c r="M21" s="11">
        <v>53.0</v>
      </c>
      <c r="N21" s="11">
        <v>52.0</v>
      </c>
      <c r="O21" s="11">
        <v>50.0</v>
      </c>
      <c r="P21" s="11">
        <v>52.0</v>
      </c>
      <c r="Q21" s="11">
        <v>53.0</v>
      </c>
      <c r="R21" s="11">
        <v>54.0</v>
      </c>
      <c r="S21" s="11">
        <v>56.5</v>
      </c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1">
        <v>13.0</v>
      </c>
      <c r="I22" s="11">
        <v>12.0</v>
      </c>
      <c r="J22" s="11">
        <v>11.0</v>
      </c>
      <c r="K22" s="11">
        <v>11.0</v>
      </c>
      <c r="L22" s="11">
        <v>11.0</v>
      </c>
      <c r="M22" s="11">
        <v>11.0</v>
      </c>
      <c r="N22" s="11">
        <v>11.0</v>
      </c>
      <c r="O22" s="11">
        <v>12.0</v>
      </c>
      <c r="P22" s="11">
        <v>11.0</v>
      </c>
      <c r="Q22" s="11">
        <v>10.0</v>
      </c>
      <c r="R22" s="11">
        <v>9.0</v>
      </c>
      <c r="S22" s="11">
        <v>9.0</v>
      </c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1">
        <v>33.0</v>
      </c>
      <c r="I23" s="11">
        <v>33.0</v>
      </c>
      <c r="J23" s="11">
        <v>34.9</v>
      </c>
      <c r="K23" s="11">
        <v>33.9</v>
      </c>
      <c r="L23" s="11">
        <v>30.0</v>
      </c>
      <c r="M23" s="11">
        <v>34.85</v>
      </c>
      <c r="N23" s="11">
        <v>32.0</v>
      </c>
      <c r="O23" s="11">
        <v>32.0</v>
      </c>
      <c r="P23" s="11">
        <v>28.0</v>
      </c>
      <c r="Q23" s="11">
        <v>30.0</v>
      </c>
      <c r="R23" s="11">
        <v>27.0</v>
      </c>
      <c r="S23" s="11">
        <v>30.0</v>
      </c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1">
        <v>21.5</v>
      </c>
      <c r="I24" s="11">
        <v>20.0</v>
      </c>
      <c r="J24" s="11">
        <v>19.0</v>
      </c>
      <c r="K24" s="11">
        <v>18.0</v>
      </c>
      <c r="L24" s="11">
        <v>20.0</v>
      </c>
      <c r="M24" s="11">
        <v>14.0</v>
      </c>
      <c r="N24" s="11">
        <v>14.5</v>
      </c>
      <c r="O24" s="11">
        <v>7.5</v>
      </c>
      <c r="P24" s="11">
        <v>5.8</v>
      </c>
      <c r="Q24" s="11">
        <v>6.8</v>
      </c>
      <c r="R24" s="11">
        <v>8.8</v>
      </c>
      <c r="S24" s="11">
        <v>10.0</v>
      </c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1">
        <v>4.0</v>
      </c>
      <c r="I25" s="11">
        <v>4.0</v>
      </c>
      <c r="J25" s="11">
        <v>3.7</v>
      </c>
      <c r="K25" s="11">
        <v>1.7</v>
      </c>
      <c r="L25" s="11">
        <v>1.0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0.0</v>
      </c>
      <c r="S25" s="11">
        <v>0.0</v>
      </c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1">
        <v>2.0</v>
      </c>
      <c r="I26" s="11">
        <v>2.0</v>
      </c>
      <c r="J26" s="11">
        <v>2.0</v>
      </c>
      <c r="K26" s="11">
        <v>2.0</v>
      </c>
      <c r="L26" s="11">
        <v>1.0</v>
      </c>
      <c r="M26" s="11">
        <v>1.0</v>
      </c>
      <c r="N26" s="11">
        <v>1.0</v>
      </c>
      <c r="O26" s="11">
        <v>0.0</v>
      </c>
      <c r="P26" s="11">
        <v>0.0</v>
      </c>
      <c r="Q26" s="11">
        <v>0.0</v>
      </c>
      <c r="R26" s="11">
        <v>0.0</v>
      </c>
      <c r="S26" s="11">
        <v>0.0</v>
      </c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1">
        <v>0.0</v>
      </c>
      <c r="I27" s="11">
        <v>0.0</v>
      </c>
      <c r="J27" s="11">
        <v>2.0</v>
      </c>
      <c r="K27" s="11">
        <v>8.0</v>
      </c>
      <c r="L27" s="11">
        <v>9.0</v>
      </c>
      <c r="M27" s="11">
        <v>16.0</v>
      </c>
      <c r="N27" s="11">
        <v>11.0</v>
      </c>
      <c r="O27" s="11">
        <v>10.0</v>
      </c>
      <c r="P27" s="11">
        <v>10.0</v>
      </c>
      <c r="Q27" s="11">
        <v>9.0</v>
      </c>
      <c r="R27" s="11">
        <v>15.0</v>
      </c>
      <c r="S27" s="11">
        <v>14.0</v>
      </c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1">
        <v>0.0</v>
      </c>
      <c r="I28" s="11">
        <v>0.0</v>
      </c>
      <c r="J28" s="11">
        <v>1.0</v>
      </c>
      <c r="K28" s="11">
        <v>1.0</v>
      </c>
      <c r="L28" s="11">
        <v>2.0</v>
      </c>
      <c r="M28" s="11">
        <v>3.0</v>
      </c>
      <c r="N28" s="11">
        <v>2.0</v>
      </c>
      <c r="O28" s="11">
        <v>1.0</v>
      </c>
      <c r="P28" s="11">
        <v>1.0</v>
      </c>
      <c r="Q28" s="11">
        <v>1.0</v>
      </c>
      <c r="R28" s="11">
        <v>1.0</v>
      </c>
      <c r="S28" s="11">
        <v>1.0</v>
      </c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1">
        <v>0.0</v>
      </c>
      <c r="I29" s="11">
        <v>1.0</v>
      </c>
      <c r="J29" s="11">
        <v>3.7</v>
      </c>
      <c r="K29" s="11">
        <v>8.0</v>
      </c>
      <c r="L29" s="11">
        <v>8.0</v>
      </c>
      <c r="M29" s="11">
        <v>8.0</v>
      </c>
      <c r="N29" s="11">
        <v>8.0</v>
      </c>
      <c r="O29" s="11">
        <v>6.0</v>
      </c>
      <c r="P29" s="11">
        <v>5.0</v>
      </c>
      <c r="Q29" s="11">
        <v>5.0</v>
      </c>
      <c r="R29" s="11">
        <v>7.0</v>
      </c>
      <c r="S29" s="11">
        <v>7.0</v>
      </c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1">
        <v>0.0</v>
      </c>
      <c r="I30" s="11">
        <v>0.0</v>
      </c>
      <c r="J30" s="11">
        <v>0.0</v>
      </c>
      <c r="K30" s="11">
        <v>0.0</v>
      </c>
      <c r="L30" s="11">
        <v>0.0</v>
      </c>
      <c r="M30" s="11">
        <v>1.0</v>
      </c>
      <c r="N30" s="11">
        <v>3.0</v>
      </c>
      <c r="O30" s="11">
        <v>5.0</v>
      </c>
      <c r="P30" s="11">
        <v>4.0</v>
      </c>
      <c r="Q30" s="11">
        <v>5.0</v>
      </c>
      <c r="R30" s="11">
        <v>5.0</v>
      </c>
      <c r="S30" s="11">
        <v>5.0</v>
      </c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1">
        <v>0.0</v>
      </c>
      <c r="I31" s="11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2.5</v>
      </c>
      <c r="O31" s="11">
        <v>8.5</v>
      </c>
      <c r="P31" s="11">
        <v>19.0</v>
      </c>
      <c r="Q31" s="11">
        <v>22.1</v>
      </c>
      <c r="R31" s="11">
        <v>32.1</v>
      </c>
      <c r="S31" s="11">
        <v>33.5</v>
      </c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1">
        <v>0.0</v>
      </c>
      <c r="I32" s="11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1">
        <v>4.0</v>
      </c>
      <c r="R32" s="11">
        <v>6.0</v>
      </c>
      <c r="S32" s="11">
        <v>7.0</v>
      </c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1">
        <v>9.34</v>
      </c>
      <c r="I33" s="11">
        <v>11.5</v>
      </c>
      <c r="J33" s="11">
        <v>11.0</v>
      </c>
      <c r="K33" s="11">
        <v>13.0</v>
      </c>
      <c r="L33" s="11">
        <v>11.5</v>
      </c>
      <c r="M33" s="11">
        <v>14.0</v>
      </c>
      <c r="N33" s="11">
        <v>9.0</v>
      </c>
      <c r="O33" s="11">
        <v>9.0</v>
      </c>
      <c r="P33" s="11">
        <v>7.0</v>
      </c>
      <c r="Q33" s="11">
        <v>6.0</v>
      </c>
      <c r="R33" s="11">
        <v>6.0</v>
      </c>
      <c r="S33" s="11">
        <v>7.0</v>
      </c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1">
        <v>4.0</v>
      </c>
      <c r="I34" s="11">
        <v>1.5</v>
      </c>
      <c r="J34" s="11">
        <v>2.0</v>
      </c>
      <c r="K34" s="11">
        <v>3.0</v>
      </c>
      <c r="L34" s="11">
        <v>2.5</v>
      </c>
      <c r="M34" s="11">
        <v>0.0</v>
      </c>
      <c r="N34" s="11">
        <v>0.0</v>
      </c>
      <c r="O34" s="11">
        <v>0.0</v>
      </c>
      <c r="P34" s="11">
        <v>0.0</v>
      </c>
      <c r="Q34" s="11">
        <v>0.0</v>
      </c>
      <c r="R34" s="11">
        <v>0.0</v>
      </c>
      <c r="S34" s="11">
        <v>0.0</v>
      </c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1">
        <v>3.33</v>
      </c>
      <c r="I35" s="11">
        <v>3.0</v>
      </c>
      <c r="J35" s="11">
        <v>3.0</v>
      </c>
      <c r="K35" s="11">
        <v>3.0</v>
      </c>
      <c r="L35" s="11">
        <v>3.0</v>
      </c>
      <c r="M35" s="11">
        <v>3.0</v>
      </c>
      <c r="N35" s="11">
        <v>3.0</v>
      </c>
      <c r="O35" s="11">
        <v>3.0</v>
      </c>
      <c r="P35" s="11">
        <v>3.0</v>
      </c>
      <c r="Q35" s="11">
        <v>3.0</v>
      </c>
      <c r="R35" s="11">
        <v>3.0</v>
      </c>
      <c r="S35" s="11">
        <v>3.0</v>
      </c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1">
        <v>6.0</v>
      </c>
      <c r="I36" s="11">
        <v>6.0</v>
      </c>
      <c r="J36" s="11">
        <v>5.0</v>
      </c>
      <c r="K36" s="11">
        <v>3.0</v>
      </c>
      <c r="L36" s="11">
        <v>3.0</v>
      </c>
      <c r="M36" s="11">
        <v>0.0</v>
      </c>
      <c r="N36" s="11">
        <v>0.0</v>
      </c>
      <c r="O36" s="11">
        <v>0.0</v>
      </c>
      <c r="P36" s="11">
        <v>0.0</v>
      </c>
      <c r="Q36" s="11">
        <v>0.0</v>
      </c>
      <c r="R36" s="11">
        <v>0.0</v>
      </c>
      <c r="S36" s="11">
        <v>0.0</v>
      </c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1">
        <v>11.33</v>
      </c>
      <c r="I37" s="11">
        <v>10.0</v>
      </c>
      <c r="J37" s="11">
        <v>9.0</v>
      </c>
      <c r="K37" s="11">
        <v>7.0</v>
      </c>
      <c r="L37" s="11">
        <v>7.0</v>
      </c>
      <c r="M37" s="11">
        <v>8.0</v>
      </c>
      <c r="N37" s="11">
        <v>8.0</v>
      </c>
      <c r="O37" s="11">
        <v>8.0</v>
      </c>
      <c r="P37" s="11">
        <v>8.0</v>
      </c>
      <c r="Q37" s="11">
        <v>8.0</v>
      </c>
      <c r="R37" s="11">
        <v>9.0</v>
      </c>
      <c r="S37" s="11">
        <v>9.0</v>
      </c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1">
        <v>0.0</v>
      </c>
      <c r="I38" s="11">
        <v>1.0</v>
      </c>
      <c r="J38" s="11">
        <v>12.0</v>
      </c>
      <c r="K38" s="11">
        <v>12.0</v>
      </c>
      <c r="L38" s="11">
        <v>11.0</v>
      </c>
      <c r="M38" s="11">
        <v>1.0</v>
      </c>
      <c r="N38" s="11">
        <v>0.0</v>
      </c>
      <c r="O38" s="11">
        <v>0.0</v>
      </c>
      <c r="P38" s="11">
        <v>0.0</v>
      </c>
      <c r="Q38" s="11">
        <v>0.0</v>
      </c>
      <c r="R38" s="11">
        <v>0.0</v>
      </c>
      <c r="S38" s="11">
        <v>0.0</v>
      </c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1">
        <v>2.0</v>
      </c>
      <c r="I39" s="11">
        <v>2.0</v>
      </c>
      <c r="J39" s="11">
        <v>2.0</v>
      </c>
      <c r="K39" s="11">
        <v>2.0</v>
      </c>
      <c r="L39" s="11">
        <v>2.0</v>
      </c>
      <c r="M39" s="11">
        <v>2.0</v>
      </c>
      <c r="N39" s="11">
        <v>2.0</v>
      </c>
      <c r="O39" s="11">
        <v>2.0</v>
      </c>
      <c r="P39" s="11">
        <v>2.0</v>
      </c>
      <c r="Q39" s="11">
        <v>2.0</v>
      </c>
      <c r="R39" s="11">
        <v>2.0</v>
      </c>
      <c r="S39" s="11">
        <v>2.0</v>
      </c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1">
        <v>1.0</v>
      </c>
      <c r="I40" s="11">
        <v>1.0</v>
      </c>
      <c r="J40" s="11">
        <v>1.0</v>
      </c>
      <c r="K40" s="11">
        <v>1.0</v>
      </c>
      <c r="L40" s="11">
        <v>1.0</v>
      </c>
      <c r="M40" s="11">
        <v>1.0</v>
      </c>
      <c r="N40" s="11">
        <v>1.0</v>
      </c>
      <c r="O40" s="11">
        <v>1.0</v>
      </c>
      <c r="P40" s="11">
        <v>1.0</v>
      </c>
      <c r="Q40" s="11">
        <v>1.0</v>
      </c>
      <c r="R40" s="11">
        <v>1.0</v>
      </c>
      <c r="S40" s="11">
        <v>1.0</v>
      </c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1">
        <v>5.0</v>
      </c>
      <c r="I41" s="11">
        <v>0.0</v>
      </c>
      <c r="J41" s="11">
        <v>0.0</v>
      </c>
      <c r="K41" s="11">
        <v>0.0</v>
      </c>
      <c r="L41" s="11">
        <v>0.0</v>
      </c>
      <c r="M41" s="11">
        <v>0.0</v>
      </c>
      <c r="N41" s="11">
        <v>0.0</v>
      </c>
      <c r="O41" s="11">
        <v>0.0</v>
      </c>
      <c r="P41" s="11">
        <v>0.0</v>
      </c>
      <c r="Q41" s="11">
        <v>0.0</v>
      </c>
      <c r="R41" s="11">
        <v>0.0</v>
      </c>
      <c r="S41" s="11">
        <v>0.0</v>
      </c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1">
        <v>5.5</v>
      </c>
      <c r="I42" s="11">
        <v>6.0</v>
      </c>
      <c r="J42" s="11">
        <v>6.0</v>
      </c>
      <c r="K42" s="11">
        <v>6.0</v>
      </c>
      <c r="L42" s="11">
        <v>6.0</v>
      </c>
      <c r="M42" s="11">
        <v>6.0</v>
      </c>
      <c r="N42" s="11">
        <v>9.0</v>
      </c>
      <c r="O42" s="11">
        <v>7.0</v>
      </c>
      <c r="P42" s="11">
        <v>7.0</v>
      </c>
      <c r="Q42" s="11">
        <v>7.0</v>
      </c>
      <c r="R42" s="11">
        <v>7.0</v>
      </c>
      <c r="S42" s="11">
        <v>8.0</v>
      </c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1">
        <v>4.0</v>
      </c>
      <c r="I43" s="11">
        <v>4.0</v>
      </c>
      <c r="J43" s="11">
        <v>4.9</v>
      </c>
      <c r="K43" s="11">
        <v>5.0</v>
      </c>
      <c r="L43" s="11">
        <v>5.0</v>
      </c>
      <c r="M43" s="11">
        <v>5.0</v>
      </c>
      <c r="N43" s="11">
        <v>2.0</v>
      </c>
      <c r="O43" s="11">
        <v>2.0</v>
      </c>
      <c r="P43" s="11">
        <v>2.0</v>
      </c>
      <c r="Q43" s="11">
        <v>2.0</v>
      </c>
      <c r="R43" s="11">
        <v>2.0</v>
      </c>
      <c r="S43" s="11">
        <v>2.0</v>
      </c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1">
        <v>1.0</v>
      </c>
      <c r="I44" s="11">
        <v>4.0</v>
      </c>
      <c r="J44" s="11">
        <v>4.0</v>
      </c>
      <c r="K44" s="11">
        <v>4.0</v>
      </c>
      <c r="L44" s="11">
        <v>3.0</v>
      </c>
      <c r="M44" s="11">
        <v>3.0</v>
      </c>
      <c r="N44" s="11">
        <v>2.0</v>
      </c>
      <c r="O44" s="11">
        <v>2.0</v>
      </c>
      <c r="P44" s="11">
        <v>2.0</v>
      </c>
      <c r="Q44" s="11">
        <v>2.0</v>
      </c>
      <c r="R44" s="11">
        <v>0.0</v>
      </c>
      <c r="S44" s="11">
        <v>1.0</v>
      </c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1">
        <v>0.0</v>
      </c>
      <c r="I45" s="11">
        <v>0.0</v>
      </c>
      <c r="J45" s="11">
        <v>0.0</v>
      </c>
      <c r="K45" s="11">
        <v>0.0</v>
      </c>
      <c r="L45" s="11">
        <v>0.0</v>
      </c>
      <c r="M45" s="11">
        <v>0.0</v>
      </c>
      <c r="N45" s="11">
        <v>0.0</v>
      </c>
      <c r="O45" s="11">
        <v>0.0</v>
      </c>
      <c r="P45" s="11">
        <v>0.0</v>
      </c>
      <c r="Q45" s="11">
        <v>0.0</v>
      </c>
      <c r="R45" s="11">
        <v>0.0</v>
      </c>
      <c r="S45" s="11">
        <v>0.0</v>
      </c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1">
        <v>0.0</v>
      </c>
      <c r="I46" s="11">
        <v>0.0</v>
      </c>
      <c r="J46" s="11">
        <v>0.0</v>
      </c>
      <c r="K46" s="11">
        <v>0.0</v>
      </c>
      <c r="L46" s="11">
        <v>0.0</v>
      </c>
      <c r="M46" s="11">
        <v>0.0</v>
      </c>
      <c r="N46" s="11">
        <v>0.0</v>
      </c>
      <c r="O46" s="11">
        <v>3.0</v>
      </c>
      <c r="P46" s="11">
        <v>5.0</v>
      </c>
      <c r="Q46" s="11">
        <v>5.0</v>
      </c>
      <c r="R46" s="11">
        <v>7.0</v>
      </c>
      <c r="S46" s="11">
        <v>6.0</v>
      </c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1">
        <v>0.0</v>
      </c>
      <c r="I47" s="11">
        <v>0.0</v>
      </c>
      <c r="J47" s="11">
        <v>0.0</v>
      </c>
      <c r="K47" s="11">
        <v>0.0</v>
      </c>
      <c r="L47" s="11">
        <v>0.0</v>
      </c>
      <c r="M47" s="11">
        <v>0.0</v>
      </c>
      <c r="N47" s="11">
        <v>0.0</v>
      </c>
      <c r="O47" s="11">
        <v>0.0</v>
      </c>
      <c r="P47" s="11">
        <v>2.0</v>
      </c>
      <c r="Q47" s="11">
        <v>4.0</v>
      </c>
      <c r="R47" s="11">
        <v>5.0</v>
      </c>
      <c r="S47" s="11">
        <v>5.0</v>
      </c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1">
        <v>0.0</v>
      </c>
      <c r="I48" s="11">
        <v>0.0</v>
      </c>
      <c r="J48" s="11">
        <v>0.0</v>
      </c>
      <c r="K48" s="11">
        <v>0.0</v>
      </c>
      <c r="L48" s="11">
        <v>0.0</v>
      </c>
      <c r="M48" s="11">
        <v>0.0</v>
      </c>
      <c r="N48" s="11">
        <v>0.0</v>
      </c>
      <c r="O48" s="11">
        <v>0.0</v>
      </c>
      <c r="P48" s="11">
        <v>0.0</v>
      </c>
      <c r="Q48" s="11">
        <v>0.0</v>
      </c>
      <c r="R48" s="11">
        <v>0.0</v>
      </c>
      <c r="S48" s="11">
        <v>2.0</v>
      </c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1">
        <v>55.8</v>
      </c>
      <c r="I49" s="11">
        <v>59.0</v>
      </c>
      <c r="J49" s="11">
        <v>59.0</v>
      </c>
      <c r="K49" s="11">
        <v>57.0</v>
      </c>
      <c r="L49" s="11">
        <v>54.0</v>
      </c>
      <c r="M49" s="11">
        <v>54.0</v>
      </c>
      <c r="N49" s="11">
        <v>54.0</v>
      </c>
      <c r="O49" s="11">
        <v>52.2</v>
      </c>
      <c r="P49" s="11">
        <v>50.0</v>
      </c>
      <c r="Q49" s="11">
        <v>50.0</v>
      </c>
      <c r="R49" s="11">
        <v>49.0</v>
      </c>
      <c r="S49" s="11">
        <v>48.0</v>
      </c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1">
        <v>12.2</v>
      </c>
      <c r="I50" s="11">
        <v>12.0</v>
      </c>
      <c r="J50" s="11">
        <v>12.0</v>
      </c>
      <c r="K50" s="11">
        <v>12.0</v>
      </c>
      <c r="L50" s="11">
        <v>12.0</v>
      </c>
      <c r="M50" s="11">
        <v>12.0</v>
      </c>
      <c r="N50" s="11">
        <v>11.0</v>
      </c>
      <c r="O50" s="11">
        <v>12.0</v>
      </c>
      <c r="P50" s="11">
        <v>12.0</v>
      </c>
      <c r="Q50" s="11">
        <v>12.0</v>
      </c>
      <c r="R50" s="11">
        <v>16.0</v>
      </c>
      <c r="S50" s="11">
        <v>14.0</v>
      </c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1">
        <v>7.0</v>
      </c>
      <c r="I51" s="11">
        <v>7.0</v>
      </c>
      <c r="J51" s="11">
        <v>4.0</v>
      </c>
      <c r="K51" s="11">
        <v>3.0</v>
      </c>
      <c r="L51" s="11">
        <v>2.0</v>
      </c>
      <c r="M51" s="11">
        <v>2.0</v>
      </c>
      <c r="N51" s="11">
        <v>1.0</v>
      </c>
      <c r="O51" s="11">
        <v>1.0</v>
      </c>
      <c r="P51" s="11">
        <v>1.0</v>
      </c>
      <c r="Q51" s="11">
        <v>1.0</v>
      </c>
      <c r="R51" s="11">
        <v>2.0</v>
      </c>
      <c r="S51" s="11">
        <v>0.0</v>
      </c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1">
        <v>67.5</v>
      </c>
      <c r="I52" s="11">
        <v>62.5</v>
      </c>
      <c r="J52" s="11">
        <v>49.0</v>
      </c>
      <c r="K52" s="11">
        <v>39.0</v>
      </c>
      <c r="L52" s="11">
        <v>43.0</v>
      </c>
      <c r="M52" s="11">
        <v>44.0</v>
      </c>
      <c r="N52" s="11">
        <v>51.0</v>
      </c>
      <c r="O52" s="11">
        <v>50.8</v>
      </c>
      <c r="P52" s="11">
        <v>52.0</v>
      </c>
      <c r="Q52" s="11">
        <v>52.0</v>
      </c>
      <c r="R52" s="11">
        <v>44.0</v>
      </c>
      <c r="S52" s="11">
        <v>43.0</v>
      </c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1">
        <v>3.0</v>
      </c>
      <c r="I53" s="11">
        <v>3.0</v>
      </c>
      <c r="J53" s="11">
        <v>3.0</v>
      </c>
      <c r="K53" s="11">
        <v>3.0</v>
      </c>
      <c r="L53" s="11">
        <v>2.0</v>
      </c>
      <c r="M53" s="11">
        <v>2.0</v>
      </c>
      <c r="N53" s="11">
        <v>2.0</v>
      </c>
      <c r="O53" s="11">
        <v>2.0</v>
      </c>
      <c r="P53" s="11">
        <v>2.0</v>
      </c>
      <c r="Q53" s="11">
        <v>2.0</v>
      </c>
      <c r="R53" s="11">
        <v>2.0</v>
      </c>
      <c r="S53" s="11">
        <v>2.0</v>
      </c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1">
        <v>1.0</v>
      </c>
      <c r="I54" s="11">
        <v>1.0</v>
      </c>
      <c r="J54" s="11">
        <v>1.0</v>
      </c>
      <c r="K54" s="11">
        <v>1.0</v>
      </c>
      <c r="L54" s="11">
        <v>1.0</v>
      </c>
      <c r="M54" s="11">
        <v>1.0</v>
      </c>
      <c r="N54" s="11">
        <v>1.0</v>
      </c>
      <c r="O54" s="11">
        <v>1.0</v>
      </c>
      <c r="P54" s="11">
        <v>1.0</v>
      </c>
      <c r="Q54" s="11">
        <v>1.0</v>
      </c>
      <c r="R54" s="11">
        <v>1.0</v>
      </c>
      <c r="S54" s="11">
        <v>2.0</v>
      </c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1">
        <v>15.0</v>
      </c>
      <c r="I55" s="11">
        <v>8.0</v>
      </c>
      <c r="J55" s="11">
        <v>8.0</v>
      </c>
      <c r="K55" s="11">
        <v>8.0</v>
      </c>
      <c r="L55" s="11">
        <v>12.0</v>
      </c>
      <c r="M55" s="11">
        <v>14.0</v>
      </c>
      <c r="N55" s="11">
        <v>12.0</v>
      </c>
      <c r="O55" s="11">
        <v>11.5</v>
      </c>
      <c r="P55" s="11">
        <v>13.0</v>
      </c>
      <c r="Q55" s="11">
        <v>12.0</v>
      </c>
      <c r="R55" s="11">
        <v>0.0</v>
      </c>
      <c r="S55" s="11">
        <v>0.0</v>
      </c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1">
        <v>1.0</v>
      </c>
      <c r="I56" s="11">
        <v>1.0</v>
      </c>
      <c r="J56" s="11">
        <v>1.0</v>
      </c>
      <c r="K56" s="11">
        <v>1.0</v>
      </c>
      <c r="L56" s="11">
        <v>1.0</v>
      </c>
      <c r="M56" s="11">
        <v>0.0</v>
      </c>
      <c r="N56" s="11">
        <v>0.0</v>
      </c>
      <c r="O56" s="11">
        <v>0.0</v>
      </c>
      <c r="P56" s="11">
        <v>0.0</v>
      </c>
      <c r="Q56" s="11">
        <v>0.0</v>
      </c>
      <c r="R56" s="11">
        <v>0.0</v>
      </c>
      <c r="S56" s="11">
        <v>0.0</v>
      </c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1">
        <v>8.0</v>
      </c>
      <c r="I57" s="11">
        <v>9.0</v>
      </c>
      <c r="J57" s="11">
        <v>18.0</v>
      </c>
      <c r="K57" s="11">
        <v>6.7</v>
      </c>
      <c r="L57" s="11">
        <v>7.0</v>
      </c>
      <c r="M57" s="11">
        <v>7.0</v>
      </c>
      <c r="N57" s="11">
        <v>7.0</v>
      </c>
      <c r="O57" s="11">
        <v>7.0</v>
      </c>
      <c r="P57" s="11">
        <v>6.0</v>
      </c>
      <c r="Q57" s="11">
        <v>5.0</v>
      </c>
      <c r="R57" s="11">
        <v>3.0</v>
      </c>
      <c r="S57" s="11">
        <v>6.0</v>
      </c>
    </row>
    <row r="58" ht="14.25" customHeight="1">
      <c r="A58" s="5" t="s">
        <v>7</v>
      </c>
      <c r="B58" s="8" t="s">
        <v>112</v>
      </c>
      <c r="C58" s="1" t="str">
        <f>VLOOKUP(B58,Mapping!B:C,2,0)</f>
        <v>Lateral</v>
      </c>
      <c r="D58" s="1" t="str">
        <f>VLOOKUP(B58,Mapping!B:D,3,0)</f>
        <v>North</v>
      </c>
      <c r="E58" s="1" t="str">
        <f>VLOOKUP(B58,Mapping!B:E,4,0)</f>
        <v>North</v>
      </c>
      <c r="F58" s="1" t="str">
        <f>VLOOKUP(B58,Mapping!B:F,5,0)</f>
        <v>Anjli</v>
      </c>
      <c r="G58" s="6" t="str">
        <f>VLOOKUP(B58,Mapping!B:G,6,0)</f>
        <v>Anjli</v>
      </c>
      <c r="H58" s="11">
        <v>29.0</v>
      </c>
      <c r="I58" s="11">
        <v>27.0</v>
      </c>
      <c r="J58" s="11">
        <v>27.5</v>
      </c>
      <c r="K58" s="11">
        <v>19.0</v>
      </c>
      <c r="L58" s="11">
        <v>10.0</v>
      </c>
      <c r="M58" s="11">
        <v>12.0</v>
      </c>
      <c r="N58" s="11">
        <v>11.0</v>
      </c>
      <c r="O58" s="11">
        <v>4.0</v>
      </c>
      <c r="P58" s="11">
        <v>0.0</v>
      </c>
      <c r="Q58" s="11">
        <v>0.0</v>
      </c>
      <c r="R58" s="11">
        <v>2.0</v>
      </c>
      <c r="S58" s="11">
        <v>1.0</v>
      </c>
    </row>
    <row r="59" ht="14.25" customHeight="1"/>
    <row r="60" ht="14.25" customHeight="1"/>
    <row r="61" ht="14.25" customHeight="1">
      <c r="F61" s="7" t="s">
        <v>120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1">
        <f>Revenue_Actual!H2/Target_Rev_Productivity!H2</f>
        <v>37.775</v>
      </c>
      <c r="I2" s="11">
        <f>Revenue_Actual!I2/Target_Rev_Productivity!I2</f>
        <v>37.5</v>
      </c>
      <c r="J2" s="11">
        <f>Revenue_Actual!J2/Target_Rev_Productivity!J2</f>
        <v>26.58333333</v>
      </c>
      <c r="K2" s="11">
        <f>Revenue_Actual!K2/Target_Rev_Productivity!K2</f>
        <v>22.70833333</v>
      </c>
      <c r="L2" s="11">
        <f>Revenue_Actual!L2/Target_Rev_Productivity!L2</f>
        <v>21.875</v>
      </c>
      <c r="M2" s="11">
        <f>Revenue_Actual!M2/Target_Rev_Productivity!M2</f>
        <v>26.07253086</v>
      </c>
      <c r="N2" s="11">
        <f>Revenue_Actual!N2/Target_Rev_Productivity!N2</f>
        <v>22.70833333</v>
      </c>
      <c r="O2" s="11">
        <f>Revenue_Actual!O2/Target_Rev_Productivity!O2</f>
        <v>21.5</v>
      </c>
      <c r="P2" s="11">
        <f>Revenue_Actual!P2/Target_Rev_Productivity!P2</f>
        <v>20.41666667</v>
      </c>
      <c r="Q2" s="11">
        <f>Revenue_Actual!Q2/Target_Rev_Productivity!Q2</f>
        <v>17.08333333</v>
      </c>
      <c r="R2" s="11">
        <f>Revenue_Actual!R2/Target_Rev_Productivity!R2</f>
        <v>9.583333333</v>
      </c>
      <c r="S2" s="11">
        <f>Revenue_Actual!S2/Target_Rev_Productivity!S2</f>
        <v>1.666666667</v>
      </c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1">
        <f>Revenue_Actual!H3/Target_Rev_Productivity!H3</f>
        <v>6.533333333</v>
      </c>
      <c r="I3" s="11">
        <f>Revenue_Actual!I3/Target_Rev_Productivity!I3</f>
        <v>4.583333333</v>
      </c>
      <c r="J3" s="11">
        <f>Revenue_Actual!J3/Target_Rev_Productivity!J3</f>
        <v>4.833333333</v>
      </c>
      <c r="K3" s="11">
        <f>Revenue_Actual!K3/Target_Rev_Productivity!K3</f>
        <v>5.041666667</v>
      </c>
      <c r="L3" s="11">
        <f>Revenue_Actual!L3/Target_Rev_Productivity!L3</f>
        <v>5.833333333</v>
      </c>
      <c r="M3" s="11">
        <f>Revenue_Actual!M3/Target_Rev_Productivity!M3</f>
        <v>4.375</v>
      </c>
      <c r="N3" s="11">
        <f>Revenue_Actual!N3/Target_Rev_Productivity!N3</f>
        <v>2.291666667</v>
      </c>
      <c r="O3" s="11">
        <f>Revenue_Actual!O3/Target_Rev_Productivity!O3</f>
        <v>2.666666667</v>
      </c>
      <c r="P3" s="11">
        <f>Revenue_Actual!P3/Target_Rev_Productivity!P3</f>
        <v>2.25</v>
      </c>
      <c r="Q3" s="11">
        <f>Revenue_Actual!Q3/Target_Rev_Productivity!Q3</f>
        <v>2.5</v>
      </c>
      <c r="R3" s="11">
        <f>Revenue_Actual!R3/Target_Rev_Productivity!R3</f>
        <v>3.333333333</v>
      </c>
      <c r="S3" s="11">
        <f>Revenue_Actual!S3/Target_Rev_Productivity!S3</f>
        <v>3.75</v>
      </c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1">
        <f>Revenue_Actual!H4/Target_Rev_Productivity!H4</f>
        <v>5</v>
      </c>
      <c r="I4" s="11">
        <f>Revenue_Actual!I4/Target_Rev_Productivity!I4</f>
        <v>5</v>
      </c>
      <c r="J4" s="11">
        <f>Revenue_Actual!J4/Target_Rev_Productivity!J4</f>
        <v>5</v>
      </c>
      <c r="K4" s="11">
        <f>Revenue_Actual!K4/Target_Rev_Productivity!K4</f>
        <v>3.333333333</v>
      </c>
      <c r="L4" s="11">
        <f>Revenue_Actual!L4/Target_Rev_Productivity!L4</f>
        <v>3.333333333</v>
      </c>
      <c r="M4" s="11">
        <f>Revenue_Actual!M4/Target_Rev_Productivity!M4</f>
        <v>3.333333333</v>
      </c>
      <c r="N4" s="11">
        <f>Revenue_Actual!N4/Target_Rev_Productivity!N4</f>
        <v>3.333333333</v>
      </c>
      <c r="O4" s="11">
        <f>Revenue_Actual!O4/Target_Rev_Productivity!O4</f>
        <v>2.5</v>
      </c>
      <c r="P4" s="11">
        <f>Revenue_Actual!P4/Target_Rev_Productivity!P4</f>
        <v>2.5</v>
      </c>
      <c r="Q4" s="11">
        <f>Revenue_Actual!Q4/Target_Rev_Productivity!Q4</f>
        <v>2.5</v>
      </c>
      <c r="R4" s="11">
        <f>Revenue_Actual!R4/Target_Rev_Productivity!R4</f>
        <v>4.166666667</v>
      </c>
      <c r="S4" s="11">
        <f>Revenue_Actual!S4/Target_Rev_Productivity!S4</f>
        <v>3.75</v>
      </c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1">
        <f>Revenue_Actual!H5/Target_Rev_Productivity!H5</f>
        <v>0.8333333333</v>
      </c>
      <c r="I5" s="11">
        <f>Revenue_Actual!I5/Target_Rev_Productivity!I5</f>
        <v>0.8333333333</v>
      </c>
      <c r="J5" s="11">
        <f>Revenue_Actual!J5/Target_Rev_Productivity!J5</f>
        <v>0.8333333333</v>
      </c>
      <c r="K5" s="11">
        <f>Revenue_Actual!K5/Target_Rev_Productivity!K5</f>
        <v>0.8333333333</v>
      </c>
      <c r="L5" s="11">
        <f>Revenue_Actual!L5/Target_Rev_Productivity!L5</f>
        <v>0.8333333333</v>
      </c>
      <c r="M5" s="11">
        <f>Revenue_Actual!M5/Target_Rev_Productivity!M5</f>
        <v>0.8333333333</v>
      </c>
      <c r="N5" s="11">
        <f>Revenue_Actual!N5/Target_Rev_Productivity!N5</f>
        <v>0.8333333333</v>
      </c>
      <c r="O5" s="11">
        <f>Revenue_Actual!O5/Target_Rev_Productivity!O5</f>
        <v>0</v>
      </c>
      <c r="P5" s="11">
        <f>Revenue_Actual!P5/Target_Rev_Productivity!P5</f>
        <v>1.666666667</v>
      </c>
      <c r="Q5" s="11">
        <f>Revenue_Actual!Q5/Target_Rev_Productivity!Q5</f>
        <v>0</v>
      </c>
      <c r="R5" s="11">
        <f>Revenue_Actual!R5/Target_Rev_Productivity!R5</f>
        <v>0</v>
      </c>
      <c r="S5" s="11">
        <f>Revenue_Actual!S5/Target_Rev_Productivity!S5</f>
        <v>0.8333333333</v>
      </c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1">
        <f>Revenue_Actual!H6/Target_Rev_Productivity!H6</f>
        <v>11.94166667</v>
      </c>
      <c r="I6" s="11">
        <f>Revenue_Actual!I6/Target_Rev_Productivity!I6</f>
        <v>11.66666667</v>
      </c>
      <c r="J6" s="11">
        <f>Revenue_Actual!J6/Target_Rev_Productivity!J6</f>
        <v>12.5</v>
      </c>
      <c r="K6" s="11">
        <f>Revenue_Actual!K6/Target_Rev_Productivity!K6</f>
        <v>12.70833333</v>
      </c>
      <c r="L6" s="11">
        <f>Revenue_Actual!L6/Target_Rev_Productivity!L6</f>
        <v>11.875</v>
      </c>
      <c r="M6" s="11">
        <f>Revenue_Actual!M6/Target_Rev_Productivity!M6</f>
        <v>13.54166667</v>
      </c>
      <c r="N6" s="11">
        <f>Revenue_Actual!N6/Target_Rev_Productivity!N6</f>
        <v>9.375</v>
      </c>
      <c r="O6" s="11">
        <f>Revenue_Actual!O6/Target_Rev_Productivity!O6</f>
        <v>2.333333333</v>
      </c>
      <c r="P6" s="11">
        <f>Revenue_Actual!P6/Target_Rev_Productivity!P6</f>
        <v>2.916666667</v>
      </c>
      <c r="Q6" s="11">
        <f>Revenue_Actual!Q6/Target_Rev_Productivity!Q6</f>
        <v>0</v>
      </c>
      <c r="R6" s="11">
        <f>Revenue_Actual!R6/Target_Rev_Productivity!R6</f>
        <v>0.1666666667</v>
      </c>
      <c r="S6" s="11">
        <f>Revenue_Actual!S6/Target_Rev_Productivity!S6</f>
        <v>-5.519272222</v>
      </c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1">
        <f>Revenue_Actual!H7/Target_Rev_Productivity!H7</f>
        <v>1.25</v>
      </c>
      <c r="I7" s="11">
        <f>Revenue_Actual!I7/Target_Rev_Productivity!I7</f>
        <v>1.25</v>
      </c>
      <c r="J7" s="11">
        <f>Revenue_Actual!J7/Target_Rev_Productivity!J7</f>
        <v>1.25</v>
      </c>
      <c r="K7" s="11">
        <f>Revenue_Actual!K7/Target_Rev_Productivity!K7</f>
        <v>1.25</v>
      </c>
      <c r="L7" s="11">
        <f>Revenue_Actual!L7/Target_Rev_Productivity!L7</f>
        <v>0</v>
      </c>
      <c r="M7" s="11">
        <f>Revenue_Actual!M7/Target_Rev_Productivity!M7</f>
        <v>0</v>
      </c>
      <c r="N7" s="11">
        <f>Revenue_Actual!N7/Target_Rev_Productivity!N7</f>
        <v>0</v>
      </c>
      <c r="O7" s="11">
        <f>Revenue_Actual!O7/Target_Rev_Productivity!O7</f>
        <v>0</v>
      </c>
      <c r="P7" s="11">
        <f>Revenue_Actual!P7/Target_Rev_Productivity!P7</f>
        <v>0</v>
      </c>
      <c r="Q7" s="11">
        <f>Revenue_Actual!Q7/Target_Rev_Productivity!Q7</f>
        <v>0</v>
      </c>
      <c r="R7" s="11">
        <f>Revenue_Actual!R7/Target_Rev_Productivity!R7</f>
        <v>0</v>
      </c>
      <c r="S7" s="11">
        <f>Revenue_Actual!S7/Target_Rev_Productivity!S7</f>
        <v>0</v>
      </c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1">
        <f>Revenue_Actual!H8/Target_Rev_Productivity!H8</f>
        <v>0</v>
      </c>
      <c r="I8" s="11">
        <f>Revenue_Actual!I8/Target_Rev_Productivity!I8</f>
        <v>0</v>
      </c>
      <c r="J8" s="11">
        <f>Revenue_Actual!J8/Target_Rev_Productivity!J8</f>
        <v>0</v>
      </c>
      <c r="K8" s="11">
        <f>Revenue_Actual!K8/Target_Rev_Productivity!K8</f>
        <v>0</v>
      </c>
      <c r="L8" s="11">
        <f>Revenue_Actual!L8/Target_Rev_Productivity!L8</f>
        <v>0</v>
      </c>
      <c r="M8" s="11">
        <f>Revenue_Actual!M8/Target_Rev_Productivity!M8</f>
        <v>0</v>
      </c>
      <c r="N8" s="11">
        <f>Revenue_Actual!N8/Target_Rev_Productivity!N8</f>
        <v>0</v>
      </c>
      <c r="O8" s="11">
        <f>Revenue_Actual!O8/Target_Rev_Productivity!O8</f>
        <v>0</v>
      </c>
      <c r="P8" s="11">
        <f>Revenue_Actual!P8/Target_Rev_Productivity!P8</f>
        <v>0</v>
      </c>
      <c r="Q8" s="11">
        <f>Revenue_Actual!Q8/Target_Rev_Productivity!Q8</f>
        <v>0</v>
      </c>
      <c r="R8" s="11">
        <f>Revenue_Actual!R8/Target_Rev_Productivity!R8</f>
        <v>0</v>
      </c>
      <c r="S8" s="11">
        <f>Revenue_Actual!S8/Target_Rev_Productivity!S8</f>
        <v>0</v>
      </c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1">
        <f>Revenue_Actual!H9/Target_Rev_Productivity!H9</f>
        <v>4.166666667</v>
      </c>
      <c r="I9" s="11">
        <f>Revenue_Actual!I9/Target_Rev_Productivity!I9</f>
        <v>4.166666667</v>
      </c>
      <c r="J9" s="11">
        <f>Revenue_Actual!J9/Target_Rev_Productivity!J9</f>
        <v>4.166666667</v>
      </c>
      <c r="K9" s="11">
        <f>Revenue_Actual!K9/Target_Rev_Productivity!K9</f>
        <v>4.375</v>
      </c>
      <c r="L9" s="11">
        <f>Revenue_Actual!L9/Target_Rev_Productivity!L9</f>
        <v>5.625</v>
      </c>
      <c r="M9" s="11">
        <f>Revenue_Actual!M9/Target_Rev_Productivity!M9</f>
        <v>8.125</v>
      </c>
      <c r="N9" s="11">
        <f>Revenue_Actual!N9/Target_Rev_Productivity!N9</f>
        <v>9.791666667</v>
      </c>
      <c r="O9" s="11">
        <f>Revenue_Actual!O9/Target_Rev_Productivity!O9</f>
        <v>11.25</v>
      </c>
      <c r="P9" s="11">
        <f>Revenue_Actual!P9/Target_Rev_Productivity!P9</f>
        <v>10</v>
      </c>
      <c r="Q9" s="11">
        <f>Revenue_Actual!Q9/Target_Rev_Productivity!Q9</f>
        <v>10</v>
      </c>
      <c r="R9" s="11">
        <f>Revenue_Actual!R9/Target_Rev_Productivity!R9</f>
        <v>10</v>
      </c>
      <c r="S9" s="11">
        <f>Revenue_Actual!S9/Target_Rev_Productivity!S9</f>
        <v>12.91666667</v>
      </c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1">
        <f>Revenue_Actual!H10/Target_Rev_Productivity!H10</f>
        <v>0</v>
      </c>
      <c r="I10" s="11">
        <f>Revenue_Actual!I10/Target_Rev_Productivity!I10</f>
        <v>0</v>
      </c>
      <c r="J10" s="11">
        <f>Revenue_Actual!J10/Target_Rev_Productivity!J10</f>
        <v>0</v>
      </c>
      <c r="K10" s="11">
        <f>Revenue_Actual!K10/Target_Rev_Productivity!K10</f>
        <v>0</v>
      </c>
      <c r="L10" s="11">
        <f>Revenue_Actual!L10/Target_Rev_Productivity!L10</f>
        <v>0</v>
      </c>
      <c r="M10" s="11">
        <f>Revenue_Actual!M10/Target_Rev_Productivity!M10</f>
        <v>0</v>
      </c>
      <c r="N10" s="11">
        <f>Revenue_Actual!N10/Target_Rev_Productivity!N10</f>
        <v>0</v>
      </c>
      <c r="O10" s="11">
        <f>Revenue_Actual!O10/Target_Rev_Productivity!O10</f>
        <v>0.8333333333</v>
      </c>
      <c r="P10" s="11">
        <f>Revenue_Actual!P10/Target_Rev_Productivity!P10</f>
        <v>0</v>
      </c>
      <c r="Q10" s="11">
        <f>Revenue_Actual!Q10/Target_Rev_Productivity!Q10</f>
        <v>0.8333333333</v>
      </c>
      <c r="R10" s="11">
        <f>Revenue_Actual!R10/Target_Rev_Productivity!R10</f>
        <v>1.666666667</v>
      </c>
      <c r="S10" s="11">
        <f>Revenue_Actual!S10/Target_Rev_Productivity!S10</f>
        <v>2.5</v>
      </c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1">
        <f>Revenue_Actual!H11/Target_Rev_Productivity!H11</f>
        <v>7.916666667</v>
      </c>
      <c r="I11" s="11">
        <f>Revenue_Actual!I11/Target_Rev_Productivity!I11</f>
        <v>8.75</v>
      </c>
      <c r="J11" s="11">
        <f>Revenue_Actual!J11/Target_Rev_Productivity!J11</f>
        <v>9.583333333</v>
      </c>
      <c r="K11" s="11">
        <f>Revenue_Actual!K11/Target_Rev_Productivity!K11</f>
        <v>10</v>
      </c>
      <c r="L11" s="11">
        <f>Revenue_Actual!L11/Target_Rev_Productivity!L11</f>
        <v>9.166666667</v>
      </c>
      <c r="M11" s="11">
        <f>Revenue_Actual!M11/Target_Rev_Productivity!M11</f>
        <v>9.166666667</v>
      </c>
      <c r="N11" s="11">
        <f>Revenue_Actual!N11/Target_Rev_Productivity!N11</f>
        <v>8.333333333</v>
      </c>
      <c r="O11" s="11">
        <f>Revenue_Actual!O11/Target_Rev_Productivity!O11</f>
        <v>7.5</v>
      </c>
      <c r="P11" s="11">
        <f>Revenue_Actual!P11/Target_Rev_Productivity!P11</f>
        <v>7.5</v>
      </c>
      <c r="Q11" s="11">
        <f>Revenue_Actual!Q11/Target_Rev_Productivity!Q11</f>
        <v>7.5</v>
      </c>
      <c r="R11" s="11">
        <f>Revenue_Actual!R11/Target_Rev_Productivity!R11</f>
        <v>7.5</v>
      </c>
      <c r="S11" s="11">
        <f>Revenue_Actual!S11/Target_Rev_Productivity!S11</f>
        <v>7.5</v>
      </c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1">
        <f>Revenue_Actual!H12/Target_Rev_Productivity!H12</f>
        <v>9.5</v>
      </c>
      <c r="I12" s="11">
        <f>Revenue_Actual!I12/Target_Rev_Productivity!I12</f>
        <v>8.333333333</v>
      </c>
      <c r="J12" s="11">
        <f>Revenue_Actual!J12/Target_Rev_Productivity!J12</f>
        <v>8.333333333</v>
      </c>
      <c r="K12" s="11">
        <f>Revenue_Actual!K12/Target_Rev_Productivity!K12</f>
        <v>8.333333333</v>
      </c>
      <c r="L12" s="11">
        <f>Revenue_Actual!L12/Target_Rev_Productivity!L12</f>
        <v>7.5</v>
      </c>
      <c r="M12" s="11">
        <f>Revenue_Actual!M12/Target_Rev_Productivity!M12</f>
        <v>8.333333333</v>
      </c>
      <c r="N12" s="11">
        <f>Revenue_Actual!N12/Target_Rev_Productivity!N12</f>
        <v>8.333333333</v>
      </c>
      <c r="O12" s="11">
        <f>Revenue_Actual!O12/Target_Rev_Productivity!O12</f>
        <v>6.666666667</v>
      </c>
      <c r="P12" s="11">
        <f>Revenue_Actual!P12/Target_Rev_Productivity!P12</f>
        <v>6.666666667</v>
      </c>
      <c r="Q12" s="11">
        <f>Revenue_Actual!Q12/Target_Rev_Productivity!Q12</f>
        <v>6.666666667</v>
      </c>
      <c r="R12" s="11">
        <f>Revenue_Actual!R12/Target_Rev_Productivity!R12</f>
        <v>6.666666667</v>
      </c>
      <c r="S12" s="11">
        <f>Revenue_Actual!S12/Target_Rev_Productivity!S12</f>
        <v>3.333333333</v>
      </c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1">
        <f>Revenue_Actual!H13/Target_Rev_Productivity!H13</f>
        <v>0.3333333333</v>
      </c>
      <c r="I13" s="11">
        <f>Revenue_Actual!I13/Target_Rev_Productivity!I13</f>
        <v>1.666666667</v>
      </c>
      <c r="J13" s="11">
        <f>Revenue_Actual!J13/Target_Rev_Productivity!J13</f>
        <v>5.416666667</v>
      </c>
      <c r="K13" s="11">
        <f>Revenue_Actual!K13/Target_Rev_Productivity!K13</f>
        <v>13.41666667</v>
      </c>
      <c r="L13" s="11">
        <f>Revenue_Actual!L13/Target_Rev_Productivity!L13</f>
        <v>16.25</v>
      </c>
      <c r="M13" s="11">
        <f>Revenue_Actual!M13/Target_Rev_Productivity!M13</f>
        <v>25.125</v>
      </c>
      <c r="N13" s="11">
        <f>Revenue_Actual!N13/Target_Rev_Productivity!N13</f>
        <v>24.16666667</v>
      </c>
      <c r="O13" s="11">
        <f>Revenue_Actual!O13/Target_Rev_Productivity!O13</f>
        <v>36.25</v>
      </c>
      <c r="P13" s="11">
        <f>Revenue_Actual!P13/Target_Rev_Productivity!P13</f>
        <v>37.5</v>
      </c>
      <c r="Q13" s="11">
        <f>Revenue_Actual!Q13/Target_Rev_Productivity!Q13</f>
        <v>39.5</v>
      </c>
      <c r="R13" s="11">
        <f>Revenue_Actual!R13/Target_Rev_Productivity!R13</f>
        <v>38.66666667</v>
      </c>
      <c r="S13" s="11">
        <f>Revenue_Actual!S13/Target_Rev_Productivity!S13</f>
        <v>43.75</v>
      </c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1">
        <f>Revenue_Actual!H14/Target_Rev_Productivity!H14</f>
        <v>0</v>
      </c>
      <c r="I14" s="11">
        <f>Revenue_Actual!I14/Target_Rev_Productivity!I14</f>
        <v>0</v>
      </c>
      <c r="J14" s="11">
        <f>Revenue_Actual!J14/Target_Rev_Productivity!J14</f>
        <v>0</v>
      </c>
      <c r="K14" s="11">
        <f>Revenue_Actual!K14/Target_Rev_Productivity!K14</f>
        <v>0</v>
      </c>
      <c r="L14" s="11">
        <f>Revenue_Actual!L14/Target_Rev_Productivity!L14</f>
        <v>2.722222222</v>
      </c>
      <c r="M14" s="11">
        <f>Revenue_Actual!M14/Target_Rev_Productivity!M14</f>
        <v>0</v>
      </c>
      <c r="N14" s="11">
        <f>Revenue_Actual!N14/Target_Rev_Productivity!N14</f>
        <v>0</v>
      </c>
      <c r="O14" s="11">
        <f>Revenue_Actual!O14/Target_Rev_Productivity!O14</f>
        <v>0</v>
      </c>
      <c r="P14" s="11">
        <f>Revenue_Actual!P14/Target_Rev_Productivity!P14</f>
        <v>0</v>
      </c>
      <c r="Q14" s="11">
        <f>Revenue_Actual!Q14/Target_Rev_Productivity!Q14</f>
        <v>0.7777777778</v>
      </c>
      <c r="R14" s="11">
        <f>Revenue_Actual!R14/Target_Rev_Productivity!R14</f>
        <v>0</v>
      </c>
      <c r="S14" s="11">
        <f>Revenue_Actual!S14/Target_Rev_Productivity!S14</f>
        <v>0.8333333333</v>
      </c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1">
        <f>Revenue_Actual!H15/Target_Rev_Productivity!H15</f>
        <v>0</v>
      </c>
      <c r="I15" s="11">
        <f>Revenue_Actual!I15/Target_Rev_Productivity!I15</f>
        <v>0</v>
      </c>
      <c r="J15" s="11">
        <f>Revenue_Actual!J15/Target_Rev_Productivity!J15</f>
        <v>0</v>
      </c>
      <c r="K15" s="11">
        <f>Revenue_Actual!K15/Target_Rev_Productivity!K15</f>
        <v>0</v>
      </c>
      <c r="L15" s="11">
        <f>Revenue_Actual!L15/Target_Rev_Productivity!L15</f>
        <v>0</v>
      </c>
      <c r="M15" s="11">
        <f>Revenue_Actual!M15/Target_Rev_Productivity!M15</f>
        <v>1.111111111</v>
      </c>
      <c r="N15" s="11">
        <f>Revenue_Actual!N15/Target_Rev_Productivity!N15</f>
        <v>0</v>
      </c>
      <c r="O15" s="11">
        <f>Revenue_Actual!O15/Target_Rev_Productivity!O15</f>
        <v>0.8333333333</v>
      </c>
      <c r="P15" s="11">
        <f>Revenue_Actual!P15/Target_Rev_Productivity!P15</f>
        <v>1.666666667</v>
      </c>
      <c r="Q15" s="11">
        <f>Revenue_Actual!Q15/Target_Rev_Productivity!Q15</f>
        <v>0.8333333333</v>
      </c>
      <c r="R15" s="11">
        <f>Revenue_Actual!R15/Target_Rev_Productivity!R15</f>
        <v>0.8333333333</v>
      </c>
      <c r="S15" s="11">
        <f>Revenue_Actual!S15/Target_Rev_Productivity!S15</f>
        <v>1.666666667</v>
      </c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1">
        <f>Revenue_Actual!H16/Target_Rev_Productivity!H16</f>
        <v>0</v>
      </c>
      <c r="I16" s="11">
        <f>Revenue_Actual!I16/Target_Rev_Productivity!I16</f>
        <v>0</v>
      </c>
      <c r="J16" s="11">
        <f>Revenue_Actual!J16/Target_Rev_Productivity!J16</f>
        <v>0</v>
      </c>
      <c r="K16" s="11">
        <f>Revenue_Actual!K16/Target_Rev_Productivity!K16</f>
        <v>0</v>
      </c>
      <c r="L16" s="11">
        <f>Revenue_Actual!L16/Target_Rev_Productivity!L16</f>
        <v>0</v>
      </c>
      <c r="M16" s="11">
        <f>Revenue_Actual!M16/Target_Rev_Productivity!M16</f>
        <v>0</v>
      </c>
      <c r="N16" s="11">
        <f>Revenue_Actual!N16/Target_Rev_Productivity!N16</f>
        <v>0</v>
      </c>
      <c r="O16" s="11">
        <f>Revenue_Actual!O16/Target_Rev_Productivity!O16</f>
        <v>0</v>
      </c>
      <c r="P16" s="11">
        <f>Revenue_Actual!P16/Target_Rev_Productivity!P16</f>
        <v>0</v>
      </c>
      <c r="Q16" s="11">
        <f>Revenue_Actual!Q16/Target_Rev_Productivity!Q16</f>
        <v>0</v>
      </c>
      <c r="R16" s="11">
        <f>Revenue_Actual!R16/Target_Rev_Productivity!R16</f>
        <v>0</v>
      </c>
      <c r="S16" s="11">
        <f>Revenue_Actual!S16/Target_Rev_Productivity!S16</f>
        <v>1.666666667</v>
      </c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1">
        <f>Revenue_Actual!H17/Target_Rev_Productivity!H17</f>
        <v>5.833333333</v>
      </c>
      <c r="I17" s="11">
        <f>Revenue_Actual!I17/Target_Rev_Productivity!I17</f>
        <v>5.833333333</v>
      </c>
      <c r="J17" s="11">
        <f>Revenue_Actual!J17/Target_Rev_Productivity!J17</f>
        <v>5.833333333</v>
      </c>
      <c r="K17" s="11">
        <f>Revenue_Actual!K17/Target_Rev_Productivity!K17</f>
        <v>5</v>
      </c>
      <c r="L17" s="11">
        <f>Revenue_Actual!L17/Target_Rev_Productivity!L17</f>
        <v>5</v>
      </c>
      <c r="M17" s="11">
        <f>Revenue_Actual!M17/Target_Rev_Productivity!M17</f>
        <v>5.833333333</v>
      </c>
      <c r="N17" s="11">
        <f>Revenue_Actual!N17/Target_Rev_Productivity!N17</f>
        <v>2.5</v>
      </c>
      <c r="O17" s="11">
        <f>Revenue_Actual!O17/Target_Rev_Productivity!O17</f>
        <v>3.333333333</v>
      </c>
      <c r="P17" s="11">
        <f>Revenue_Actual!P17/Target_Rev_Productivity!P17</f>
        <v>3.333333333</v>
      </c>
      <c r="Q17" s="11">
        <f>Revenue_Actual!Q17/Target_Rev_Productivity!Q17</f>
        <v>3.333333333</v>
      </c>
      <c r="R17" s="11">
        <f>Revenue_Actual!R17/Target_Rev_Productivity!R17</f>
        <v>2.5</v>
      </c>
      <c r="S17" s="11">
        <f>Revenue_Actual!S17/Target_Rev_Productivity!S17</f>
        <v>3.333333333</v>
      </c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1">
        <f>Revenue_Actual!H18/Target_Rev_Productivity!H18</f>
        <v>1.666666667</v>
      </c>
      <c r="I18" s="11">
        <f>Revenue_Actual!I18/Target_Rev_Productivity!I18</f>
        <v>1.666666667</v>
      </c>
      <c r="J18" s="11">
        <f>Revenue_Actual!J18/Target_Rev_Productivity!J18</f>
        <v>-0.05055555556</v>
      </c>
      <c r="K18" s="11">
        <f>Revenue_Actual!K18/Target_Rev_Productivity!K18</f>
        <v>0</v>
      </c>
      <c r="L18" s="11">
        <f>Revenue_Actual!L18/Target_Rev_Productivity!L18</f>
        <v>0</v>
      </c>
      <c r="M18" s="11">
        <f>Revenue_Actual!M18/Target_Rev_Productivity!M18</f>
        <v>0</v>
      </c>
      <c r="N18" s="11">
        <f>Revenue_Actual!N18/Target_Rev_Productivity!N18</f>
        <v>0</v>
      </c>
      <c r="O18" s="11">
        <f>Revenue_Actual!O18/Target_Rev_Productivity!O18</f>
        <v>0</v>
      </c>
      <c r="P18" s="11">
        <f>Revenue_Actual!P18/Target_Rev_Productivity!P18</f>
        <v>0</v>
      </c>
      <c r="Q18" s="11">
        <f>Revenue_Actual!Q18/Target_Rev_Productivity!Q18</f>
        <v>0</v>
      </c>
      <c r="R18" s="11">
        <f>Revenue_Actual!R18/Target_Rev_Productivity!R18</f>
        <v>0</v>
      </c>
      <c r="S18" s="11">
        <f>Revenue_Actual!S18/Target_Rev_Productivity!S18</f>
        <v>0</v>
      </c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1">
        <f>Revenue_Actual!H19/Target_Rev_Productivity!H19</f>
        <v>10.83333333</v>
      </c>
      <c r="I19" s="11">
        <f>Revenue_Actual!I19/Target_Rev_Productivity!I19</f>
        <v>10</v>
      </c>
      <c r="J19" s="11">
        <f>Revenue_Actual!J19/Target_Rev_Productivity!J19</f>
        <v>9.166666667</v>
      </c>
      <c r="K19" s="11">
        <f>Revenue_Actual!K19/Target_Rev_Productivity!K19</f>
        <v>9.083333333</v>
      </c>
      <c r="L19" s="11">
        <f>Revenue_Actual!L19/Target_Rev_Productivity!L19</f>
        <v>8.333333333</v>
      </c>
      <c r="M19" s="11">
        <f>Revenue_Actual!M19/Target_Rev_Productivity!M19</f>
        <v>10</v>
      </c>
      <c r="N19" s="11">
        <f>Revenue_Actual!N19/Target_Rev_Productivity!N19</f>
        <v>10.83333333</v>
      </c>
      <c r="O19" s="11">
        <f>Revenue_Actual!O19/Target_Rev_Productivity!O19</f>
        <v>8.333333333</v>
      </c>
      <c r="P19" s="11">
        <f>Revenue_Actual!P19/Target_Rev_Productivity!P19</f>
        <v>8.333333333</v>
      </c>
      <c r="Q19" s="11">
        <f>Revenue_Actual!Q19/Target_Rev_Productivity!Q19</f>
        <v>8.333333333</v>
      </c>
      <c r="R19" s="11">
        <f>Revenue_Actual!R19/Target_Rev_Productivity!R19</f>
        <v>9.166666667</v>
      </c>
      <c r="S19" s="11">
        <f>Revenue_Actual!S19/Target_Rev_Productivity!S19</f>
        <v>9.166666667</v>
      </c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1">
        <f>Revenue_Actual!H20/Target_Rev_Productivity!H20</f>
        <v>15.41666667</v>
      </c>
      <c r="I20" s="11">
        <f>Revenue_Actual!I20/Target_Rev_Productivity!I20</f>
        <v>13.33333333</v>
      </c>
      <c r="J20" s="11">
        <f>Revenue_Actual!J20/Target_Rev_Productivity!J20</f>
        <v>13.33333333</v>
      </c>
      <c r="K20" s="11">
        <f>Revenue_Actual!K20/Target_Rev_Productivity!K20</f>
        <v>13.33333333</v>
      </c>
      <c r="L20" s="11">
        <f>Revenue_Actual!L20/Target_Rev_Productivity!L20</f>
        <v>13.33333333</v>
      </c>
      <c r="M20" s="11">
        <f>Revenue_Actual!M20/Target_Rev_Productivity!M20</f>
        <v>13.33333333</v>
      </c>
      <c r="N20" s="11">
        <f>Revenue_Actual!N20/Target_Rev_Productivity!N20</f>
        <v>13.33333333</v>
      </c>
      <c r="O20" s="11">
        <f>Revenue_Actual!O20/Target_Rev_Productivity!O20</f>
        <v>13.75</v>
      </c>
      <c r="P20" s="11">
        <f>Revenue_Actual!P20/Target_Rev_Productivity!P20</f>
        <v>10.41666667</v>
      </c>
      <c r="Q20" s="11">
        <f>Revenue_Actual!Q20/Target_Rev_Productivity!Q20</f>
        <v>6.666666667</v>
      </c>
      <c r="R20" s="11">
        <f>Revenue_Actual!R20/Target_Rev_Productivity!R20</f>
        <v>6.666666667</v>
      </c>
      <c r="S20" s="11">
        <f>Revenue_Actual!S20/Target_Rev_Productivity!S20</f>
        <v>6.666666667</v>
      </c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1">
        <f>Revenue_Actual!H21/Target_Rev_Productivity!H21</f>
        <v>51</v>
      </c>
      <c r="I21" s="11">
        <f>Revenue_Actual!I21/Target_Rev_Productivity!I21</f>
        <v>48.33333333</v>
      </c>
      <c r="J21" s="11">
        <f>Revenue_Actual!J21/Target_Rev_Productivity!J21</f>
        <v>43.91666667</v>
      </c>
      <c r="K21" s="11">
        <f>Revenue_Actual!K21/Target_Rev_Productivity!K21</f>
        <v>42.83333333</v>
      </c>
      <c r="L21" s="11">
        <f>Revenue_Actual!L21/Target_Rev_Productivity!L21</f>
        <v>43.75</v>
      </c>
      <c r="M21" s="11">
        <f>Revenue_Actual!M21/Target_Rev_Productivity!M21</f>
        <v>44.16666667</v>
      </c>
      <c r="N21" s="11">
        <f>Revenue_Actual!N21/Target_Rev_Productivity!N21</f>
        <v>43.33333333</v>
      </c>
      <c r="O21" s="11">
        <f>Revenue_Actual!O21/Target_Rev_Productivity!O21</f>
        <v>41.66666667</v>
      </c>
      <c r="P21" s="11">
        <f>Revenue_Actual!P21/Target_Rev_Productivity!P21</f>
        <v>43.33333333</v>
      </c>
      <c r="Q21" s="11">
        <f>Revenue_Actual!Q21/Target_Rev_Productivity!Q21</f>
        <v>44.16666667</v>
      </c>
      <c r="R21" s="11">
        <f>Revenue_Actual!R21/Target_Rev_Productivity!R21</f>
        <v>45</v>
      </c>
      <c r="S21" s="11">
        <f>Revenue_Actual!S21/Target_Rev_Productivity!S21</f>
        <v>47.08333333</v>
      </c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1">
        <f>Revenue_Actual!H22/Target_Rev_Productivity!H22</f>
        <v>10.83333333</v>
      </c>
      <c r="I22" s="11">
        <f>Revenue_Actual!I22/Target_Rev_Productivity!I22</f>
        <v>10</v>
      </c>
      <c r="J22" s="11">
        <f>Revenue_Actual!J22/Target_Rev_Productivity!J22</f>
        <v>9.166666667</v>
      </c>
      <c r="K22" s="11">
        <f>Revenue_Actual!K22/Target_Rev_Productivity!K22</f>
        <v>9.166666667</v>
      </c>
      <c r="L22" s="11">
        <f>Revenue_Actual!L22/Target_Rev_Productivity!L22</f>
        <v>9.166666667</v>
      </c>
      <c r="M22" s="11">
        <f>Revenue_Actual!M22/Target_Rev_Productivity!M22</f>
        <v>9.166666667</v>
      </c>
      <c r="N22" s="11">
        <f>Revenue_Actual!N22/Target_Rev_Productivity!N22</f>
        <v>9.166666667</v>
      </c>
      <c r="O22" s="11">
        <f>Revenue_Actual!O22/Target_Rev_Productivity!O22</f>
        <v>10</v>
      </c>
      <c r="P22" s="11">
        <f>Revenue_Actual!P22/Target_Rev_Productivity!P22</f>
        <v>9.166666667</v>
      </c>
      <c r="Q22" s="11">
        <f>Revenue_Actual!Q22/Target_Rev_Productivity!Q22</f>
        <v>8.333333333</v>
      </c>
      <c r="R22" s="11">
        <f>Revenue_Actual!R22/Target_Rev_Productivity!R22</f>
        <v>7.5</v>
      </c>
      <c r="S22" s="11">
        <f>Revenue_Actual!S22/Target_Rev_Productivity!S22</f>
        <v>7.5</v>
      </c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1">
        <f>Revenue_Actual!H23/Target_Rev_Productivity!H23</f>
        <v>27.5</v>
      </c>
      <c r="I23" s="11">
        <f>Revenue_Actual!I23/Target_Rev_Productivity!I23</f>
        <v>27.5</v>
      </c>
      <c r="J23" s="11">
        <f>Revenue_Actual!J23/Target_Rev_Productivity!J23</f>
        <v>29.08333333</v>
      </c>
      <c r="K23" s="11">
        <f>Revenue_Actual!K23/Target_Rev_Productivity!K23</f>
        <v>28.25</v>
      </c>
      <c r="L23" s="11">
        <f>Revenue_Actual!L23/Target_Rev_Productivity!L23</f>
        <v>25</v>
      </c>
      <c r="M23" s="11">
        <f>Revenue_Actual!M23/Target_Rev_Productivity!M23</f>
        <v>29.04166667</v>
      </c>
      <c r="N23" s="11">
        <f>Revenue_Actual!N23/Target_Rev_Productivity!N23</f>
        <v>26.66666667</v>
      </c>
      <c r="O23" s="11">
        <f>Revenue_Actual!O23/Target_Rev_Productivity!O23</f>
        <v>26.66666667</v>
      </c>
      <c r="P23" s="11">
        <f>Revenue_Actual!P23/Target_Rev_Productivity!P23</f>
        <v>23.33333333</v>
      </c>
      <c r="Q23" s="11">
        <f>Revenue_Actual!Q23/Target_Rev_Productivity!Q23</f>
        <v>25</v>
      </c>
      <c r="R23" s="11">
        <f>Revenue_Actual!R23/Target_Rev_Productivity!R23</f>
        <v>22.5</v>
      </c>
      <c r="S23" s="11">
        <f>Revenue_Actual!S23/Target_Rev_Productivity!S23</f>
        <v>25</v>
      </c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1">
        <f>Revenue_Actual!H24/Target_Rev_Productivity!H24</f>
        <v>17.91666667</v>
      </c>
      <c r="I24" s="11">
        <f>Revenue_Actual!I24/Target_Rev_Productivity!I24</f>
        <v>16.66666667</v>
      </c>
      <c r="J24" s="11">
        <f>Revenue_Actual!J24/Target_Rev_Productivity!J24</f>
        <v>15.83333333</v>
      </c>
      <c r="K24" s="11">
        <f>Revenue_Actual!K24/Target_Rev_Productivity!K24</f>
        <v>15</v>
      </c>
      <c r="L24" s="11">
        <f>Revenue_Actual!L24/Target_Rev_Productivity!L24</f>
        <v>16.66666667</v>
      </c>
      <c r="M24" s="11">
        <f>Revenue_Actual!M24/Target_Rev_Productivity!M24</f>
        <v>11.66666667</v>
      </c>
      <c r="N24" s="11">
        <f>Revenue_Actual!N24/Target_Rev_Productivity!N24</f>
        <v>12.08333333</v>
      </c>
      <c r="O24" s="11">
        <f>Revenue_Actual!O24/Target_Rev_Productivity!O24</f>
        <v>6.25</v>
      </c>
      <c r="P24" s="11">
        <f>Revenue_Actual!P24/Target_Rev_Productivity!P24</f>
        <v>4.833333333</v>
      </c>
      <c r="Q24" s="11">
        <f>Revenue_Actual!Q24/Target_Rev_Productivity!Q24</f>
        <v>5.666666667</v>
      </c>
      <c r="R24" s="11">
        <f>Revenue_Actual!R24/Target_Rev_Productivity!R24</f>
        <v>7.333333333</v>
      </c>
      <c r="S24" s="11">
        <f>Revenue_Actual!S24/Target_Rev_Productivity!S24</f>
        <v>8.333333333</v>
      </c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1">
        <f>Revenue_Actual!H25/Target_Rev_Productivity!H25</f>
        <v>3.333333333</v>
      </c>
      <c r="I25" s="11">
        <f>Revenue_Actual!I25/Target_Rev_Productivity!I25</f>
        <v>3.333333333</v>
      </c>
      <c r="J25" s="11">
        <f>Revenue_Actual!J25/Target_Rev_Productivity!J25</f>
        <v>3.083333333</v>
      </c>
      <c r="K25" s="11">
        <f>Revenue_Actual!K25/Target_Rev_Productivity!K25</f>
        <v>1.416666667</v>
      </c>
      <c r="L25" s="11">
        <f>Revenue_Actual!L25/Target_Rev_Productivity!L25</f>
        <v>0</v>
      </c>
      <c r="M25" s="11">
        <f>Revenue_Actual!M25/Target_Rev_Productivity!M25</f>
        <v>0</v>
      </c>
      <c r="N25" s="11">
        <f>Revenue_Actual!N25/Target_Rev_Productivity!N25</f>
        <v>0</v>
      </c>
      <c r="O25" s="11">
        <f>Revenue_Actual!O25/Target_Rev_Productivity!O25</f>
        <v>0</v>
      </c>
      <c r="P25" s="11">
        <f>Revenue_Actual!P25/Target_Rev_Productivity!P25</f>
        <v>0</v>
      </c>
      <c r="Q25" s="11">
        <f>Revenue_Actual!Q25/Target_Rev_Productivity!Q25</f>
        <v>0</v>
      </c>
      <c r="R25" s="11">
        <f>Revenue_Actual!R25/Target_Rev_Productivity!R25</f>
        <v>0</v>
      </c>
      <c r="S25" s="11">
        <f>Revenue_Actual!S25/Target_Rev_Productivity!S25</f>
        <v>0</v>
      </c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1">
        <f>Revenue_Actual!H26/Target_Rev_Productivity!H26</f>
        <v>1.666666667</v>
      </c>
      <c r="I26" s="11">
        <f>Revenue_Actual!I26/Target_Rev_Productivity!I26</f>
        <v>1.666666667</v>
      </c>
      <c r="J26" s="11">
        <f>Revenue_Actual!J26/Target_Rev_Productivity!J26</f>
        <v>0</v>
      </c>
      <c r="K26" s="11">
        <f>Revenue_Actual!K26/Target_Rev_Productivity!K26</f>
        <v>1.666666667</v>
      </c>
      <c r="L26" s="11">
        <f>Revenue_Actual!L26/Target_Rev_Productivity!L26</f>
        <v>0.8333333333</v>
      </c>
      <c r="M26" s="11">
        <f>Revenue_Actual!M26/Target_Rev_Productivity!M26</f>
        <v>0</v>
      </c>
      <c r="N26" s="11">
        <f>Revenue_Actual!N26/Target_Rev_Productivity!N26</f>
        <v>0.8333333333</v>
      </c>
      <c r="O26" s="11">
        <f>Revenue_Actual!O26/Target_Rev_Productivity!O26</f>
        <v>0</v>
      </c>
      <c r="P26" s="11">
        <f>Revenue_Actual!P26/Target_Rev_Productivity!P26</f>
        <v>0</v>
      </c>
      <c r="Q26" s="11">
        <f>Revenue_Actual!Q26/Target_Rev_Productivity!Q26</f>
        <v>0</v>
      </c>
      <c r="R26" s="11">
        <f>Revenue_Actual!R26/Target_Rev_Productivity!R26</f>
        <v>0.7777777778</v>
      </c>
      <c r="S26" s="11">
        <f>Revenue_Actual!S26/Target_Rev_Productivity!S26</f>
        <v>-1.733333333</v>
      </c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1">
        <f>Revenue_Actual!H27/Target_Rev_Productivity!H27</f>
        <v>0.8333333333</v>
      </c>
      <c r="I27" s="11">
        <f>Revenue_Actual!I27/Target_Rev_Productivity!I27</f>
        <v>1.041666667</v>
      </c>
      <c r="J27" s="11">
        <f>Revenue_Actual!J27/Target_Rev_Productivity!J27</f>
        <v>1.666666667</v>
      </c>
      <c r="K27" s="11">
        <f>Revenue_Actual!K27/Target_Rev_Productivity!K27</f>
        <v>6.666666667</v>
      </c>
      <c r="L27" s="11">
        <f>Revenue_Actual!L27/Target_Rev_Productivity!L27</f>
        <v>7.5</v>
      </c>
      <c r="M27" s="11">
        <f>Revenue_Actual!M27/Target_Rev_Productivity!M27</f>
        <v>13.33333333</v>
      </c>
      <c r="N27" s="11">
        <f>Revenue_Actual!N27/Target_Rev_Productivity!N27</f>
        <v>9.166666667</v>
      </c>
      <c r="O27" s="11">
        <f>Revenue_Actual!O27/Target_Rev_Productivity!O27</f>
        <v>8.333333333</v>
      </c>
      <c r="P27" s="11">
        <f>Revenue_Actual!P27/Target_Rev_Productivity!P27</f>
        <v>8.333333333</v>
      </c>
      <c r="Q27" s="11">
        <f>Revenue_Actual!Q27/Target_Rev_Productivity!Q27</f>
        <v>7.5</v>
      </c>
      <c r="R27" s="11">
        <f>Revenue_Actual!R27/Target_Rev_Productivity!R27</f>
        <v>12.5</v>
      </c>
      <c r="S27" s="11">
        <f>Revenue_Actual!S27/Target_Rev_Productivity!S27</f>
        <v>11.66666667</v>
      </c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1">
        <f>Revenue_Actual!H28/Target_Rev_Productivity!H28</f>
        <v>0.2777777778</v>
      </c>
      <c r="I28" s="11">
        <f>Revenue_Actual!I28/Target_Rev_Productivity!I28</f>
        <v>0.4166666667</v>
      </c>
      <c r="J28" s="11">
        <f>Revenue_Actual!J28/Target_Rev_Productivity!J28</f>
        <v>0.8333333333</v>
      </c>
      <c r="K28" s="11">
        <f>Revenue_Actual!K28/Target_Rev_Productivity!K28</f>
        <v>0.8333333333</v>
      </c>
      <c r="L28" s="11">
        <f>Revenue_Actual!L28/Target_Rev_Productivity!L28</f>
        <v>1.666666667</v>
      </c>
      <c r="M28" s="11">
        <f>Revenue_Actual!M28/Target_Rev_Productivity!M28</f>
        <v>2.5</v>
      </c>
      <c r="N28" s="11">
        <f>Revenue_Actual!N28/Target_Rev_Productivity!N28</f>
        <v>1.666666667</v>
      </c>
      <c r="O28" s="11">
        <f>Revenue_Actual!O28/Target_Rev_Productivity!O28</f>
        <v>0.8333333333</v>
      </c>
      <c r="P28" s="11">
        <f>Revenue_Actual!P28/Target_Rev_Productivity!P28</f>
        <v>0</v>
      </c>
      <c r="Q28" s="11">
        <f>Revenue_Actual!Q28/Target_Rev_Productivity!Q28</f>
        <v>0</v>
      </c>
      <c r="R28" s="11">
        <f>Revenue_Actual!R28/Target_Rev_Productivity!R28</f>
        <v>0</v>
      </c>
      <c r="S28" s="11">
        <f>Revenue_Actual!S28/Target_Rev_Productivity!S28</f>
        <v>0.8333333333</v>
      </c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1">
        <f>Revenue_Actual!H29/Target_Rev_Productivity!H29</f>
        <v>0</v>
      </c>
      <c r="I29" s="11">
        <f>Revenue_Actual!I29/Target_Rev_Productivity!I29</f>
        <v>0.8333333333</v>
      </c>
      <c r="J29" s="11">
        <f>Revenue_Actual!J29/Target_Rev_Productivity!J29</f>
        <v>3.083333333</v>
      </c>
      <c r="K29" s="11">
        <f>Revenue_Actual!K29/Target_Rev_Productivity!K29</f>
        <v>6.666666667</v>
      </c>
      <c r="L29" s="11">
        <f>Revenue_Actual!L29/Target_Rev_Productivity!L29</f>
        <v>6.666666667</v>
      </c>
      <c r="M29" s="11">
        <f>Revenue_Actual!M29/Target_Rev_Productivity!M29</f>
        <v>6.666666667</v>
      </c>
      <c r="N29" s="11">
        <f>Revenue_Actual!N29/Target_Rev_Productivity!N29</f>
        <v>6.666666667</v>
      </c>
      <c r="O29" s="11">
        <f>Revenue_Actual!O29/Target_Rev_Productivity!O29</f>
        <v>5</v>
      </c>
      <c r="P29" s="11">
        <f>Revenue_Actual!P29/Target_Rev_Productivity!P29</f>
        <v>4.166666667</v>
      </c>
      <c r="Q29" s="11">
        <f>Revenue_Actual!Q29/Target_Rev_Productivity!Q29</f>
        <v>4.166666667</v>
      </c>
      <c r="R29" s="11">
        <f>Revenue_Actual!R29/Target_Rev_Productivity!R29</f>
        <v>5.833333333</v>
      </c>
      <c r="S29" s="11">
        <f>Revenue_Actual!S29/Target_Rev_Productivity!S29</f>
        <v>5.833333333</v>
      </c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1">
        <f>Revenue_Actual!H30/Target_Rev_Productivity!H30</f>
        <v>0</v>
      </c>
      <c r="I30" s="11">
        <f>Revenue_Actual!I30/Target_Rev_Productivity!I30</f>
        <v>0</v>
      </c>
      <c r="J30" s="11">
        <f>Revenue_Actual!J30/Target_Rev_Productivity!J30</f>
        <v>0</v>
      </c>
      <c r="K30" s="11">
        <f>Revenue_Actual!K30/Target_Rev_Productivity!K30</f>
        <v>0</v>
      </c>
      <c r="L30" s="11">
        <f>Revenue_Actual!L30/Target_Rev_Productivity!L30</f>
        <v>0</v>
      </c>
      <c r="M30" s="11">
        <f>Revenue_Actual!M30/Target_Rev_Productivity!M30</f>
        <v>0.8333333333</v>
      </c>
      <c r="N30" s="11">
        <f>Revenue_Actual!N30/Target_Rev_Productivity!N30</f>
        <v>2.5</v>
      </c>
      <c r="O30" s="11">
        <f>Revenue_Actual!O30/Target_Rev_Productivity!O30</f>
        <v>4.166666667</v>
      </c>
      <c r="P30" s="11">
        <f>Revenue_Actual!P30/Target_Rev_Productivity!P30</f>
        <v>3.333333333</v>
      </c>
      <c r="Q30" s="11">
        <f>Revenue_Actual!Q30/Target_Rev_Productivity!Q30</f>
        <v>4.166666667</v>
      </c>
      <c r="R30" s="11">
        <f>Revenue_Actual!R30/Target_Rev_Productivity!R30</f>
        <v>4.166666667</v>
      </c>
      <c r="S30" s="11">
        <f>Revenue_Actual!S30/Target_Rev_Productivity!S30</f>
        <v>4.166666667</v>
      </c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1">
        <f>Revenue_Actual!H31/Target_Rev_Productivity!H31</f>
        <v>0</v>
      </c>
      <c r="I31" s="11">
        <f>Revenue_Actual!I31/Target_Rev_Productivity!I31</f>
        <v>0</v>
      </c>
      <c r="J31" s="11">
        <f>Revenue_Actual!J31/Target_Rev_Productivity!J31</f>
        <v>0</v>
      </c>
      <c r="K31" s="11">
        <f>Revenue_Actual!K31/Target_Rev_Productivity!K31</f>
        <v>0</v>
      </c>
      <c r="L31" s="11">
        <f>Revenue_Actual!L31/Target_Rev_Productivity!L31</f>
        <v>0</v>
      </c>
      <c r="M31" s="11">
        <f>Revenue_Actual!M31/Target_Rev_Productivity!M31</f>
        <v>0</v>
      </c>
      <c r="N31" s="11">
        <f>Revenue_Actual!N31/Target_Rev_Productivity!N31</f>
        <v>0</v>
      </c>
      <c r="O31" s="11">
        <f>Revenue_Actual!O31/Target_Rev_Productivity!O31</f>
        <v>7.083333333</v>
      </c>
      <c r="P31" s="11">
        <f>Revenue_Actual!P31/Target_Rev_Productivity!P31</f>
        <v>15.83333333</v>
      </c>
      <c r="Q31" s="11">
        <f>Revenue_Actual!Q31/Target_Rev_Productivity!Q31</f>
        <v>18.41666667</v>
      </c>
      <c r="R31" s="11">
        <f>Revenue_Actual!R31/Target_Rev_Productivity!R31</f>
        <v>26.75</v>
      </c>
      <c r="S31" s="11">
        <f>Revenue_Actual!S31/Target_Rev_Productivity!S31</f>
        <v>27.91666667</v>
      </c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1">
        <f>Revenue_Actual!H32/Target_Rev_Productivity!H32</f>
        <v>0</v>
      </c>
      <c r="I32" s="11">
        <f>Revenue_Actual!I32/Target_Rev_Productivity!I32</f>
        <v>0</v>
      </c>
      <c r="J32" s="11">
        <f>Revenue_Actual!J32/Target_Rev_Productivity!J32</f>
        <v>0</v>
      </c>
      <c r="K32" s="11">
        <f>Revenue_Actual!K32/Target_Rev_Productivity!K32</f>
        <v>0</v>
      </c>
      <c r="L32" s="11">
        <f>Revenue_Actual!L32/Target_Rev_Productivity!L32</f>
        <v>0</v>
      </c>
      <c r="M32" s="11">
        <f>Revenue_Actual!M32/Target_Rev_Productivity!M32</f>
        <v>0</v>
      </c>
      <c r="N32" s="11">
        <f>Revenue_Actual!N32/Target_Rev_Productivity!N32</f>
        <v>0</v>
      </c>
      <c r="O32" s="11">
        <f>Revenue_Actual!O32/Target_Rev_Productivity!O32</f>
        <v>0</v>
      </c>
      <c r="P32" s="11">
        <f>Revenue_Actual!P32/Target_Rev_Productivity!P32</f>
        <v>0.5555555556</v>
      </c>
      <c r="Q32" s="11">
        <f>Revenue_Actual!Q32/Target_Rev_Productivity!Q32</f>
        <v>3.333333333</v>
      </c>
      <c r="R32" s="11">
        <f>Revenue_Actual!R32/Target_Rev_Productivity!R32</f>
        <v>5</v>
      </c>
      <c r="S32" s="11">
        <f>Revenue_Actual!S32/Target_Rev_Productivity!S32</f>
        <v>5.833333333</v>
      </c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1">
        <f>Revenue_Actual!H33/Target_Rev_Productivity!H33</f>
        <v>7.783333333</v>
      </c>
      <c r="I33" s="11">
        <f>Revenue_Actual!I33/Target_Rev_Productivity!I33</f>
        <v>9.583333333</v>
      </c>
      <c r="J33" s="11">
        <f>Revenue_Actual!J33/Target_Rev_Productivity!J33</f>
        <v>9.166666667</v>
      </c>
      <c r="K33" s="11">
        <f>Revenue_Actual!K33/Target_Rev_Productivity!K33</f>
        <v>10.83333333</v>
      </c>
      <c r="L33" s="11">
        <f>Revenue_Actual!L33/Target_Rev_Productivity!L33</f>
        <v>9.583333333</v>
      </c>
      <c r="M33" s="11">
        <f>Revenue_Actual!M33/Target_Rev_Productivity!M33</f>
        <v>11.66666667</v>
      </c>
      <c r="N33" s="11">
        <f>Revenue_Actual!N33/Target_Rev_Productivity!N33</f>
        <v>7.5</v>
      </c>
      <c r="O33" s="11">
        <f>Revenue_Actual!O33/Target_Rev_Productivity!O33</f>
        <v>7.5</v>
      </c>
      <c r="P33" s="11">
        <f>Revenue_Actual!P33/Target_Rev_Productivity!P33</f>
        <v>5.833333333</v>
      </c>
      <c r="Q33" s="11">
        <f>Revenue_Actual!Q33/Target_Rev_Productivity!Q33</f>
        <v>5</v>
      </c>
      <c r="R33" s="11">
        <f>Revenue_Actual!R33/Target_Rev_Productivity!R33</f>
        <v>5</v>
      </c>
      <c r="S33" s="11">
        <f>Revenue_Actual!S33/Target_Rev_Productivity!S33</f>
        <v>5.833333333</v>
      </c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1">
        <f>Revenue_Actual!H34/Target_Rev_Productivity!H34</f>
        <v>2.666666667</v>
      </c>
      <c r="I34" s="11">
        <f>Revenue_Actual!I34/Target_Rev_Productivity!I34</f>
        <v>1.25</v>
      </c>
      <c r="J34" s="11">
        <f>Revenue_Actual!J34/Target_Rev_Productivity!J34</f>
        <v>1.666666667</v>
      </c>
      <c r="K34" s="11">
        <f>Revenue_Actual!K34/Target_Rev_Productivity!K34</f>
        <v>2.5</v>
      </c>
      <c r="L34" s="11">
        <f>Revenue_Actual!L34/Target_Rev_Productivity!L34</f>
        <v>2.083333333</v>
      </c>
      <c r="M34" s="11">
        <f>Revenue_Actual!M34/Target_Rev_Productivity!M34</f>
        <v>0</v>
      </c>
      <c r="N34" s="11">
        <f>Revenue_Actual!N34/Target_Rev_Productivity!N34</f>
        <v>0</v>
      </c>
      <c r="O34" s="11">
        <f>Revenue_Actual!O34/Target_Rev_Productivity!O34</f>
        <v>1.555555556</v>
      </c>
      <c r="P34" s="11">
        <f>Revenue_Actual!P34/Target_Rev_Productivity!P34</f>
        <v>0</v>
      </c>
      <c r="Q34" s="11">
        <f>Revenue_Actual!Q34/Target_Rev_Productivity!Q34</f>
        <v>0</v>
      </c>
      <c r="R34" s="11">
        <f>Revenue_Actual!R34/Target_Rev_Productivity!R34</f>
        <v>0</v>
      </c>
      <c r="S34" s="11">
        <f>Revenue_Actual!S34/Target_Rev_Productivity!S34</f>
        <v>-0.99</v>
      </c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1">
        <f>Revenue_Actual!H35/Target_Rev_Productivity!H35</f>
        <v>2.775</v>
      </c>
      <c r="I35" s="11">
        <f>Revenue_Actual!I35/Target_Rev_Productivity!I35</f>
        <v>2.5</v>
      </c>
      <c r="J35" s="11">
        <f>Revenue_Actual!J35/Target_Rev_Productivity!J35</f>
        <v>2.5</v>
      </c>
      <c r="K35" s="11">
        <f>Revenue_Actual!K35/Target_Rev_Productivity!K35</f>
        <v>2.5</v>
      </c>
      <c r="L35" s="11">
        <f>Revenue_Actual!L35/Target_Rev_Productivity!L35</f>
        <v>2.5</v>
      </c>
      <c r="M35" s="11">
        <f>Revenue_Actual!M35/Target_Rev_Productivity!M35</f>
        <v>2.5</v>
      </c>
      <c r="N35" s="11">
        <f>Revenue_Actual!N35/Target_Rev_Productivity!N35</f>
        <v>2.5</v>
      </c>
      <c r="O35" s="11">
        <f>Revenue_Actual!O35/Target_Rev_Productivity!O35</f>
        <v>2.5</v>
      </c>
      <c r="P35" s="11">
        <f>Revenue_Actual!P35/Target_Rev_Productivity!P35</f>
        <v>2.5</v>
      </c>
      <c r="Q35" s="11">
        <f>Revenue_Actual!Q35/Target_Rev_Productivity!Q35</f>
        <v>2.5</v>
      </c>
      <c r="R35" s="11">
        <f>Revenue_Actual!R35/Target_Rev_Productivity!R35</f>
        <v>2.5</v>
      </c>
      <c r="S35" s="11">
        <f>Revenue_Actual!S35/Target_Rev_Productivity!S35</f>
        <v>2.5</v>
      </c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1">
        <f>Revenue_Actual!H36/Target_Rev_Productivity!H36</f>
        <v>5</v>
      </c>
      <c r="I36" s="11">
        <f>Revenue_Actual!I36/Target_Rev_Productivity!I36</f>
        <v>5</v>
      </c>
      <c r="J36" s="11">
        <f>Revenue_Actual!J36/Target_Rev_Productivity!J36</f>
        <v>4.166666667</v>
      </c>
      <c r="K36" s="11">
        <f>Revenue_Actual!K36/Target_Rev_Productivity!K36</f>
        <v>2.5</v>
      </c>
      <c r="L36" s="11">
        <f>Revenue_Actual!L36/Target_Rev_Productivity!L36</f>
        <v>0</v>
      </c>
      <c r="M36" s="11">
        <f>Revenue_Actual!M36/Target_Rev_Productivity!M36</f>
        <v>0</v>
      </c>
      <c r="N36" s="11">
        <f>Revenue_Actual!N36/Target_Rev_Productivity!N36</f>
        <v>0</v>
      </c>
      <c r="O36" s="11">
        <f>Revenue_Actual!O36/Target_Rev_Productivity!O36</f>
        <v>1.938888889</v>
      </c>
      <c r="P36" s="11">
        <f>Revenue_Actual!P36/Target_Rev_Productivity!P36</f>
        <v>0</v>
      </c>
      <c r="Q36" s="11">
        <f>Revenue_Actual!Q36/Target_Rev_Productivity!Q36</f>
        <v>0</v>
      </c>
      <c r="R36" s="11">
        <f>Revenue_Actual!R36/Target_Rev_Productivity!R36</f>
        <v>0</v>
      </c>
      <c r="S36" s="11">
        <f>Revenue_Actual!S36/Target_Rev_Productivity!S36</f>
        <v>0</v>
      </c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1">
        <f>Revenue_Actual!H37/Target_Rev_Productivity!H37</f>
        <v>1.111111111</v>
      </c>
      <c r="I37" s="11">
        <f>Revenue_Actual!I37/Target_Rev_Productivity!I37</f>
        <v>8.333333333</v>
      </c>
      <c r="J37" s="11">
        <f>Revenue_Actual!J37/Target_Rev_Productivity!J37</f>
        <v>7.5</v>
      </c>
      <c r="K37" s="11">
        <f>Revenue_Actual!K37/Target_Rev_Productivity!K37</f>
        <v>5.833333333</v>
      </c>
      <c r="L37" s="11">
        <f>Revenue_Actual!L37/Target_Rev_Productivity!L37</f>
        <v>5.833333333</v>
      </c>
      <c r="M37" s="11">
        <f>Revenue_Actual!M37/Target_Rev_Productivity!M37</f>
        <v>6.666666667</v>
      </c>
      <c r="N37" s="11">
        <f>Revenue_Actual!N37/Target_Rev_Productivity!N37</f>
        <v>6.666666667</v>
      </c>
      <c r="O37" s="11">
        <f>Revenue_Actual!O37/Target_Rev_Productivity!O37</f>
        <v>6.666666667</v>
      </c>
      <c r="P37" s="11">
        <f>Revenue_Actual!P37/Target_Rev_Productivity!P37</f>
        <v>6.666666667</v>
      </c>
      <c r="Q37" s="11">
        <f>Revenue_Actual!Q37/Target_Rev_Productivity!Q37</f>
        <v>6.666666667</v>
      </c>
      <c r="R37" s="11">
        <f>Revenue_Actual!R37/Target_Rev_Productivity!R37</f>
        <v>7.5</v>
      </c>
      <c r="S37" s="11">
        <f>Revenue_Actual!S37/Target_Rev_Productivity!S37</f>
        <v>7.5</v>
      </c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1">
        <f>Revenue_Actual!H38/Target_Rev_Productivity!H38</f>
        <v>0</v>
      </c>
      <c r="I38" s="11">
        <f>Revenue_Actual!I38/Target_Rev_Productivity!I38</f>
        <v>0.8333333333</v>
      </c>
      <c r="J38" s="11">
        <f>Revenue_Actual!J38/Target_Rev_Productivity!J38</f>
        <v>10</v>
      </c>
      <c r="K38" s="11">
        <f>Revenue_Actual!K38/Target_Rev_Productivity!K38</f>
        <v>10</v>
      </c>
      <c r="L38" s="11">
        <f>Revenue_Actual!L38/Target_Rev_Productivity!L38</f>
        <v>0</v>
      </c>
      <c r="M38" s="11">
        <f>Revenue_Actual!M38/Target_Rev_Productivity!M38</f>
        <v>0</v>
      </c>
      <c r="N38" s="11">
        <f>Revenue_Actual!N38/Target_Rev_Productivity!N38</f>
        <v>0</v>
      </c>
      <c r="O38" s="11">
        <f>Revenue_Actual!O38/Target_Rev_Productivity!O38</f>
        <v>0</v>
      </c>
      <c r="P38" s="11">
        <f>Revenue_Actual!P38/Target_Rev_Productivity!P38</f>
        <v>0</v>
      </c>
      <c r="Q38" s="11">
        <f>Revenue_Actual!Q38/Target_Rev_Productivity!Q38</f>
        <v>0</v>
      </c>
      <c r="R38" s="11">
        <f>Revenue_Actual!R38/Target_Rev_Productivity!R38</f>
        <v>0</v>
      </c>
      <c r="S38" s="11">
        <f>Revenue_Actual!S38/Target_Rev_Productivity!S38</f>
        <v>0</v>
      </c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1">
        <f>Revenue_Actual!H39/Target_Rev_Productivity!H39</f>
        <v>1.666666667</v>
      </c>
      <c r="I39" s="11">
        <f>Revenue_Actual!I39/Target_Rev_Productivity!I39</f>
        <v>1.666666667</v>
      </c>
      <c r="J39" s="11">
        <f>Revenue_Actual!J39/Target_Rev_Productivity!J39</f>
        <v>1.666666667</v>
      </c>
      <c r="K39" s="11">
        <f>Revenue_Actual!K39/Target_Rev_Productivity!K39</f>
        <v>1.666666667</v>
      </c>
      <c r="L39" s="11">
        <f>Revenue_Actual!L39/Target_Rev_Productivity!L39</f>
        <v>1.666666667</v>
      </c>
      <c r="M39" s="11">
        <f>Revenue_Actual!M39/Target_Rev_Productivity!M39</f>
        <v>1.666666667</v>
      </c>
      <c r="N39" s="11">
        <f>Revenue_Actual!N39/Target_Rev_Productivity!N39</f>
        <v>1.666666667</v>
      </c>
      <c r="O39" s="11">
        <f>Revenue_Actual!O39/Target_Rev_Productivity!O39</f>
        <v>1.666666667</v>
      </c>
      <c r="P39" s="11">
        <f>Revenue_Actual!P39/Target_Rev_Productivity!P39</f>
        <v>0</v>
      </c>
      <c r="Q39" s="11">
        <f>Revenue_Actual!Q39/Target_Rev_Productivity!Q39</f>
        <v>1.666666667</v>
      </c>
      <c r="R39" s="11">
        <f>Revenue_Actual!R39/Target_Rev_Productivity!R39</f>
        <v>1.666666667</v>
      </c>
      <c r="S39" s="11">
        <f>Revenue_Actual!S39/Target_Rev_Productivity!S39</f>
        <v>1.666666667</v>
      </c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1">
        <f>Revenue_Actual!H40/Target_Rev_Productivity!H40</f>
        <v>0.8333333333</v>
      </c>
      <c r="I40" s="11">
        <f>Revenue_Actual!I40/Target_Rev_Productivity!I40</f>
        <v>0.8333333333</v>
      </c>
      <c r="J40" s="11">
        <f>Revenue_Actual!J40/Target_Rev_Productivity!J40</f>
        <v>0.8333333333</v>
      </c>
      <c r="K40" s="11">
        <f>Revenue_Actual!K40/Target_Rev_Productivity!K40</f>
        <v>0.8333333333</v>
      </c>
      <c r="L40" s="11">
        <f>Revenue_Actual!L40/Target_Rev_Productivity!L40</f>
        <v>0.8333333333</v>
      </c>
      <c r="M40" s="11">
        <f>Revenue_Actual!M40/Target_Rev_Productivity!M40</f>
        <v>0.8333333333</v>
      </c>
      <c r="N40" s="11">
        <f>Revenue_Actual!N40/Target_Rev_Productivity!N40</f>
        <v>0.8333333333</v>
      </c>
      <c r="O40" s="11">
        <f>Revenue_Actual!O40/Target_Rev_Productivity!O40</f>
        <v>0.8333333333</v>
      </c>
      <c r="P40" s="11">
        <f>Revenue_Actual!P40/Target_Rev_Productivity!P40</f>
        <v>0.8333333333</v>
      </c>
      <c r="Q40" s="11">
        <f>Revenue_Actual!Q40/Target_Rev_Productivity!Q40</f>
        <v>0.8333333333</v>
      </c>
      <c r="R40" s="11">
        <f>Revenue_Actual!R40/Target_Rev_Productivity!R40</f>
        <v>0.8333333333</v>
      </c>
      <c r="S40" s="11">
        <f>Revenue_Actual!S40/Target_Rev_Productivity!S40</f>
        <v>0.8333333333</v>
      </c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1">
        <f>Revenue_Actual!H41/Target_Rev_Productivity!H41</f>
        <v>0</v>
      </c>
      <c r="I41" s="11">
        <f>Revenue_Actual!I41/Target_Rev_Productivity!I41</f>
        <v>0</v>
      </c>
      <c r="J41" s="11">
        <f>Revenue_Actual!J41/Target_Rev_Productivity!J41</f>
        <v>0</v>
      </c>
      <c r="K41" s="11">
        <f>Revenue_Actual!K41/Target_Rev_Productivity!K41</f>
        <v>0</v>
      </c>
      <c r="L41" s="11">
        <f>Revenue_Actual!L41/Target_Rev_Productivity!L41</f>
        <v>0</v>
      </c>
      <c r="M41" s="11">
        <f>Revenue_Actual!M41/Target_Rev_Productivity!M41</f>
        <v>0</v>
      </c>
      <c r="N41" s="11">
        <f>Revenue_Actual!N41/Target_Rev_Productivity!N41</f>
        <v>0</v>
      </c>
      <c r="O41" s="11">
        <f>Revenue_Actual!O41/Target_Rev_Productivity!O41</f>
        <v>0</v>
      </c>
      <c r="P41" s="11">
        <f>Revenue_Actual!P41/Target_Rev_Productivity!P41</f>
        <v>0</v>
      </c>
      <c r="Q41" s="11">
        <f>Revenue_Actual!Q41/Target_Rev_Productivity!Q41</f>
        <v>0</v>
      </c>
      <c r="R41" s="11">
        <f>Revenue_Actual!R41/Target_Rev_Productivity!R41</f>
        <v>0</v>
      </c>
      <c r="S41" s="11">
        <f>Revenue_Actual!S41/Target_Rev_Productivity!S41</f>
        <v>0</v>
      </c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1">
        <f>Revenue_Actual!H42/Target_Rev_Productivity!H42</f>
        <v>4.583333333</v>
      </c>
      <c r="I42" s="11">
        <f>Revenue_Actual!I42/Target_Rev_Productivity!I42</f>
        <v>5</v>
      </c>
      <c r="J42" s="11">
        <f>Revenue_Actual!J42/Target_Rev_Productivity!J42</f>
        <v>5</v>
      </c>
      <c r="K42" s="11">
        <f>Revenue_Actual!K42/Target_Rev_Productivity!K42</f>
        <v>5</v>
      </c>
      <c r="L42" s="11">
        <f>Revenue_Actual!L42/Target_Rev_Productivity!L42</f>
        <v>5</v>
      </c>
      <c r="M42" s="11">
        <f>Revenue_Actual!M42/Target_Rev_Productivity!M42</f>
        <v>5</v>
      </c>
      <c r="N42" s="11">
        <f>Revenue_Actual!N42/Target_Rev_Productivity!N42</f>
        <v>7.5</v>
      </c>
      <c r="O42" s="11">
        <f>Revenue_Actual!O42/Target_Rev_Productivity!O42</f>
        <v>5.833333333</v>
      </c>
      <c r="P42" s="11">
        <f>Revenue_Actual!P42/Target_Rev_Productivity!P42</f>
        <v>5.833333333</v>
      </c>
      <c r="Q42" s="11">
        <f>Revenue_Actual!Q42/Target_Rev_Productivity!Q42</f>
        <v>5.833333333</v>
      </c>
      <c r="R42" s="11">
        <f>Revenue_Actual!R42/Target_Rev_Productivity!R42</f>
        <v>5.833333333</v>
      </c>
      <c r="S42" s="11">
        <f>Revenue_Actual!S42/Target_Rev_Productivity!S42</f>
        <v>6.666666667</v>
      </c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1">
        <f>Revenue_Actual!H43/Target_Rev_Productivity!H43</f>
        <v>3.333333333</v>
      </c>
      <c r="I43" s="11">
        <f>Revenue_Actual!I43/Target_Rev_Productivity!I43</f>
        <v>3.333333333</v>
      </c>
      <c r="J43" s="11">
        <f>Revenue_Actual!J43/Target_Rev_Productivity!J43</f>
        <v>4.083333333</v>
      </c>
      <c r="K43" s="11">
        <f>Revenue_Actual!K43/Target_Rev_Productivity!K43</f>
        <v>4.166666667</v>
      </c>
      <c r="L43" s="11">
        <f>Revenue_Actual!L43/Target_Rev_Productivity!L43</f>
        <v>4.166666667</v>
      </c>
      <c r="M43" s="11">
        <f>Revenue_Actual!M43/Target_Rev_Productivity!M43</f>
        <v>4.166666667</v>
      </c>
      <c r="N43" s="11">
        <f>Revenue_Actual!N43/Target_Rev_Productivity!N43</f>
        <v>1.666666667</v>
      </c>
      <c r="O43" s="11">
        <f>Revenue_Actual!O43/Target_Rev_Productivity!O43</f>
        <v>1.666666667</v>
      </c>
      <c r="P43" s="11">
        <f>Revenue_Actual!P43/Target_Rev_Productivity!P43</f>
        <v>1.666666667</v>
      </c>
      <c r="Q43" s="11">
        <f>Revenue_Actual!Q43/Target_Rev_Productivity!Q43</f>
        <v>1.666666667</v>
      </c>
      <c r="R43" s="11">
        <f>Revenue_Actual!R43/Target_Rev_Productivity!R43</f>
        <v>1.666666667</v>
      </c>
      <c r="S43" s="11">
        <f>Revenue_Actual!S43/Target_Rev_Productivity!S43</f>
        <v>1.666666667</v>
      </c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1">
        <f>Revenue_Actual!H44/Target_Rev_Productivity!H44</f>
        <v>0.8333333333</v>
      </c>
      <c r="I44" s="11">
        <f>Revenue_Actual!I44/Target_Rev_Productivity!I44</f>
        <v>3.333333333</v>
      </c>
      <c r="J44" s="11">
        <f>Revenue_Actual!J44/Target_Rev_Productivity!J44</f>
        <v>3.333333333</v>
      </c>
      <c r="K44" s="11">
        <f>Revenue_Actual!K44/Target_Rev_Productivity!K44</f>
        <v>3.333333333</v>
      </c>
      <c r="L44" s="11">
        <f>Revenue_Actual!L44/Target_Rev_Productivity!L44</f>
        <v>2.5</v>
      </c>
      <c r="M44" s="11">
        <f>Revenue_Actual!M44/Target_Rev_Productivity!M44</f>
        <v>2.5</v>
      </c>
      <c r="N44" s="11">
        <f>Revenue_Actual!N44/Target_Rev_Productivity!N44</f>
        <v>1.666666667</v>
      </c>
      <c r="O44" s="11">
        <f>Revenue_Actual!O44/Target_Rev_Productivity!O44</f>
        <v>1.666666667</v>
      </c>
      <c r="P44" s="11">
        <f>Revenue_Actual!P44/Target_Rev_Productivity!P44</f>
        <v>1.666666667</v>
      </c>
      <c r="Q44" s="11">
        <f>Revenue_Actual!Q44/Target_Rev_Productivity!Q44</f>
        <v>1.666666667</v>
      </c>
      <c r="R44" s="11">
        <f>Revenue_Actual!R44/Target_Rev_Productivity!R44</f>
        <v>0</v>
      </c>
      <c r="S44" s="11">
        <f>Revenue_Actual!S44/Target_Rev_Productivity!S44</f>
        <v>0.8333333333</v>
      </c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1">
        <f>Revenue_Actual!H45/Target_Rev_Productivity!H45</f>
        <v>1.111111111</v>
      </c>
      <c r="I45" s="11">
        <f>Revenue_Actual!I45/Target_Rev_Productivity!I45</f>
        <v>-1.111111111</v>
      </c>
      <c r="J45" s="11">
        <f>Revenue_Actual!J45/Target_Rev_Productivity!J45</f>
        <v>0</v>
      </c>
      <c r="K45" s="11">
        <f>Revenue_Actual!K45/Target_Rev_Productivity!K45</f>
        <v>0</v>
      </c>
      <c r="L45" s="11">
        <f>Revenue_Actual!L45/Target_Rev_Productivity!L45</f>
        <v>0</v>
      </c>
      <c r="M45" s="11">
        <f>Revenue_Actual!M45/Target_Rev_Productivity!M45</f>
        <v>0</v>
      </c>
      <c r="N45" s="11">
        <f>Revenue_Actual!N45/Target_Rev_Productivity!N45</f>
        <v>0</v>
      </c>
      <c r="O45" s="11">
        <f>Revenue_Actual!O45/Target_Rev_Productivity!O45</f>
        <v>0</v>
      </c>
      <c r="P45" s="11">
        <f>Revenue_Actual!P45/Target_Rev_Productivity!P45</f>
        <v>0</v>
      </c>
      <c r="Q45" s="11">
        <f>Revenue_Actual!Q45/Target_Rev_Productivity!Q45</f>
        <v>0</v>
      </c>
      <c r="R45" s="11">
        <f>Revenue_Actual!R45/Target_Rev_Productivity!R45</f>
        <v>0</v>
      </c>
      <c r="S45" s="11">
        <f>Revenue_Actual!S45/Target_Rev_Productivity!S45</f>
        <v>0</v>
      </c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1">
        <f>Revenue_Actual!H46/Target_Rev_Productivity!H46</f>
        <v>0</v>
      </c>
      <c r="I46" s="11">
        <f>Revenue_Actual!I46/Target_Rev_Productivity!I46</f>
        <v>0</v>
      </c>
      <c r="J46" s="11">
        <f>Revenue_Actual!J46/Target_Rev_Productivity!J46</f>
        <v>0</v>
      </c>
      <c r="K46" s="11">
        <f>Revenue_Actual!K46/Target_Rev_Productivity!K46</f>
        <v>0</v>
      </c>
      <c r="L46" s="11">
        <f>Revenue_Actual!L46/Target_Rev_Productivity!L46</f>
        <v>0</v>
      </c>
      <c r="M46" s="11">
        <f>Revenue_Actual!M46/Target_Rev_Productivity!M46</f>
        <v>0</v>
      </c>
      <c r="N46" s="11">
        <f>Revenue_Actual!N46/Target_Rev_Productivity!N46</f>
        <v>0</v>
      </c>
      <c r="O46" s="11">
        <f>Revenue_Actual!O46/Target_Rev_Productivity!O46</f>
        <v>2.5</v>
      </c>
      <c r="P46" s="11">
        <f>Revenue_Actual!P46/Target_Rev_Productivity!P46</f>
        <v>4.166666667</v>
      </c>
      <c r="Q46" s="11">
        <f>Revenue_Actual!Q46/Target_Rev_Productivity!Q46</f>
        <v>4.166666667</v>
      </c>
      <c r="R46" s="11">
        <f>Revenue_Actual!R46/Target_Rev_Productivity!R46</f>
        <v>5.833333333</v>
      </c>
      <c r="S46" s="11">
        <f>Revenue_Actual!S46/Target_Rev_Productivity!S46</f>
        <v>5</v>
      </c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1">
        <f>Revenue_Actual!H47/Target_Rev_Productivity!H47</f>
        <v>0</v>
      </c>
      <c r="I47" s="11">
        <f>Revenue_Actual!I47/Target_Rev_Productivity!I47</f>
        <v>0</v>
      </c>
      <c r="J47" s="11">
        <f>Revenue_Actual!J47/Target_Rev_Productivity!J47</f>
        <v>0</v>
      </c>
      <c r="K47" s="11">
        <f>Revenue_Actual!K47/Target_Rev_Productivity!K47</f>
        <v>0</v>
      </c>
      <c r="L47" s="11">
        <f>Revenue_Actual!L47/Target_Rev_Productivity!L47</f>
        <v>0</v>
      </c>
      <c r="M47" s="11">
        <f>Revenue_Actual!M47/Target_Rev_Productivity!M47</f>
        <v>0</v>
      </c>
      <c r="N47" s="11">
        <f>Revenue_Actual!N47/Target_Rev_Productivity!N47</f>
        <v>0</v>
      </c>
      <c r="O47" s="11">
        <f>Revenue_Actual!O47/Target_Rev_Productivity!O47</f>
        <v>0</v>
      </c>
      <c r="P47" s="11">
        <f>Revenue_Actual!P47/Target_Rev_Productivity!P47</f>
        <v>1.666666667</v>
      </c>
      <c r="Q47" s="11">
        <f>Revenue_Actual!Q47/Target_Rev_Productivity!Q47</f>
        <v>3.333333333</v>
      </c>
      <c r="R47" s="11">
        <f>Revenue_Actual!R47/Target_Rev_Productivity!R47</f>
        <v>4.166666667</v>
      </c>
      <c r="S47" s="11">
        <f>Revenue_Actual!S47/Target_Rev_Productivity!S47</f>
        <v>4.166666667</v>
      </c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1">
        <f>Revenue_Actual!H48/Target_Rev_Productivity!H48</f>
        <v>0</v>
      </c>
      <c r="I48" s="11">
        <f>Revenue_Actual!I48/Target_Rev_Productivity!I48</f>
        <v>0</v>
      </c>
      <c r="J48" s="11">
        <f>Revenue_Actual!J48/Target_Rev_Productivity!J48</f>
        <v>0</v>
      </c>
      <c r="K48" s="11">
        <f>Revenue_Actual!K48/Target_Rev_Productivity!K48</f>
        <v>0</v>
      </c>
      <c r="L48" s="11">
        <f>Revenue_Actual!L48/Target_Rev_Productivity!L48</f>
        <v>0</v>
      </c>
      <c r="M48" s="11">
        <f>Revenue_Actual!M48/Target_Rev_Productivity!M48</f>
        <v>0</v>
      </c>
      <c r="N48" s="11">
        <f>Revenue_Actual!N48/Target_Rev_Productivity!N48</f>
        <v>0</v>
      </c>
      <c r="O48" s="11">
        <f>Revenue_Actual!O48/Target_Rev_Productivity!O48</f>
        <v>0</v>
      </c>
      <c r="P48" s="11">
        <f>Revenue_Actual!P48/Target_Rev_Productivity!P48</f>
        <v>0</v>
      </c>
      <c r="Q48" s="11">
        <f>Revenue_Actual!Q48/Target_Rev_Productivity!Q48</f>
        <v>0</v>
      </c>
      <c r="R48" s="11">
        <f>Revenue_Actual!R48/Target_Rev_Productivity!R48</f>
        <v>0</v>
      </c>
      <c r="S48" s="11">
        <f>Revenue_Actual!S48/Target_Rev_Productivity!S48</f>
        <v>1.666666667</v>
      </c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1">
        <f>Revenue_Actual!H49/Target_Rev_Productivity!H49</f>
        <v>46.5</v>
      </c>
      <c r="I49" s="11">
        <f>Revenue_Actual!I49/Target_Rev_Productivity!I49</f>
        <v>49.16666667</v>
      </c>
      <c r="J49" s="11">
        <f>Revenue_Actual!J49/Target_Rev_Productivity!J49</f>
        <v>49.16666667</v>
      </c>
      <c r="K49" s="11">
        <f>Revenue_Actual!K49/Target_Rev_Productivity!K49</f>
        <v>47.5</v>
      </c>
      <c r="L49" s="11">
        <f>Revenue_Actual!L49/Target_Rev_Productivity!L49</f>
        <v>45</v>
      </c>
      <c r="M49" s="11">
        <f>Revenue_Actual!M49/Target_Rev_Productivity!M49</f>
        <v>45</v>
      </c>
      <c r="N49" s="11">
        <f>Revenue_Actual!N49/Target_Rev_Productivity!N49</f>
        <v>45</v>
      </c>
      <c r="O49" s="11">
        <f>Revenue_Actual!O49/Target_Rev_Productivity!O49</f>
        <v>43.5</v>
      </c>
      <c r="P49" s="11">
        <f>Revenue_Actual!P49/Target_Rev_Productivity!P49</f>
        <v>41.66666667</v>
      </c>
      <c r="Q49" s="11">
        <f>Revenue_Actual!Q49/Target_Rev_Productivity!Q49</f>
        <v>41.66666667</v>
      </c>
      <c r="R49" s="11">
        <f>Revenue_Actual!R49/Target_Rev_Productivity!R49</f>
        <v>40.83333333</v>
      </c>
      <c r="S49" s="11">
        <f>Revenue_Actual!S49/Target_Rev_Productivity!S49</f>
        <v>40</v>
      </c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1">
        <f>Revenue_Actual!H50/Target_Rev_Productivity!H50</f>
        <v>10.16666667</v>
      </c>
      <c r="I50" s="11">
        <f>Revenue_Actual!I50/Target_Rev_Productivity!I50</f>
        <v>10</v>
      </c>
      <c r="J50" s="11">
        <f>Revenue_Actual!J50/Target_Rev_Productivity!J50</f>
        <v>10</v>
      </c>
      <c r="K50" s="11">
        <f>Revenue_Actual!K50/Target_Rev_Productivity!K50</f>
        <v>10</v>
      </c>
      <c r="L50" s="11">
        <f>Revenue_Actual!L50/Target_Rev_Productivity!L50</f>
        <v>10</v>
      </c>
      <c r="M50" s="11">
        <f>Revenue_Actual!M50/Target_Rev_Productivity!M50</f>
        <v>10</v>
      </c>
      <c r="N50" s="11">
        <f>Revenue_Actual!N50/Target_Rev_Productivity!N50</f>
        <v>9.166666667</v>
      </c>
      <c r="O50" s="11">
        <f>Revenue_Actual!O50/Target_Rev_Productivity!O50</f>
        <v>10</v>
      </c>
      <c r="P50" s="11">
        <f>Revenue_Actual!P50/Target_Rev_Productivity!P50</f>
        <v>10</v>
      </c>
      <c r="Q50" s="11">
        <f>Revenue_Actual!Q50/Target_Rev_Productivity!Q50</f>
        <v>10</v>
      </c>
      <c r="R50" s="11">
        <f>Revenue_Actual!R50/Target_Rev_Productivity!R50</f>
        <v>13.33333333</v>
      </c>
      <c r="S50" s="11">
        <f>Revenue_Actual!S50/Target_Rev_Productivity!S50</f>
        <v>11.66666667</v>
      </c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1">
        <f>Revenue_Actual!H51/Target_Rev_Productivity!H51</f>
        <v>5.833333333</v>
      </c>
      <c r="I51" s="11">
        <f>Revenue_Actual!I51/Target_Rev_Productivity!I51</f>
        <v>5.833333333</v>
      </c>
      <c r="J51" s="11">
        <f>Revenue_Actual!J51/Target_Rev_Productivity!J51</f>
        <v>3.333333333</v>
      </c>
      <c r="K51" s="11">
        <f>Revenue_Actual!K51/Target_Rev_Productivity!K51</f>
        <v>2.5</v>
      </c>
      <c r="L51" s="11">
        <f>Revenue_Actual!L51/Target_Rev_Productivity!L51</f>
        <v>1.666666667</v>
      </c>
      <c r="M51" s="11">
        <f>Revenue_Actual!M51/Target_Rev_Productivity!M51</f>
        <v>1.666666667</v>
      </c>
      <c r="N51" s="11">
        <f>Revenue_Actual!N51/Target_Rev_Productivity!N51</f>
        <v>0</v>
      </c>
      <c r="O51" s="11">
        <f>Revenue_Actual!O51/Target_Rev_Productivity!O51</f>
        <v>0</v>
      </c>
      <c r="P51" s="11">
        <f>Revenue_Actual!P51/Target_Rev_Productivity!P51</f>
        <v>0</v>
      </c>
      <c r="Q51" s="11">
        <f>Revenue_Actual!Q51/Target_Rev_Productivity!Q51</f>
        <v>0</v>
      </c>
      <c r="R51" s="11">
        <f>Revenue_Actual!R51/Target_Rev_Productivity!R51</f>
        <v>0</v>
      </c>
      <c r="S51" s="11">
        <f>Revenue_Actual!S51/Target_Rev_Productivity!S51</f>
        <v>0</v>
      </c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1">
        <f>Revenue_Actual!H52/Target_Rev_Productivity!H52</f>
        <v>56.25</v>
      </c>
      <c r="I52" s="11">
        <f>Revenue_Actual!I52/Target_Rev_Productivity!I52</f>
        <v>52.08333333</v>
      </c>
      <c r="J52" s="11">
        <f>Revenue_Actual!J52/Target_Rev_Productivity!J52</f>
        <v>40.83333333</v>
      </c>
      <c r="K52" s="11">
        <f>Revenue_Actual!K52/Target_Rev_Productivity!K52</f>
        <v>32.5</v>
      </c>
      <c r="L52" s="11">
        <f>Revenue_Actual!L52/Target_Rev_Productivity!L52</f>
        <v>35.83333333</v>
      </c>
      <c r="M52" s="11">
        <f>Revenue_Actual!M52/Target_Rev_Productivity!M52</f>
        <v>36.66666667</v>
      </c>
      <c r="N52" s="11">
        <f>Revenue_Actual!N52/Target_Rev_Productivity!N52</f>
        <v>42.5</v>
      </c>
      <c r="O52" s="11">
        <f>Revenue_Actual!O52/Target_Rev_Productivity!O52</f>
        <v>42.33333333</v>
      </c>
      <c r="P52" s="11">
        <f>Revenue_Actual!P52/Target_Rev_Productivity!P52</f>
        <v>43.33333333</v>
      </c>
      <c r="Q52" s="11">
        <f>Revenue_Actual!Q52/Target_Rev_Productivity!Q52</f>
        <v>43.33333333</v>
      </c>
      <c r="R52" s="11">
        <f>Revenue_Actual!R52/Target_Rev_Productivity!R52</f>
        <v>36.66666667</v>
      </c>
      <c r="S52" s="11">
        <f>Revenue_Actual!S52/Target_Rev_Productivity!S52</f>
        <v>35.83333333</v>
      </c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1">
        <f>Revenue_Actual!H53/Target_Rev_Productivity!H53</f>
        <v>2.5</v>
      </c>
      <c r="I53" s="11">
        <f>Revenue_Actual!I53/Target_Rev_Productivity!I53</f>
        <v>2.5</v>
      </c>
      <c r="J53" s="11">
        <f>Revenue_Actual!J53/Target_Rev_Productivity!J53</f>
        <v>2.5</v>
      </c>
      <c r="K53" s="11">
        <f>Revenue_Actual!K53/Target_Rev_Productivity!K53</f>
        <v>2.5</v>
      </c>
      <c r="L53" s="11">
        <f>Revenue_Actual!L53/Target_Rev_Productivity!L53</f>
        <v>1.666666667</v>
      </c>
      <c r="M53" s="11">
        <f>Revenue_Actual!M53/Target_Rev_Productivity!M53</f>
        <v>1.666666667</v>
      </c>
      <c r="N53" s="11">
        <f>Revenue_Actual!N53/Target_Rev_Productivity!N53</f>
        <v>1.666666667</v>
      </c>
      <c r="O53" s="11">
        <f>Revenue_Actual!O53/Target_Rev_Productivity!O53</f>
        <v>1.666666667</v>
      </c>
      <c r="P53" s="11">
        <f>Revenue_Actual!P53/Target_Rev_Productivity!P53</f>
        <v>1.666666667</v>
      </c>
      <c r="Q53" s="11">
        <f>Revenue_Actual!Q53/Target_Rev_Productivity!Q53</f>
        <v>1.666666667</v>
      </c>
      <c r="R53" s="11">
        <f>Revenue_Actual!R53/Target_Rev_Productivity!R53</f>
        <v>1.666666667</v>
      </c>
      <c r="S53" s="11">
        <f>Revenue_Actual!S53/Target_Rev_Productivity!S53</f>
        <v>1.666666667</v>
      </c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1">
        <f>Revenue_Actual!H54/Target_Rev_Productivity!H54</f>
        <v>0.8333333333</v>
      </c>
      <c r="I54" s="11">
        <f>Revenue_Actual!I54/Target_Rev_Productivity!I54</f>
        <v>0.8333333333</v>
      </c>
      <c r="J54" s="11">
        <f>Revenue_Actual!J54/Target_Rev_Productivity!J54</f>
        <v>0.8333333333</v>
      </c>
      <c r="K54" s="11">
        <f>Revenue_Actual!K54/Target_Rev_Productivity!K54</f>
        <v>0.8333333333</v>
      </c>
      <c r="L54" s="11">
        <f>Revenue_Actual!L54/Target_Rev_Productivity!L54</f>
        <v>0.8333333333</v>
      </c>
      <c r="M54" s="11">
        <f>Revenue_Actual!M54/Target_Rev_Productivity!M54</f>
        <v>0.8333333333</v>
      </c>
      <c r="N54" s="11">
        <f>Revenue_Actual!N54/Target_Rev_Productivity!N54</f>
        <v>0.8333333333</v>
      </c>
      <c r="O54" s="11">
        <f>Revenue_Actual!O54/Target_Rev_Productivity!O54</f>
        <v>0.8333333333</v>
      </c>
      <c r="P54" s="11">
        <f>Revenue_Actual!P54/Target_Rev_Productivity!P54</f>
        <v>0.8333333333</v>
      </c>
      <c r="Q54" s="11">
        <f>Revenue_Actual!Q54/Target_Rev_Productivity!Q54</f>
        <v>0.8333333333</v>
      </c>
      <c r="R54" s="11">
        <f>Revenue_Actual!R54/Target_Rev_Productivity!R54</f>
        <v>0.8333333333</v>
      </c>
      <c r="S54" s="11">
        <f>Revenue_Actual!S54/Target_Rev_Productivity!S54</f>
        <v>1.666666667</v>
      </c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1">
        <f>Revenue_Actual!H55/Target_Rev_Productivity!H55</f>
        <v>12.5</v>
      </c>
      <c r="I55" s="11">
        <f>Revenue_Actual!I55/Target_Rev_Productivity!I55</f>
        <v>6.666666667</v>
      </c>
      <c r="J55" s="11">
        <f>Revenue_Actual!J55/Target_Rev_Productivity!J55</f>
        <v>6.666666667</v>
      </c>
      <c r="K55" s="11">
        <f>Revenue_Actual!K55/Target_Rev_Productivity!K55</f>
        <v>6.666666667</v>
      </c>
      <c r="L55" s="11">
        <f>Revenue_Actual!L55/Target_Rev_Productivity!L55</f>
        <v>10</v>
      </c>
      <c r="M55" s="11">
        <f>Revenue_Actual!M55/Target_Rev_Productivity!M55</f>
        <v>11.66666667</v>
      </c>
      <c r="N55" s="11">
        <f>Revenue_Actual!N55/Target_Rev_Productivity!N55</f>
        <v>10</v>
      </c>
      <c r="O55" s="11">
        <f>Revenue_Actual!O55/Target_Rev_Productivity!O55</f>
        <v>9.583333333</v>
      </c>
      <c r="P55" s="11">
        <f>Revenue_Actual!P55/Target_Rev_Productivity!P55</f>
        <v>10.83333333</v>
      </c>
      <c r="Q55" s="11">
        <f>Revenue_Actual!Q55/Target_Rev_Productivity!Q55</f>
        <v>10</v>
      </c>
      <c r="R55" s="11">
        <f>Revenue_Actual!R55/Target_Rev_Productivity!R55</f>
        <v>3.333333333</v>
      </c>
      <c r="S55" s="11">
        <f>Revenue_Actual!S55/Target_Rev_Productivity!S55</f>
        <v>0</v>
      </c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1">
        <f>Revenue_Actual!H56/Target_Rev_Productivity!H56</f>
        <v>0</v>
      </c>
      <c r="I56" s="11">
        <f>Revenue_Actual!I56/Target_Rev_Productivity!I56</f>
        <v>0</v>
      </c>
      <c r="J56" s="11">
        <f>Revenue_Actual!J56/Target_Rev_Productivity!J56</f>
        <v>0</v>
      </c>
      <c r="K56" s="11">
        <f>Revenue_Actual!K56/Target_Rev_Productivity!K56</f>
        <v>0</v>
      </c>
      <c r="L56" s="11">
        <f>Revenue_Actual!L56/Target_Rev_Productivity!L56</f>
        <v>0</v>
      </c>
      <c r="M56" s="11">
        <f>Revenue_Actual!M56/Target_Rev_Productivity!M56</f>
        <v>0</v>
      </c>
      <c r="N56" s="11">
        <f>Revenue_Actual!N56/Target_Rev_Productivity!N56</f>
        <v>0</v>
      </c>
      <c r="O56" s="11">
        <f>Revenue_Actual!O56/Target_Rev_Productivity!O56</f>
        <v>0</v>
      </c>
      <c r="P56" s="11">
        <f>Revenue_Actual!P56/Target_Rev_Productivity!P56</f>
        <v>0</v>
      </c>
      <c r="Q56" s="11">
        <f>Revenue_Actual!Q56/Target_Rev_Productivity!Q56</f>
        <v>0</v>
      </c>
      <c r="R56" s="11">
        <f>Revenue_Actual!R56/Target_Rev_Productivity!R56</f>
        <v>0</v>
      </c>
      <c r="S56" s="11">
        <f>Revenue_Actual!S56/Target_Rev_Productivity!S56</f>
        <v>0</v>
      </c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1">
        <f>Revenue_Actual!H57/Target_Rev_Productivity!H57</f>
        <v>0</v>
      </c>
      <c r="I57" s="11">
        <f>Revenue_Actual!I57/Target_Rev_Productivity!I57</f>
        <v>0</v>
      </c>
      <c r="J57" s="11">
        <f>Revenue_Actual!J57/Target_Rev_Productivity!J57</f>
        <v>0</v>
      </c>
      <c r="K57" s="11">
        <f>Revenue_Actual!K57/Target_Rev_Productivity!K57</f>
        <v>0</v>
      </c>
      <c r="L57" s="11">
        <f>Revenue_Actual!L57/Target_Rev_Productivity!L57</f>
        <v>0</v>
      </c>
      <c r="M57" s="11">
        <f>Revenue_Actual!M57/Target_Rev_Productivity!M57</f>
        <v>0</v>
      </c>
      <c r="N57" s="11">
        <f>Revenue_Actual!N57/Target_Rev_Productivity!N57</f>
        <v>0</v>
      </c>
      <c r="O57" s="11">
        <f>Revenue_Actual!O57/Target_Rev_Productivity!O57</f>
        <v>0</v>
      </c>
      <c r="P57" s="11">
        <f>Revenue_Actual!P57/Target_Rev_Productivity!P57</f>
        <v>0</v>
      </c>
      <c r="Q57" s="11">
        <f>Revenue_Actual!Q57/Target_Rev_Productivity!Q57</f>
        <v>0</v>
      </c>
      <c r="R57" s="11">
        <f>Revenue_Actual!R57/Target_Rev_Productivity!R57</f>
        <v>0</v>
      </c>
      <c r="S57" s="11">
        <f>Revenue_Actual!S57/Target_Rev_Productivity!S57</f>
        <v>0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1">
        <v>51.13</v>
      </c>
      <c r="I2" s="11">
        <v>50.10000000000001</v>
      </c>
      <c r="J2" s="11">
        <v>37.0</v>
      </c>
      <c r="K2" s="11">
        <v>29.95</v>
      </c>
      <c r="L2" s="11">
        <v>28.95</v>
      </c>
      <c r="M2" s="11">
        <v>30.35</v>
      </c>
      <c r="N2" s="11">
        <v>30.05</v>
      </c>
      <c r="O2" s="11">
        <v>27.7</v>
      </c>
      <c r="P2" s="11">
        <v>27.4</v>
      </c>
      <c r="Q2" s="11">
        <v>22.4</v>
      </c>
      <c r="R2" s="11">
        <v>13.4</v>
      </c>
      <c r="S2" s="11">
        <v>2.15</v>
      </c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1">
        <v>8.84</v>
      </c>
      <c r="I3" s="11">
        <v>6.5</v>
      </c>
      <c r="J3" s="11">
        <v>6.8</v>
      </c>
      <c r="K3" s="11">
        <v>7.05</v>
      </c>
      <c r="L3" s="11">
        <v>8.0</v>
      </c>
      <c r="M3" s="11">
        <v>6.25</v>
      </c>
      <c r="N3" s="11">
        <v>3.75</v>
      </c>
      <c r="O3" s="11">
        <v>4.2</v>
      </c>
      <c r="P3" s="11">
        <v>3.7</v>
      </c>
      <c r="Q3" s="11">
        <v>4.0</v>
      </c>
      <c r="R3" s="11">
        <v>5.0</v>
      </c>
      <c r="S3" s="11">
        <v>7.1</v>
      </c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1">
        <v>6.5</v>
      </c>
      <c r="I4" s="11">
        <v>6.0</v>
      </c>
      <c r="J4" s="11">
        <v>6.0</v>
      </c>
      <c r="K4" s="11">
        <v>4.0</v>
      </c>
      <c r="L4" s="11">
        <v>4.0</v>
      </c>
      <c r="M4" s="11">
        <v>4.0</v>
      </c>
      <c r="N4" s="11">
        <v>4.0</v>
      </c>
      <c r="O4" s="11">
        <v>3.0</v>
      </c>
      <c r="P4" s="11">
        <v>3.0</v>
      </c>
      <c r="Q4" s="11">
        <v>3.0</v>
      </c>
      <c r="R4" s="11">
        <v>5.0</v>
      </c>
      <c r="S4" s="11">
        <v>4.6</v>
      </c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1">
        <v>1.0</v>
      </c>
      <c r="I5" s="11">
        <v>1.0</v>
      </c>
      <c r="J5" s="11">
        <v>1.0</v>
      </c>
      <c r="K5" s="11">
        <v>1.0</v>
      </c>
      <c r="L5" s="11">
        <v>1.0</v>
      </c>
      <c r="M5" s="11">
        <v>1.0</v>
      </c>
      <c r="N5" s="11">
        <v>1.0</v>
      </c>
      <c r="O5" s="11">
        <v>1.2</v>
      </c>
      <c r="P5" s="11">
        <v>0.0</v>
      </c>
      <c r="Q5" s="11">
        <v>0.0</v>
      </c>
      <c r="R5" s="11">
        <v>1.0</v>
      </c>
      <c r="S5" s="11">
        <v>1.0</v>
      </c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1">
        <v>15.83</v>
      </c>
      <c r="I6" s="11">
        <v>15.5</v>
      </c>
      <c r="J6" s="11">
        <v>16.3</v>
      </c>
      <c r="K6" s="11">
        <v>16.55</v>
      </c>
      <c r="L6" s="11">
        <v>15.55</v>
      </c>
      <c r="M6" s="11">
        <v>17.65</v>
      </c>
      <c r="N6" s="11">
        <v>12.75</v>
      </c>
      <c r="O6" s="11">
        <v>3.3</v>
      </c>
      <c r="P6" s="11">
        <v>4.0</v>
      </c>
      <c r="Q6" s="11">
        <v>0.7</v>
      </c>
      <c r="R6" s="11">
        <v>0.7</v>
      </c>
      <c r="S6" s="11">
        <v>0.0</v>
      </c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1">
        <v>1.5</v>
      </c>
      <c r="I7" s="11">
        <v>1.5</v>
      </c>
      <c r="J7" s="11">
        <v>1.5</v>
      </c>
      <c r="K7" s="11">
        <v>1.5</v>
      </c>
      <c r="L7" s="11">
        <v>0.75</v>
      </c>
      <c r="M7" s="11">
        <v>0.5</v>
      </c>
      <c r="N7" s="11">
        <v>0.0</v>
      </c>
      <c r="O7" s="11">
        <v>0.0</v>
      </c>
      <c r="P7" s="11">
        <v>0.0</v>
      </c>
      <c r="Q7" s="11">
        <v>0.0</v>
      </c>
      <c r="R7" s="11">
        <v>0.0</v>
      </c>
      <c r="S7" s="11">
        <v>0.0</v>
      </c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1">
        <v>1.7</v>
      </c>
      <c r="I8" s="11">
        <v>3.0</v>
      </c>
      <c r="J8" s="11">
        <v>2.4</v>
      </c>
      <c r="K8" s="11">
        <v>3.0</v>
      </c>
      <c r="L8" s="11">
        <v>2.0</v>
      </c>
      <c r="M8" s="11">
        <v>2.0</v>
      </c>
      <c r="N8" s="11">
        <v>2.0</v>
      </c>
      <c r="O8" s="11">
        <v>2.0</v>
      </c>
      <c r="P8" s="11">
        <v>2.0</v>
      </c>
      <c r="Q8" s="11">
        <v>2.0</v>
      </c>
      <c r="R8" s="11">
        <v>1.0</v>
      </c>
      <c r="S8" s="11">
        <v>0.0</v>
      </c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1">
        <v>6.0</v>
      </c>
      <c r="I9" s="11">
        <v>6.0</v>
      </c>
      <c r="J9" s="11">
        <v>6.0</v>
      </c>
      <c r="K9" s="11">
        <v>7.25</v>
      </c>
      <c r="L9" s="11">
        <v>8.75</v>
      </c>
      <c r="M9" s="11">
        <v>12.05</v>
      </c>
      <c r="N9" s="11">
        <v>13.149999999999999</v>
      </c>
      <c r="O9" s="11">
        <v>14.7</v>
      </c>
      <c r="P9" s="11">
        <v>13.2</v>
      </c>
      <c r="Q9" s="11">
        <v>13.2</v>
      </c>
      <c r="R9" s="11">
        <v>13.2</v>
      </c>
      <c r="S9" s="11">
        <v>16.7</v>
      </c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1.0</v>
      </c>
      <c r="P10" s="11">
        <v>0.0</v>
      </c>
      <c r="Q10" s="11">
        <v>1.0</v>
      </c>
      <c r="R10" s="11">
        <v>2.0</v>
      </c>
      <c r="S10" s="11">
        <v>3.7</v>
      </c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1">
        <v>14.0</v>
      </c>
      <c r="I11" s="11">
        <v>14.0</v>
      </c>
      <c r="J11" s="11">
        <v>15.5</v>
      </c>
      <c r="K11" s="11">
        <v>17.0</v>
      </c>
      <c r="L11" s="11">
        <v>16.0</v>
      </c>
      <c r="M11" s="11">
        <v>16.0</v>
      </c>
      <c r="N11" s="11">
        <v>15.0</v>
      </c>
      <c r="O11" s="11">
        <v>14.0</v>
      </c>
      <c r="P11" s="11">
        <v>14.0</v>
      </c>
      <c r="Q11" s="11">
        <v>14.0</v>
      </c>
      <c r="R11" s="11">
        <v>14.0</v>
      </c>
      <c r="S11" s="11">
        <v>14.0</v>
      </c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1">
        <v>14.65</v>
      </c>
      <c r="I12" s="11">
        <v>13.25</v>
      </c>
      <c r="J12" s="11">
        <v>13.25</v>
      </c>
      <c r="K12" s="11">
        <v>13.25</v>
      </c>
      <c r="L12" s="11">
        <v>12.25</v>
      </c>
      <c r="M12" s="11">
        <v>13.25</v>
      </c>
      <c r="N12" s="11">
        <v>13.3</v>
      </c>
      <c r="O12" s="11">
        <v>10.8</v>
      </c>
      <c r="P12" s="11">
        <v>10.7</v>
      </c>
      <c r="Q12" s="11">
        <v>10.5</v>
      </c>
      <c r="R12" s="11">
        <v>10.2</v>
      </c>
      <c r="S12" s="11">
        <v>4.2</v>
      </c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1">
        <v>0.4</v>
      </c>
      <c r="I13" s="11">
        <v>2.0</v>
      </c>
      <c r="J13" s="11">
        <v>6.5</v>
      </c>
      <c r="K13" s="11">
        <v>17.1</v>
      </c>
      <c r="L13" s="11">
        <v>21.5</v>
      </c>
      <c r="M13" s="11">
        <v>32.15</v>
      </c>
      <c r="N13" s="11">
        <v>32.0</v>
      </c>
      <c r="O13" s="11">
        <v>47.0</v>
      </c>
      <c r="P13" s="11">
        <v>47.5</v>
      </c>
      <c r="Q13" s="11">
        <v>50.9</v>
      </c>
      <c r="R13" s="11">
        <v>51.199999999999996</v>
      </c>
      <c r="S13" s="11">
        <v>60.3</v>
      </c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  <c r="M14" s="11">
        <v>1.0</v>
      </c>
      <c r="N14" s="11">
        <v>0.0</v>
      </c>
      <c r="O14" s="11">
        <v>0.0</v>
      </c>
      <c r="P14" s="11">
        <v>0.0</v>
      </c>
      <c r="Q14" s="11">
        <v>0.0</v>
      </c>
      <c r="R14" s="11">
        <v>1.0</v>
      </c>
      <c r="S14" s="11">
        <v>1.0</v>
      </c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1">
        <v>0.0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1.0</v>
      </c>
      <c r="O15" s="11">
        <v>1.0</v>
      </c>
      <c r="P15" s="11">
        <v>2.5</v>
      </c>
      <c r="Q15" s="11">
        <v>1.5</v>
      </c>
      <c r="R15" s="11">
        <v>1.5</v>
      </c>
      <c r="S15" s="11">
        <v>2.5</v>
      </c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1">
        <v>0.0</v>
      </c>
      <c r="I16" s="11">
        <v>0.0</v>
      </c>
      <c r="J16" s="11">
        <v>0.0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0.0</v>
      </c>
      <c r="S16" s="11">
        <v>2.0</v>
      </c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1">
        <v>7.6</v>
      </c>
      <c r="I17" s="11">
        <v>7.43</v>
      </c>
      <c r="J17" s="11">
        <v>7.43</v>
      </c>
      <c r="K17" s="11">
        <v>6.43</v>
      </c>
      <c r="L17" s="11">
        <v>6.43</v>
      </c>
      <c r="M17" s="11">
        <v>7.43</v>
      </c>
      <c r="N17" s="11">
        <v>4.33</v>
      </c>
      <c r="O17" s="11">
        <v>4.33</v>
      </c>
      <c r="P17" s="11">
        <v>5.5</v>
      </c>
      <c r="Q17" s="11">
        <v>5.5</v>
      </c>
      <c r="R17" s="11">
        <v>4.5</v>
      </c>
      <c r="S17" s="11">
        <v>5.2</v>
      </c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1">
        <v>2.3000000000000003</v>
      </c>
      <c r="I18" s="11">
        <v>2.3000000000000003</v>
      </c>
      <c r="J18" s="11">
        <v>0.4</v>
      </c>
      <c r="K18" s="11">
        <v>0.30000000000000004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1">
        <v>15.6</v>
      </c>
      <c r="I19" s="11">
        <v>14.43</v>
      </c>
      <c r="J19" s="11">
        <v>13.43</v>
      </c>
      <c r="K19" s="11">
        <v>12.33</v>
      </c>
      <c r="L19" s="11">
        <v>11.53</v>
      </c>
      <c r="M19" s="11">
        <v>13.53</v>
      </c>
      <c r="N19" s="11">
        <v>14.33</v>
      </c>
      <c r="O19" s="11">
        <v>11.33</v>
      </c>
      <c r="P19" s="11">
        <v>11.5</v>
      </c>
      <c r="Q19" s="11">
        <v>11.5</v>
      </c>
      <c r="R19" s="11">
        <v>12.5</v>
      </c>
      <c r="S19" s="11">
        <v>12.7</v>
      </c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1">
        <v>20.900000000000002</v>
      </c>
      <c r="I20" s="11">
        <v>18.400000000000002</v>
      </c>
      <c r="J20" s="11">
        <v>18.400000000000002</v>
      </c>
      <c r="K20" s="11">
        <v>18.9</v>
      </c>
      <c r="L20" s="11">
        <v>18.9</v>
      </c>
      <c r="M20" s="11">
        <v>18.2</v>
      </c>
      <c r="N20" s="11">
        <v>18.3</v>
      </c>
      <c r="O20" s="11">
        <v>18.5</v>
      </c>
      <c r="P20" s="11">
        <v>14.6</v>
      </c>
      <c r="Q20" s="11">
        <v>10.1</v>
      </c>
      <c r="R20" s="11">
        <v>10.1</v>
      </c>
      <c r="S20" s="11">
        <v>10.299999999999999</v>
      </c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1">
        <v>69.3</v>
      </c>
      <c r="I21" s="11">
        <v>66.0</v>
      </c>
      <c r="J21" s="11">
        <v>60.7</v>
      </c>
      <c r="K21" s="11">
        <v>60.4</v>
      </c>
      <c r="L21" s="11">
        <v>61.5</v>
      </c>
      <c r="M21" s="11">
        <v>63.0</v>
      </c>
      <c r="N21" s="11">
        <v>63.0</v>
      </c>
      <c r="O21" s="11">
        <v>59.0</v>
      </c>
      <c r="P21" s="11">
        <v>60.0</v>
      </c>
      <c r="Q21" s="11">
        <v>61.0</v>
      </c>
      <c r="R21" s="11">
        <v>63.0</v>
      </c>
      <c r="S21" s="11">
        <v>63.5</v>
      </c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1">
        <v>15.4</v>
      </c>
      <c r="I22" s="11">
        <v>14.0</v>
      </c>
      <c r="J22" s="11">
        <v>13.0</v>
      </c>
      <c r="K22" s="11">
        <v>13.0</v>
      </c>
      <c r="L22" s="11">
        <v>13.0</v>
      </c>
      <c r="M22" s="11">
        <v>13.0</v>
      </c>
      <c r="N22" s="11">
        <v>12.0</v>
      </c>
      <c r="O22" s="11">
        <v>13.0</v>
      </c>
      <c r="P22" s="11">
        <v>12.0</v>
      </c>
      <c r="Q22" s="11">
        <v>11.05</v>
      </c>
      <c r="R22" s="11">
        <v>10.1</v>
      </c>
      <c r="S22" s="11">
        <v>10.299999999999999</v>
      </c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1">
        <v>37.9</v>
      </c>
      <c r="I23" s="11">
        <v>37.9</v>
      </c>
      <c r="J23" s="11">
        <v>39.9</v>
      </c>
      <c r="K23" s="11">
        <v>39.9</v>
      </c>
      <c r="L23" s="11">
        <v>36.2</v>
      </c>
      <c r="M23" s="11">
        <v>41.050000000000004</v>
      </c>
      <c r="N23" s="11">
        <v>37.3</v>
      </c>
      <c r="O23" s="11">
        <v>37.0</v>
      </c>
      <c r="P23" s="11">
        <v>33.0</v>
      </c>
      <c r="Q23" s="11">
        <v>35.0</v>
      </c>
      <c r="R23" s="11">
        <v>33.0</v>
      </c>
      <c r="S23" s="11">
        <v>36.0</v>
      </c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1">
        <v>24.75</v>
      </c>
      <c r="I24" s="11">
        <v>23.1</v>
      </c>
      <c r="J24" s="11">
        <v>22.1</v>
      </c>
      <c r="K24" s="11">
        <v>20.1</v>
      </c>
      <c r="L24" s="11">
        <v>23.1</v>
      </c>
      <c r="M24" s="11">
        <v>16.1</v>
      </c>
      <c r="N24" s="11">
        <v>16.7</v>
      </c>
      <c r="O24" s="11">
        <v>9.7</v>
      </c>
      <c r="P24" s="11">
        <v>8.0</v>
      </c>
      <c r="Q24" s="11">
        <v>8.9</v>
      </c>
      <c r="R24" s="11">
        <v>10.9</v>
      </c>
      <c r="S24" s="11">
        <v>11.299999999999999</v>
      </c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1">
        <v>5.3999999999999995</v>
      </c>
      <c r="I25" s="11">
        <v>6.1</v>
      </c>
      <c r="J25" s="11">
        <v>5.8</v>
      </c>
      <c r="K25" s="11">
        <v>3.8000000000000003</v>
      </c>
      <c r="L25" s="11">
        <v>3.1</v>
      </c>
      <c r="M25" s="11">
        <v>1.1</v>
      </c>
      <c r="N25" s="11">
        <v>0.2</v>
      </c>
      <c r="O25" s="11">
        <v>0.0</v>
      </c>
      <c r="P25" s="11">
        <v>0.0</v>
      </c>
      <c r="Q25" s="11">
        <v>0.0</v>
      </c>
      <c r="R25" s="11">
        <v>0.0</v>
      </c>
      <c r="S25" s="11">
        <v>0.0</v>
      </c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1">
        <v>3.1</v>
      </c>
      <c r="I26" s="11">
        <v>3.44</v>
      </c>
      <c r="J26" s="11">
        <v>3.44</v>
      </c>
      <c r="K26" s="11">
        <v>3.44</v>
      </c>
      <c r="L26" s="11">
        <v>2.44</v>
      </c>
      <c r="M26" s="11">
        <v>1.4400000000000002</v>
      </c>
      <c r="N26" s="11">
        <v>1.34</v>
      </c>
      <c r="O26" s="11">
        <v>0.34</v>
      </c>
      <c r="P26" s="11">
        <v>0.0</v>
      </c>
      <c r="Q26" s="11">
        <v>0.0</v>
      </c>
      <c r="R26" s="11">
        <v>0.0</v>
      </c>
      <c r="S26" s="11">
        <v>0.0</v>
      </c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1">
        <v>0.0</v>
      </c>
      <c r="I27" s="11">
        <v>0.0</v>
      </c>
      <c r="J27" s="11">
        <v>2.0</v>
      </c>
      <c r="K27" s="11">
        <v>9.0</v>
      </c>
      <c r="L27" s="11">
        <v>10.0</v>
      </c>
      <c r="M27" s="11">
        <v>17.0</v>
      </c>
      <c r="N27" s="11">
        <v>12.0</v>
      </c>
      <c r="O27" s="11">
        <v>11.2</v>
      </c>
      <c r="P27" s="11">
        <v>11.2</v>
      </c>
      <c r="Q27" s="11">
        <v>10.2</v>
      </c>
      <c r="R27" s="11">
        <v>16.2</v>
      </c>
      <c r="S27" s="11">
        <v>16.2</v>
      </c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1">
        <v>0.0</v>
      </c>
      <c r="I28" s="11">
        <v>0.0</v>
      </c>
      <c r="J28" s="11">
        <v>1.5</v>
      </c>
      <c r="K28" s="11">
        <v>2.0</v>
      </c>
      <c r="L28" s="11">
        <v>3.0</v>
      </c>
      <c r="M28" s="11">
        <v>4.0</v>
      </c>
      <c r="N28" s="11">
        <v>3.0</v>
      </c>
      <c r="O28" s="11">
        <v>1.0</v>
      </c>
      <c r="P28" s="11">
        <v>1.05</v>
      </c>
      <c r="Q28" s="11">
        <v>1.0</v>
      </c>
      <c r="R28" s="11">
        <v>1.0</v>
      </c>
      <c r="S28" s="11">
        <v>1.2</v>
      </c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1">
        <v>0.0</v>
      </c>
      <c r="I29" s="11">
        <v>1.0</v>
      </c>
      <c r="J29" s="11">
        <v>3.7</v>
      </c>
      <c r="K29" s="11">
        <v>8.0</v>
      </c>
      <c r="L29" s="11">
        <v>9.0</v>
      </c>
      <c r="M29" s="11">
        <v>9.0</v>
      </c>
      <c r="N29" s="11">
        <v>9.0</v>
      </c>
      <c r="O29" s="11">
        <v>7.1</v>
      </c>
      <c r="P29" s="11">
        <v>7.1</v>
      </c>
      <c r="Q29" s="11">
        <v>6.1</v>
      </c>
      <c r="R29" s="11">
        <v>8.1</v>
      </c>
      <c r="S29" s="11">
        <v>8.299999999999999</v>
      </c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1">
        <v>0.0</v>
      </c>
      <c r="I30" s="11">
        <v>0.0</v>
      </c>
      <c r="J30" s="11">
        <v>0.0</v>
      </c>
      <c r="K30" s="11">
        <v>0.0</v>
      </c>
      <c r="L30" s="11">
        <v>0.0</v>
      </c>
      <c r="M30" s="11">
        <v>2.0</v>
      </c>
      <c r="N30" s="11">
        <v>4.0</v>
      </c>
      <c r="O30" s="11">
        <v>6.1</v>
      </c>
      <c r="P30" s="11">
        <v>5.15</v>
      </c>
      <c r="Q30" s="11">
        <v>6.15</v>
      </c>
      <c r="R30" s="11">
        <v>6.1</v>
      </c>
      <c r="S30" s="11">
        <v>6.3</v>
      </c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1">
        <v>0.0</v>
      </c>
      <c r="I31" s="11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2.5</v>
      </c>
      <c r="O31" s="11">
        <v>8.9</v>
      </c>
      <c r="P31" s="11">
        <v>19.2</v>
      </c>
      <c r="Q31" s="11">
        <v>22.400000000000002</v>
      </c>
      <c r="R31" s="11">
        <v>32.4</v>
      </c>
      <c r="S31" s="11">
        <v>34.0</v>
      </c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1">
        <v>0.0</v>
      </c>
      <c r="I32" s="11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1">
        <v>6.0</v>
      </c>
      <c r="R32" s="11">
        <v>7.0</v>
      </c>
      <c r="S32" s="11">
        <v>8.0</v>
      </c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1">
        <v>10.54</v>
      </c>
      <c r="I33" s="11">
        <v>12.7</v>
      </c>
      <c r="J33" s="11">
        <v>12.2</v>
      </c>
      <c r="K33" s="11">
        <v>14.2</v>
      </c>
      <c r="L33" s="11">
        <v>14.25</v>
      </c>
      <c r="M33" s="11">
        <v>16.25</v>
      </c>
      <c r="N33" s="11">
        <v>11.3</v>
      </c>
      <c r="O33" s="11">
        <v>11.3</v>
      </c>
      <c r="P33" s="11">
        <v>9.2</v>
      </c>
      <c r="Q33" s="11">
        <v>8.0</v>
      </c>
      <c r="R33" s="11">
        <v>8.0</v>
      </c>
      <c r="S33" s="11">
        <v>9.0</v>
      </c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1">
        <v>5.1</v>
      </c>
      <c r="I34" s="11">
        <v>2.65</v>
      </c>
      <c r="J34" s="11">
        <v>3.1</v>
      </c>
      <c r="K34" s="11">
        <v>4.1</v>
      </c>
      <c r="L34" s="11">
        <v>3.0</v>
      </c>
      <c r="M34" s="11">
        <v>0.0</v>
      </c>
      <c r="N34" s="11">
        <v>0.0</v>
      </c>
      <c r="O34" s="11">
        <v>0.0</v>
      </c>
      <c r="P34" s="11">
        <v>0.0</v>
      </c>
      <c r="Q34" s="11">
        <v>0.0</v>
      </c>
      <c r="R34" s="11">
        <v>0.0</v>
      </c>
      <c r="S34" s="11">
        <v>0.0</v>
      </c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1">
        <v>4.43</v>
      </c>
      <c r="I35" s="11">
        <v>4.15</v>
      </c>
      <c r="J35" s="11">
        <v>4.15</v>
      </c>
      <c r="K35" s="11">
        <v>4.15</v>
      </c>
      <c r="L35" s="11">
        <v>4.15</v>
      </c>
      <c r="M35" s="11">
        <v>4.15</v>
      </c>
      <c r="N35" s="11">
        <v>4.15</v>
      </c>
      <c r="O35" s="11">
        <v>4.15</v>
      </c>
      <c r="P35" s="11">
        <v>4.1</v>
      </c>
      <c r="Q35" s="11">
        <v>4.0</v>
      </c>
      <c r="R35" s="11">
        <v>4.0</v>
      </c>
      <c r="S35" s="11">
        <v>3.7</v>
      </c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1">
        <v>7.1</v>
      </c>
      <c r="I36" s="11">
        <v>7.1</v>
      </c>
      <c r="J36" s="11">
        <v>6.0</v>
      </c>
      <c r="K36" s="11">
        <v>5.0</v>
      </c>
      <c r="L36" s="11">
        <v>5.0</v>
      </c>
      <c r="M36" s="11">
        <v>0.0</v>
      </c>
      <c r="N36" s="11">
        <v>0.0</v>
      </c>
      <c r="O36" s="11">
        <v>0.0</v>
      </c>
      <c r="P36" s="11">
        <v>1.0</v>
      </c>
      <c r="Q36" s="11">
        <v>1.0</v>
      </c>
      <c r="R36" s="11">
        <v>1.0</v>
      </c>
      <c r="S36" s="11">
        <v>0.0</v>
      </c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1">
        <v>12.43</v>
      </c>
      <c r="I37" s="11">
        <v>11.15</v>
      </c>
      <c r="J37" s="11">
        <v>10.15</v>
      </c>
      <c r="K37" s="11">
        <v>9.15</v>
      </c>
      <c r="L37" s="11">
        <v>9.15</v>
      </c>
      <c r="M37" s="11">
        <v>11.15</v>
      </c>
      <c r="N37" s="11">
        <v>11.25</v>
      </c>
      <c r="O37" s="11">
        <v>11.25</v>
      </c>
      <c r="P37" s="11">
        <v>11.25</v>
      </c>
      <c r="Q37" s="11">
        <v>11.0</v>
      </c>
      <c r="R37" s="11">
        <v>12.0</v>
      </c>
      <c r="S37" s="11">
        <v>12.0</v>
      </c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1">
        <v>0.0</v>
      </c>
      <c r="I38" s="11">
        <v>1.0</v>
      </c>
      <c r="J38" s="11">
        <v>13.15</v>
      </c>
      <c r="K38" s="11">
        <v>13.15</v>
      </c>
      <c r="L38" s="11">
        <v>12.2</v>
      </c>
      <c r="M38" s="11">
        <v>1.2</v>
      </c>
      <c r="N38" s="11">
        <v>0.0</v>
      </c>
      <c r="O38" s="11">
        <v>0.0</v>
      </c>
      <c r="P38" s="11">
        <v>0.0</v>
      </c>
      <c r="Q38" s="11">
        <v>0.0</v>
      </c>
      <c r="R38" s="11">
        <v>0.0</v>
      </c>
      <c r="S38" s="11">
        <v>0.0</v>
      </c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1">
        <v>3.1</v>
      </c>
      <c r="I39" s="11">
        <v>3.0</v>
      </c>
      <c r="J39" s="11">
        <v>3.0</v>
      </c>
      <c r="K39" s="11">
        <v>3.0</v>
      </c>
      <c r="L39" s="11">
        <v>3.0</v>
      </c>
      <c r="M39" s="11">
        <v>3.0</v>
      </c>
      <c r="N39" s="11">
        <v>3.0</v>
      </c>
      <c r="O39" s="11">
        <v>3.0</v>
      </c>
      <c r="P39" s="11">
        <v>3.0</v>
      </c>
      <c r="Q39" s="11">
        <v>3.0</v>
      </c>
      <c r="R39" s="11">
        <v>3.1</v>
      </c>
      <c r="S39" s="11">
        <v>3.1</v>
      </c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1">
        <v>2.0</v>
      </c>
      <c r="I40" s="11">
        <v>2.0</v>
      </c>
      <c r="J40" s="11">
        <v>2.0</v>
      </c>
      <c r="K40" s="11">
        <v>2.0</v>
      </c>
      <c r="L40" s="11">
        <v>2.0</v>
      </c>
      <c r="M40" s="11">
        <v>2.0</v>
      </c>
      <c r="N40" s="11">
        <v>2.0</v>
      </c>
      <c r="O40" s="11">
        <v>2.0</v>
      </c>
      <c r="P40" s="11">
        <v>2.0</v>
      </c>
      <c r="Q40" s="11">
        <v>2.0</v>
      </c>
      <c r="R40" s="11">
        <v>2.0</v>
      </c>
      <c r="S40" s="11">
        <v>2.0</v>
      </c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1">
        <v>6.0</v>
      </c>
      <c r="I41" s="11">
        <v>0.0</v>
      </c>
      <c r="J41" s="11">
        <v>0.0</v>
      </c>
      <c r="K41" s="11">
        <v>0.0</v>
      </c>
      <c r="L41" s="11">
        <v>0.0</v>
      </c>
      <c r="M41" s="11">
        <v>0.0</v>
      </c>
      <c r="N41" s="11">
        <v>0.0</v>
      </c>
      <c r="O41" s="11">
        <v>0.0</v>
      </c>
      <c r="P41" s="11">
        <v>0.0</v>
      </c>
      <c r="Q41" s="11">
        <v>0.0</v>
      </c>
      <c r="R41" s="11">
        <v>0.0</v>
      </c>
      <c r="S41" s="11">
        <v>0.0</v>
      </c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1">
        <v>7.5</v>
      </c>
      <c r="I42" s="11">
        <v>9.0</v>
      </c>
      <c r="J42" s="11">
        <v>9.5</v>
      </c>
      <c r="K42" s="11">
        <v>8.5</v>
      </c>
      <c r="L42" s="11">
        <v>9.0</v>
      </c>
      <c r="M42" s="11">
        <v>9.0</v>
      </c>
      <c r="N42" s="11">
        <v>14.0</v>
      </c>
      <c r="O42" s="11">
        <v>11.0</v>
      </c>
      <c r="P42" s="11">
        <v>11.0</v>
      </c>
      <c r="Q42" s="11">
        <v>10.5</v>
      </c>
      <c r="R42" s="11">
        <v>9.3</v>
      </c>
      <c r="S42" s="11">
        <v>10.1</v>
      </c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1">
        <v>5.0</v>
      </c>
      <c r="I43" s="11">
        <v>5.0</v>
      </c>
      <c r="J43" s="11">
        <v>5.9</v>
      </c>
      <c r="K43" s="11">
        <v>7.0</v>
      </c>
      <c r="L43" s="11">
        <v>7.0</v>
      </c>
      <c r="M43" s="11">
        <v>7.0</v>
      </c>
      <c r="N43" s="11">
        <v>2.0</v>
      </c>
      <c r="O43" s="11">
        <v>2.0</v>
      </c>
      <c r="P43" s="11">
        <v>2.0</v>
      </c>
      <c r="Q43" s="11">
        <v>2.0</v>
      </c>
      <c r="R43" s="11">
        <v>2.1</v>
      </c>
      <c r="S43" s="11">
        <v>3.1</v>
      </c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1">
        <v>2.0</v>
      </c>
      <c r="I44" s="11">
        <v>5.0</v>
      </c>
      <c r="J44" s="11">
        <v>5.0</v>
      </c>
      <c r="K44" s="11">
        <v>5.0</v>
      </c>
      <c r="L44" s="11">
        <v>4.0</v>
      </c>
      <c r="M44" s="11">
        <v>4.0</v>
      </c>
      <c r="N44" s="11">
        <v>3.0</v>
      </c>
      <c r="O44" s="11">
        <v>3.0</v>
      </c>
      <c r="P44" s="11">
        <v>3.0</v>
      </c>
      <c r="Q44" s="11">
        <v>3.0</v>
      </c>
      <c r="R44" s="11">
        <v>0.0</v>
      </c>
      <c r="S44" s="11">
        <v>1.0</v>
      </c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1">
        <v>0.0</v>
      </c>
      <c r="I45" s="11">
        <v>0.0</v>
      </c>
      <c r="J45" s="11">
        <v>0.0</v>
      </c>
      <c r="K45" s="11">
        <v>0.0</v>
      </c>
      <c r="L45" s="11">
        <v>0.0</v>
      </c>
      <c r="M45" s="11">
        <v>0.0</v>
      </c>
      <c r="N45" s="11">
        <v>0.0</v>
      </c>
      <c r="O45" s="11">
        <v>0.0</v>
      </c>
      <c r="P45" s="11">
        <v>0.0</v>
      </c>
      <c r="Q45" s="11">
        <v>0.0</v>
      </c>
      <c r="R45" s="11">
        <v>0.0</v>
      </c>
      <c r="S45" s="11">
        <v>0.0</v>
      </c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1">
        <v>0.0</v>
      </c>
      <c r="I46" s="11">
        <v>0.0</v>
      </c>
      <c r="J46" s="11">
        <v>0.0</v>
      </c>
      <c r="K46" s="11">
        <v>0.0</v>
      </c>
      <c r="L46" s="11">
        <v>0.0</v>
      </c>
      <c r="M46" s="11">
        <v>0.0</v>
      </c>
      <c r="N46" s="11">
        <v>0.0</v>
      </c>
      <c r="O46" s="11">
        <v>3.0</v>
      </c>
      <c r="P46" s="11">
        <v>6.0</v>
      </c>
      <c r="Q46" s="11">
        <v>8.1</v>
      </c>
      <c r="R46" s="11">
        <v>12.1</v>
      </c>
      <c r="S46" s="11">
        <v>10.1</v>
      </c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1">
        <v>0.0</v>
      </c>
      <c r="I47" s="11">
        <v>0.0</v>
      </c>
      <c r="J47" s="11">
        <v>0.0</v>
      </c>
      <c r="K47" s="11">
        <v>0.0</v>
      </c>
      <c r="L47" s="11">
        <v>0.0</v>
      </c>
      <c r="M47" s="11">
        <v>0.0</v>
      </c>
      <c r="N47" s="11">
        <v>0.0</v>
      </c>
      <c r="O47" s="11">
        <v>0.0</v>
      </c>
      <c r="P47" s="11">
        <v>3.0</v>
      </c>
      <c r="Q47" s="11">
        <v>5.1</v>
      </c>
      <c r="R47" s="11">
        <v>6.1</v>
      </c>
      <c r="S47" s="11">
        <v>7.1</v>
      </c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1">
        <v>0.0</v>
      </c>
      <c r="I48" s="11">
        <v>0.0</v>
      </c>
      <c r="J48" s="11">
        <v>0.0</v>
      </c>
      <c r="K48" s="11">
        <v>0.0</v>
      </c>
      <c r="L48" s="11">
        <v>0.0</v>
      </c>
      <c r="M48" s="11">
        <v>0.0</v>
      </c>
      <c r="N48" s="11">
        <v>0.0</v>
      </c>
      <c r="O48" s="11">
        <v>0.0</v>
      </c>
      <c r="P48" s="11">
        <v>0.0</v>
      </c>
      <c r="Q48" s="11">
        <v>0.0</v>
      </c>
      <c r="R48" s="11">
        <v>0.0</v>
      </c>
      <c r="S48" s="11">
        <v>2.0</v>
      </c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1">
        <v>78.6</v>
      </c>
      <c r="I49" s="11">
        <v>82.8</v>
      </c>
      <c r="J49" s="11">
        <v>83.8</v>
      </c>
      <c r="K49" s="11">
        <v>81.8</v>
      </c>
      <c r="L49" s="11">
        <v>77.6</v>
      </c>
      <c r="M49" s="11">
        <v>77.5</v>
      </c>
      <c r="N49" s="11">
        <v>75.6</v>
      </c>
      <c r="O49" s="11">
        <v>73.9</v>
      </c>
      <c r="P49" s="11">
        <v>71.2</v>
      </c>
      <c r="Q49" s="11">
        <v>71.5</v>
      </c>
      <c r="R49" s="11">
        <v>71.5</v>
      </c>
      <c r="S49" s="11">
        <v>68.75</v>
      </c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1">
        <v>15.2</v>
      </c>
      <c r="I50" s="11">
        <v>15.0</v>
      </c>
      <c r="J50" s="11">
        <v>15.2</v>
      </c>
      <c r="K50" s="11">
        <v>15.2</v>
      </c>
      <c r="L50" s="11">
        <v>14.2</v>
      </c>
      <c r="M50" s="11">
        <v>14.2</v>
      </c>
      <c r="N50" s="11">
        <v>13.2</v>
      </c>
      <c r="O50" s="11">
        <v>14.4</v>
      </c>
      <c r="P50" s="11">
        <v>13.7</v>
      </c>
      <c r="Q50" s="11">
        <v>13.7</v>
      </c>
      <c r="R50" s="11">
        <v>18.7</v>
      </c>
      <c r="S50" s="11">
        <v>16.7</v>
      </c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1">
        <v>8.0</v>
      </c>
      <c r="I51" s="11">
        <v>8.0</v>
      </c>
      <c r="J51" s="11">
        <v>5.0</v>
      </c>
      <c r="K51" s="11">
        <v>4.0</v>
      </c>
      <c r="L51" s="11">
        <v>3.0</v>
      </c>
      <c r="M51" s="11">
        <v>3.0</v>
      </c>
      <c r="N51" s="11">
        <v>1.0</v>
      </c>
      <c r="O51" s="11">
        <v>1.0</v>
      </c>
      <c r="P51" s="11">
        <v>1.0</v>
      </c>
      <c r="Q51" s="11">
        <v>1.0</v>
      </c>
      <c r="R51" s="11">
        <v>2.0</v>
      </c>
      <c r="S51" s="11">
        <v>0.0</v>
      </c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1">
        <v>83.0</v>
      </c>
      <c r="I52" s="11">
        <v>77.5</v>
      </c>
      <c r="J52" s="11">
        <v>61.8</v>
      </c>
      <c r="K52" s="11">
        <v>60.3</v>
      </c>
      <c r="L52" s="11">
        <v>61.3</v>
      </c>
      <c r="M52" s="11">
        <v>63.3</v>
      </c>
      <c r="N52" s="11">
        <v>69.3</v>
      </c>
      <c r="O52" s="11">
        <v>70.1</v>
      </c>
      <c r="P52" s="11">
        <v>72.0</v>
      </c>
      <c r="Q52" s="11">
        <v>73.0</v>
      </c>
      <c r="R52" s="11">
        <v>66.0</v>
      </c>
      <c r="S52" s="11">
        <v>63.0</v>
      </c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1">
        <v>3.5</v>
      </c>
      <c r="I53" s="11">
        <v>3.5</v>
      </c>
      <c r="J53" s="11">
        <v>3.5</v>
      </c>
      <c r="K53" s="11">
        <v>3.5</v>
      </c>
      <c r="L53" s="11">
        <v>3.0</v>
      </c>
      <c r="M53" s="11">
        <v>3.0</v>
      </c>
      <c r="N53" s="11">
        <v>4.0</v>
      </c>
      <c r="O53" s="11">
        <v>4.0</v>
      </c>
      <c r="P53" s="11">
        <v>4.0</v>
      </c>
      <c r="Q53" s="11">
        <v>4.0</v>
      </c>
      <c r="R53" s="11">
        <v>4.0</v>
      </c>
      <c r="S53" s="11">
        <v>4.0</v>
      </c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1">
        <v>2.0</v>
      </c>
      <c r="I54" s="11">
        <v>2.0</v>
      </c>
      <c r="J54" s="11">
        <v>2.0</v>
      </c>
      <c r="K54" s="11">
        <v>2.0</v>
      </c>
      <c r="L54" s="11">
        <v>1.0</v>
      </c>
      <c r="M54" s="11">
        <v>1.0</v>
      </c>
      <c r="N54" s="11">
        <v>1.0</v>
      </c>
      <c r="O54" s="11">
        <v>1.0</v>
      </c>
      <c r="P54" s="11">
        <v>1.0</v>
      </c>
      <c r="Q54" s="11">
        <v>1.0</v>
      </c>
      <c r="R54" s="11">
        <v>1.0</v>
      </c>
      <c r="S54" s="11">
        <v>3.0</v>
      </c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1">
        <v>16.5</v>
      </c>
      <c r="I55" s="11">
        <v>8.5</v>
      </c>
      <c r="J55" s="11">
        <v>8.0</v>
      </c>
      <c r="K55" s="11">
        <v>9.0</v>
      </c>
      <c r="L55" s="11">
        <v>13.2</v>
      </c>
      <c r="M55" s="11">
        <v>15.2</v>
      </c>
      <c r="N55" s="11">
        <v>13.2</v>
      </c>
      <c r="O55" s="11">
        <v>12.8</v>
      </c>
      <c r="P55" s="11">
        <v>14.1</v>
      </c>
      <c r="Q55" s="11">
        <v>13.1</v>
      </c>
      <c r="R55" s="11">
        <v>0.1</v>
      </c>
      <c r="S55" s="11">
        <v>0.0</v>
      </c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1">
        <v>1.0</v>
      </c>
      <c r="I56" s="11">
        <v>1.0</v>
      </c>
      <c r="J56" s="11">
        <v>1.0</v>
      </c>
      <c r="K56" s="11">
        <v>1.0</v>
      </c>
      <c r="L56" s="11">
        <v>1.0</v>
      </c>
      <c r="M56" s="11">
        <v>0.0</v>
      </c>
      <c r="N56" s="11">
        <v>0.0</v>
      </c>
      <c r="O56" s="11">
        <v>0.0</v>
      </c>
      <c r="P56" s="11">
        <v>0.0</v>
      </c>
      <c r="Q56" s="11">
        <v>0.0</v>
      </c>
      <c r="R56" s="11">
        <v>0.0</v>
      </c>
      <c r="S56" s="11">
        <v>0.0</v>
      </c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1">
        <f>12.7+35</f>
        <v>47.7</v>
      </c>
      <c r="I57" s="11">
        <f>18+34</f>
        <v>52</v>
      </c>
      <c r="J57" s="11">
        <f>24+34</f>
        <v>58</v>
      </c>
      <c r="K57" s="11">
        <f>10.7+26</f>
        <v>36.7</v>
      </c>
      <c r="L57" s="11">
        <f>12+27</f>
        <v>39</v>
      </c>
      <c r="M57" s="11">
        <f>11+20</f>
        <v>31</v>
      </c>
      <c r="N57" s="11">
        <f>12+19</f>
        <v>31</v>
      </c>
      <c r="O57" s="11">
        <f>11.7+11</f>
        <v>22.7</v>
      </c>
      <c r="P57" s="11">
        <f>11.1+2</f>
        <v>13.1</v>
      </c>
      <c r="Q57" s="11">
        <v>9.9</v>
      </c>
      <c r="R57" s="11">
        <f>7.9+3</f>
        <v>10.9</v>
      </c>
      <c r="S57" s="11">
        <f>12.8+3</f>
        <v>15.8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>
      <c r="G64" s="7" t="s">
        <v>121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19" width="8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1">
        <v>79206.82940075942</v>
      </c>
      <c r="I2" s="11">
        <v>87020.49823912383</v>
      </c>
      <c r="J2" s="11">
        <v>84301.84926580898</v>
      </c>
      <c r="K2" s="11">
        <v>80073.8490632896</v>
      </c>
      <c r="L2" s="11">
        <v>78686.91385281784</v>
      </c>
      <c r="M2" s="11">
        <v>87373.14734010506</v>
      </c>
      <c r="N2" s="11">
        <v>73769.20398012944</v>
      </c>
      <c r="O2" s="11">
        <v>74584.04582253558</v>
      </c>
      <c r="P2" s="11">
        <v>75803.98809321948</v>
      </c>
      <c r="Q2" s="11">
        <v>75133.49491179586</v>
      </c>
      <c r="R2" s="11">
        <v>73500.7942918686</v>
      </c>
      <c r="S2" s="11">
        <v>78378.984153558</v>
      </c>
      <c r="T2" s="17"/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1">
        <v>62147.33286854133</v>
      </c>
      <c r="I3" s="11">
        <v>73573.55765874614</v>
      </c>
      <c r="J3" s="11">
        <v>77394.07872176387</v>
      </c>
      <c r="K3" s="11">
        <v>68412.47230060001</v>
      </c>
      <c r="L3" s="11">
        <v>65666.88254884546</v>
      </c>
      <c r="M3" s="11">
        <v>72524.29242883714</v>
      </c>
      <c r="N3" s="11">
        <v>69028.24380264741</v>
      </c>
      <c r="O3" s="11">
        <v>68049.53866003352</v>
      </c>
      <c r="P3" s="11">
        <v>75437.78765920881</v>
      </c>
      <c r="Q3" s="11">
        <v>74165.13776893872</v>
      </c>
      <c r="R3" s="11">
        <v>75198.39429186861</v>
      </c>
      <c r="S3" s="11">
        <v>88415.77419613907</v>
      </c>
      <c r="T3" s="17"/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1">
        <v>70303.10209931056</v>
      </c>
      <c r="I4" s="11">
        <v>66953.68586387434</v>
      </c>
      <c r="J4" s="11">
        <v>64919.91743922476</v>
      </c>
      <c r="K4" s="11">
        <v>58372.998896344696</v>
      </c>
      <c r="L4" s="11">
        <v>57932.25754884547</v>
      </c>
      <c r="M4" s="11">
        <v>68744.21101031016</v>
      </c>
      <c r="N4" s="11">
        <v>45705.06046931408</v>
      </c>
      <c r="O4" s="11">
        <v>51984.750556710846</v>
      </c>
      <c r="P4" s="11">
        <v>54102.38225380341</v>
      </c>
      <c r="Q4" s="11">
        <v>52482.471102272044</v>
      </c>
      <c r="R4" s="11">
        <v>64812.19429186861</v>
      </c>
      <c r="S4" s="11">
        <v>74741.49679258732</v>
      </c>
      <c r="T4" s="17"/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1">
        <v>54061.025176233634</v>
      </c>
      <c r="I5" s="11">
        <v>54732.01919720768</v>
      </c>
      <c r="J5" s="11">
        <v>53026.78834080718</v>
      </c>
      <c r="K5" s="11">
        <v>56096.748896344696</v>
      </c>
      <c r="L5" s="11">
        <v>55761.25754884547</v>
      </c>
      <c r="M5" s="11">
        <v>69827.29705062187</v>
      </c>
      <c r="N5" s="11">
        <v>50175.31046931408</v>
      </c>
      <c r="O5" s="11">
        <v>51930.831585081585</v>
      </c>
      <c r="P5" s="11"/>
      <c r="Q5" s="11"/>
      <c r="R5" s="11">
        <v>60034.7942918686</v>
      </c>
      <c r="S5" s="11">
        <v>69638.84461867427</v>
      </c>
      <c r="T5" s="17"/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1">
        <v>78668.74911811613</v>
      </c>
      <c r="I6" s="11">
        <v>80382.8579068851</v>
      </c>
      <c r="J6" s="11">
        <v>77995.36377851033</v>
      </c>
      <c r="K6" s="11">
        <v>76941.84557308185</v>
      </c>
      <c r="L6" s="11">
        <v>78589.21574820239</v>
      </c>
      <c r="M6" s="11">
        <v>85094.93736794482</v>
      </c>
      <c r="N6" s="11">
        <v>77358.01635166703</v>
      </c>
      <c r="O6" s="11">
        <v>98195.68520594311</v>
      </c>
      <c r="P6" s="11">
        <v>86434.38225380341</v>
      </c>
      <c r="Q6" s="11">
        <v>159070.99491179586</v>
      </c>
      <c r="R6" s="11">
        <v>149997.22286329718</v>
      </c>
      <c r="S6" s="11"/>
      <c r="T6" s="17"/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1">
        <v>67460.6918429003</v>
      </c>
      <c r="I7" s="11">
        <v>68130.68586387434</v>
      </c>
      <c r="J7" s="11">
        <v>65873.12167414051</v>
      </c>
      <c r="K7" s="11">
        <v>67291.7488963447</v>
      </c>
      <c r="L7" s="11">
        <v>63555.5908821788</v>
      </c>
      <c r="M7" s="11">
        <v>66097.92022985665</v>
      </c>
      <c r="N7" s="11"/>
      <c r="O7" s="11"/>
      <c r="P7" s="11"/>
      <c r="Q7" s="11"/>
      <c r="R7" s="11" t="s">
        <v>114</v>
      </c>
      <c r="S7" s="11"/>
      <c r="T7" s="17"/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1">
        <v>108368.26047035128</v>
      </c>
      <c r="I8" s="11">
        <v>83532.35253054101</v>
      </c>
      <c r="J8" s="11">
        <v>75060.70500747385</v>
      </c>
      <c r="K8" s="11">
        <v>73628.7488963447</v>
      </c>
      <c r="L8" s="11">
        <v>82088.25754884547</v>
      </c>
      <c r="M8" s="11">
        <v>83253.92022985664</v>
      </c>
      <c r="N8" s="11">
        <v>74779.31046931408</v>
      </c>
      <c r="O8" s="11">
        <v>73544.9982517485</v>
      </c>
      <c r="P8" s="11">
        <v>79050.38225380341</v>
      </c>
      <c r="Q8" s="11">
        <v>78522.13776893872</v>
      </c>
      <c r="R8" s="11">
        <v>55099.7942918686</v>
      </c>
      <c r="S8" s="11"/>
      <c r="T8" s="17"/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1">
        <v>78531.52517623363</v>
      </c>
      <c r="I9" s="11">
        <v>85154.51919720769</v>
      </c>
      <c r="J9" s="11">
        <v>85830.2507725581</v>
      </c>
      <c r="K9" s="11">
        <v>80609.05924117228</v>
      </c>
      <c r="L9" s="11">
        <v>72416.77183455975</v>
      </c>
      <c r="M9" s="11">
        <v>95015.81291543292</v>
      </c>
      <c r="N9" s="11">
        <v>51615.65267463728</v>
      </c>
      <c r="O9" s="11">
        <v>73486.98218637632</v>
      </c>
      <c r="P9" s="11">
        <v>71359.42770834887</v>
      </c>
      <c r="Q9" s="11">
        <v>75918.06201136296</v>
      </c>
      <c r="R9" s="11">
        <v>74131.24883732315</v>
      </c>
      <c r="S9" s="11">
        <v>83520.06617556051</v>
      </c>
      <c r="T9" s="17"/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1"/>
      <c r="I10" s="11" t="s">
        <v>114</v>
      </c>
      <c r="J10" s="11" t="s">
        <v>114</v>
      </c>
      <c r="K10" s="11" t="s">
        <v>114</v>
      </c>
      <c r="L10" s="11" t="s">
        <v>114</v>
      </c>
      <c r="M10" s="11" t="s">
        <v>114</v>
      </c>
      <c r="N10" s="11" t="s">
        <v>114</v>
      </c>
      <c r="O10" s="11">
        <v>55725.15870896797</v>
      </c>
      <c r="P10" s="11" t="s">
        <v>114</v>
      </c>
      <c r="Q10" s="11">
        <v>59646.13776893871</v>
      </c>
      <c r="R10" s="11">
        <v>75321.2942918686</v>
      </c>
      <c r="S10" s="11">
        <v>95273.00678083643</v>
      </c>
      <c r="T10" s="17"/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1">
        <v>103585.4537476622</v>
      </c>
      <c r="I11" s="11">
        <v>97301.66205435053</v>
      </c>
      <c r="J11" s="11">
        <v>90876.16089503333</v>
      </c>
      <c r="K11" s="11">
        <v>91345.80771987411</v>
      </c>
      <c r="L11" s="11">
        <v>93484.19504884547</v>
      </c>
      <c r="M11" s="11">
        <v>100790.07751438233</v>
      </c>
      <c r="N11" s="11">
        <v>89391.84380264742</v>
      </c>
      <c r="O11" s="11">
        <v>96108.88984377256</v>
      </c>
      <c r="P11" s="11">
        <v>98203.45368237483</v>
      </c>
      <c r="Q11" s="11">
        <v>97534.49491179585</v>
      </c>
      <c r="R11" s="11">
        <v>97404.50857758289</v>
      </c>
      <c r="S11" s="11">
        <v>107127.55890438856</v>
      </c>
      <c r="T11" s="17"/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1">
        <v>82414.25725814489</v>
      </c>
      <c r="I12" s="11">
        <v>84681.30221607561</v>
      </c>
      <c r="J12" s="11">
        <v>94774.91887926465</v>
      </c>
      <c r="K12" s="11">
        <v>88188.616820873</v>
      </c>
      <c r="L12" s="11">
        <v>89899.56367129445</v>
      </c>
      <c r="M12" s="11">
        <v>99086.38662036421</v>
      </c>
      <c r="N12" s="11">
        <v>79343.5811460058</v>
      </c>
      <c r="O12" s="11">
        <v>83670.88163810431</v>
      </c>
      <c r="P12" s="11">
        <v>82166.96169305575</v>
      </c>
      <c r="Q12" s="11">
        <v>77420.42348322443</v>
      </c>
      <c r="R12" s="11">
        <v>72727.65703696664</v>
      </c>
      <c r="S12" s="11">
        <v>66930.60652343617</v>
      </c>
      <c r="T12" s="17"/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1">
        <v>64047.525176233634</v>
      </c>
      <c r="I13" s="11">
        <v>80297.51919720767</v>
      </c>
      <c r="J13" s="11">
        <v>64234.557571576406</v>
      </c>
      <c r="K13" s="11">
        <v>72661.87755131545</v>
      </c>
      <c r="L13" s="11">
        <v>79952.21103721757</v>
      </c>
      <c r="M13" s="11">
        <v>73245.56929659855</v>
      </c>
      <c r="N13" s="11">
        <v>69588.62296931408</v>
      </c>
      <c r="O13" s="11">
        <v>71164.37614850426</v>
      </c>
      <c r="P13" s="11">
        <v>70797.83488538236</v>
      </c>
      <c r="Q13" s="11">
        <v>69190.47568642398</v>
      </c>
      <c r="R13" s="11">
        <v>71021.88804186862</v>
      </c>
      <c r="S13" s="11">
        <v>84440.46319247194</v>
      </c>
      <c r="T13" s="17"/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1"/>
      <c r="I14" s="11" t="s">
        <v>114</v>
      </c>
      <c r="J14" s="11" t="s">
        <v>114</v>
      </c>
      <c r="K14" s="11" t="s">
        <v>114</v>
      </c>
      <c r="L14" s="11" t="s">
        <v>114</v>
      </c>
      <c r="M14" s="11">
        <v>67014.92022985665</v>
      </c>
      <c r="N14" s="11" t="s">
        <v>114</v>
      </c>
      <c r="O14" s="11" t="s">
        <v>114</v>
      </c>
      <c r="P14" s="11" t="s">
        <v>114</v>
      </c>
      <c r="Q14" s="11"/>
      <c r="R14" s="11">
        <v>61927.7942918686</v>
      </c>
      <c r="S14" s="11">
        <v>72962.84461867427</v>
      </c>
      <c r="T14" s="17"/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1"/>
      <c r="I15" s="11" t="s">
        <v>114</v>
      </c>
      <c r="J15" s="11" t="s">
        <v>114</v>
      </c>
      <c r="K15" s="11" t="s">
        <v>114</v>
      </c>
      <c r="L15" s="11" t="s">
        <v>114</v>
      </c>
      <c r="M15" s="11" t="s">
        <v>114</v>
      </c>
      <c r="N15" s="11">
        <v>91345.31046931408</v>
      </c>
      <c r="O15" s="11">
        <v>65349.80053784684</v>
      </c>
      <c r="P15" s="11">
        <v>87111.58225380341</v>
      </c>
      <c r="Q15" s="11">
        <v>108532.13776893872</v>
      </c>
      <c r="R15" s="11">
        <v>78560.46095853527</v>
      </c>
      <c r="S15" s="11">
        <v>91606.84461867428</v>
      </c>
      <c r="T15" s="17"/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>
        <v>80718.34461867427</v>
      </c>
      <c r="T16" s="17"/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1">
        <v>84411.07780781259</v>
      </c>
      <c r="I17" s="11">
        <v>83450.46334256434</v>
      </c>
      <c r="J17" s="11">
        <v>81671.98411341895</v>
      </c>
      <c r="K17" s="11">
        <v>73431.07393522495</v>
      </c>
      <c r="L17" s="11">
        <v>77414.90451618607</v>
      </c>
      <c r="M17" s="11">
        <v>77007.66244825788</v>
      </c>
      <c r="N17" s="11">
        <v>75672.4698226628</v>
      </c>
      <c r="O17" s="11">
        <v>68236.23035950965</v>
      </c>
      <c r="P17" s="11">
        <v>98496.20043562158</v>
      </c>
      <c r="Q17" s="11">
        <v>87353.77413257508</v>
      </c>
      <c r="R17" s="11">
        <v>90448.01651409082</v>
      </c>
      <c r="S17" s="11">
        <v>94016.03692636656</v>
      </c>
      <c r="T17" s="17"/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1">
        <v>87396.54691536406</v>
      </c>
      <c r="I18" s="11">
        <v>88426.9757189468</v>
      </c>
      <c r="J18" s="11">
        <v>296608.75657893904</v>
      </c>
      <c r="K18" s="11">
        <v>218407.082229678</v>
      </c>
      <c r="L18" s="11" t="s">
        <v>114</v>
      </c>
      <c r="M18" s="11" t="s">
        <v>114</v>
      </c>
      <c r="N18" s="11" t="s">
        <v>114</v>
      </c>
      <c r="O18" s="11" t="s">
        <v>114</v>
      </c>
      <c r="P18" s="11" t="s">
        <v>114</v>
      </c>
      <c r="Q18" s="11" t="s">
        <v>114</v>
      </c>
      <c r="R18" s="11" t="s">
        <v>114</v>
      </c>
      <c r="S18" s="11"/>
      <c r="T18" s="17"/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1">
        <v>75255.92261213108</v>
      </c>
      <c r="I19" s="11">
        <v>77711.64774883623</v>
      </c>
      <c r="J19" s="11">
        <v>78410.09471389023</v>
      </c>
      <c r="K19" s="11">
        <v>72753.44070494162</v>
      </c>
      <c r="L19" s="11">
        <v>76365.63309090964</v>
      </c>
      <c r="M19" s="11">
        <v>77098.08873223008</v>
      </c>
      <c r="N19" s="11">
        <v>60116.11298152622</v>
      </c>
      <c r="O19" s="11">
        <v>66050.68431917508</v>
      </c>
      <c r="P19" s="11">
        <v>72846.73007989036</v>
      </c>
      <c r="Q19" s="11">
        <v>74888.05081241697</v>
      </c>
      <c r="R19" s="11">
        <v>73741.0742918686</v>
      </c>
      <c r="S19" s="11">
        <v>74044.62414623333</v>
      </c>
      <c r="T19" s="17"/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1">
        <v>73997.48929106616</v>
      </c>
      <c r="I20" s="11">
        <v>75270.39963199028</v>
      </c>
      <c r="J20" s="11">
        <v>73509.44484268551</v>
      </c>
      <c r="K20" s="11">
        <v>76123.27270586851</v>
      </c>
      <c r="L20" s="11">
        <v>78300.86072344864</v>
      </c>
      <c r="M20" s="11">
        <v>82890.88132372264</v>
      </c>
      <c r="N20" s="11">
        <v>68449.08096111736</v>
      </c>
      <c r="O20" s="11">
        <v>61327.56643718031</v>
      </c>
      <c r="P20" s="11">
        <v>71888.06718531027</v>
      </c>
      <c r="Q20" s="11">
        <v>81049.12786794861</v>
      </c>
      <c r="R20" s="11">
        <v>82306.8834007795</v>
      </c>
      <c r="S20" s="11">
        <v>94195.31063809175</v>
      </c>
      <c r="T20" s="17"/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1">
        <v>74687.71637392484</v>
      </c>
      <c r="I21" s="11">
        <v>75325.51919720767</v>
      </c>
      <c r="J21" s="11">
        <v>76779.93839764629</v>
      </c>
      <c r="K21" s="11">
        <v>75994.90783674204</v>
      </c>
      <c r="L21" s="11">
        <v>75819.42828055279</v>
      </c>
      <c r="M21" s="11">
        <v>88688.45933112048</v>
      </c>
      <c r="N21" s="11">
        <v>69129.75491375852</v>
      </c>
      <c r="O21" s="11">
        <v>73669.5646442389</v>
      </c>
      <c r="P21" s="11">
        <v>74284.8822538034</v>
      </c>
      <c r="Q21" s="11">
        <v>73485.51481811903</v>
      </c>
      <c r="R21" s="11">
        <v>78427.88952996384</v>
      </c>
      <c r="S21" s="11">
        <v>88301.58477615457</v>
      </c>
      <c r="T21" s="17"/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1">
        <v>72258.14205935052</v>
      </c>
      <c r="I22" s="11">
        <v>69212.66205435053</v>
      </c>
      <c r="J22" s="11">
        <v>68897.30946315375</v>
      </c>
      <c r="K22" s="11">
        <v>66669.7488963447</v>
      </c>
      <c r="L22" s="11">
        <v>67849.02677961471</v>
      </c>
      <c r="M22" s="11">
        <v>76816.88304158059</v>
      </c>
      <c r="N22" s="11">
        <v>58032.64380264741</v>
      </c>
      <c r="O22" s="11">
        <v>55955.24510900936</v>
      </c>
      <c r="P22" s="11">
        <v>60394.04892047008</v>
      </c>
      <c r="Q22" s="11">
        <v>66804.06537074866</v>
      </c>
      <c r="R22" s="11">
        <v>66772.7249849379</v>
      </c>
      <c r="S22" s="11">
        <v>78582.5921914898</v>
      </c>
      <c r="T22" s="17"/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1">
        <v>81281.3972078959</v>
      </c>
      <c r="I23" s="11">
        <v>87229.46510749792</v>
      </c>
      <c r="J23" s="11">
        <v>80344.66188028254</v>
      </c>
      <c r="K23" s="11">
        <v>78435.8040341893</v>
      </c>
      <c r="L23" s="11">
        <v>85956.67191348635</v>
      </c>
      <c r="M23" s="11">
        <v>88169.7192038366</v>
      </c>
      <c r="N23" s="11">
        <v>76527.13352561436</v>
      </c>
      <c r="O23" s="11">
        <v>73706.08579719994</v>
      </c>
      <c r="P23" s="11">
        <v>82143.92770834887</v>
      </c>
      <c r="Q23" s="11">
        <v>78754.48062608157</v>
      </c>
      <c r="R23" s="11">
        <v>81930.15792823225</v>
      </c>
      <c r="S23" s="11">
        <v>82465.65017422981</v>
      </c>
      <c r="T23" s="17"/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1">
        <v>74644.61103481949</v>
      </c>
      <c r="I24" s="11">
        <v>76274.95426214274</v>
      </c>
      <c r="J24" s="11">
        <v>71738.29758176042</v>
      </c>
      <c r="K24" s="11">
        <v>66152.55486649394</v>
      </c>
      <c r="L24" s="11">
        <v>60051.79867438659</v>
      </c>
      <c r="M24" s="11">
        <v>61315.5593794705</v>
      </c>
      <c r="N24" s="11">
        <v>62045.310469314085</v>
      </c>
      <c r="O24" s="11">
        <v>63479.201079449245</v>
      </c>
      <c r="P24" s="11">
        <v>71135.88225380341</v>
      </c>
      <c r="Q24" s="11">
        <v>66077.68833073646</v>
      </c>
      <c r="R24" s="11">
        <v>55209.46401663924</v>
      </c>
      <c r="S24" s="11">
        <v>57487.57028239109</v>
      </c>
      <c r="T24" s="17"/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1">
        <v>98025.5807317892</v>
      </c>
      <c r="I25" s="11">
        <v>84536.2487054044</v>
      </c>
      <c r="J25" s="11">
        <v>84906.29533074897</v>
      </c>
      <c r="K25" s="11">
        <v>97751.38047529206</v>
      </c>
      <c r="L25" s="11">
        <v>70816.58012949063</v>
      </c>
      <c r="M25" s="11">
        <v>46128.64750258392</v>
      </c>
      <c r="N25" s="11">
        <v>330790.31046931405</v>
      </c>
      <c r="O25" s="11" t="s">
        <v>114</v>
      </c>
      <c r="P25" s="11" t="s">
        <v>114</v>
      </c>
      <c r="Q25" s="11" t="s">
        <v>114</v>
      </c>
      <c r="R25" s="11" t="s">
        <v>114</v>
      </c>
      <c r="S25" s="11"/>
      <c r="T25" s="17"/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1">
        <v>103823.89614397557</v>
      </c>
      <c r="I26" s="11">
        <v>110657.40291813792</v>
      </c>
      <c r="J26" s="11">
        <v>110656.0404615202</v>
      </c>
      <c r="K26" s="11">
        <v>105155.66750099586</v>
      </c>
      <c r="L26" s="11">
        <v>75416.83131933727</v>
      </c>
      <c r="M26" s="11">
        <v>119628.55911874553</v>
      </c>
      <c r="N26" s="11">
        <v>69610.83285737378</v>
      </c>
      <c r="O26" s="11">
        <v>203091.1747223365</v>
      </c>
      <c r="P26" s="11" t="s">
        <v>114</v>
      </c>
      <c r="Q26" s="11" t="s">
        <v>114</v>
      </c>
      <c r="R26" s="11" t="s">
        <v>114</v>
      </c>
      <c r="S26" s="11"/>
      <c r="T26" s="17"/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1" t="s">
        <v>114</v>
      </c>
      <c r="I27" s="11" t="s">
        <v>114</v>
      </c>
      <c r="J27" s="11">
        <v>64976.78834080718</v>
      </c>
      <c r="K27" s="11">
        <v>70804.7488963447</v>
      </c>
      <c r="L27" s="11">
        <v>72984.85754884547</v>
      </c>
      <c r="M27" s="11">
        <v>63089.76135083659</v>
      </c>
      <c r="N27" s="11">
        <v>60554.47713598074</v>
      </c>
      <c r="O27" s="11">
        <v>68171.57631308713</v>
      </c>
      <c r="P27" s="11">
        <v>66840.685825232</v>
      </c>
      <c r="Q27" s="11">
        <v>66190.98090619361</v>
      </c>
      <c r="R27" s="11">
        <v>63369.31281038713</v>
      </c>
      <c r="S27" s="11">
        <v>75423.25202608168</v>
      </c>
      <c r="T27" s="17"/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1" t="s">
        <v>114</v>
      </c>
      <c r="I28" s="11" t="s">
        <v>114</v>
      </c>
      <c r="J28" s="11">
        <v>87341.12167414051</v>
      </c>
      <c r="K28" s="11">
        <v>104582.7488963447</v>
      </c>
      <c r="L28" s="11">
        <v>93587.92421551213</v>
      </c>
      <c r="M28" s="11">
        <v>97781.67702659889</v>
      </c>
      <c r="N28" s="11">
        <v>72529.6438026474</v>
      </c>
      <c r="O28" s="11">
        <v>128584.80053784684</v>
      </c>
      <c r="P28" s="11">
        <v>137383.81082523198</v>
      </c>
      <c r="Q28" s="11">
        <v>126931.13776893872</v>
      </c>
      <c r="R28" s="11">
        <v>126575.7942918686</v>
      </c>
      <c r="S28" s="11">
        <v>147083.34461867428</v>
      </c>
      <c r="T28" s="17"/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1"/>
      <c r="I29" s="11">
        <v>40818.01919720768</v>
      </c>
      <c r="J29" s="11">
        <v>57019.95050296934</v>
      </c>
      <c r="K29" s="11">
        <v>57276.623896344696</v>
      </c>
      <c r="L29" s="11">
        <v>64597.035326623256</v>
      </c>
      <c r="M29" s="11">
        <v>80156.97460379466</v>
      </c>
      <c r="N29" s="11">
        <v>59416.64380264741</v>
      </c>
      <c r="O29" s="11">
        <v>67745.39784942399</v>
      </c>
      <c r="P29" s="11">
        <v>72433.79070450764</v>
      </c>
      <c r="Q29" s="11">
        <v>75712.07219516822</v>
      </c>
      <c r="R29" s="11">
        <v>64004.189353597</v>
      </c>
      <c r="S29" s="11">
        <v>83345.78437771041</v>
      </c>
      <c r="T29" s="17"/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1"/>
      <c r="I30" s="11" t="s">
        <v>114</v>
      </c>
      <c r="J30" s="11" t="s">
        <v>114</v>
      </c>
      <c r="K30" s="11" t="s">
        <v>114</v>
      </c>
      <c r="L30" s="11" t="s">
        <v>114</v>
      </c>
      <c r="M30" s="11">
        <v>92983.48819727915</v>
      </c>
      <c r="N30" s="11">
        <v>60285.31046931408</v>
      </c>
      <c r="O30" s="11">
        <v>66405.34634065701</v>
      </c>
      <c r="P30" s="11">
        <v>75774.71235089078</v>
      </c>
      <c r="Q30" s="11">
        <v>79583.58492341025</v>
      </c>
      <c r="R30" s="11">
        <v>77806.2860951473</v>
      </c>
      <c r="S30" s="11">
        <v>88945.13033295999</v>
      </c>
      <c r="T30" s="17"/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1"/>
      <c r="I31" s="11" t="s">
        <v>114</v>
      </c>
      <c r="J31" s="11" t="s">
        <v>114</v>
      </c>
      <c r="K31" s="11" t="s">
        <v>114</v>
      </c>
      <c r="L31" s="11" t="s">
        <v>114</v>
      </c>
      <c r="M31" s="11" t="s">
        <v>114</v>
      </c>
      <c r="N31" s="11">
        <v>60191.310469314085</v>
      </c>
      <c r="O31" s="11">
        <v>97206.8197735097</v>
      </c>
      <c r="P31" s="11">
        <v>78764.41350380341</v>
      </c>
      <c r="Q31" s="11">
        <v>69847.73598322441</v>
      </c>
      <c r="R31" s="11">
        <v>75325.45478569577</v>
      </c>
      <c r="S31" s="11">
        <v>105924.07991279192</v>
      </c>
      <c r="T31" s="17"/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1"/>
      <c r="I32" s="11" t="s">
        <v>114</v>
      </c>
      <c r="J32" s="11" t="s">
        <v>114</v>
      </c>
      <c r="K32" s="11" t="s">
        <v>114</v>
      </c>
      <c r="L32" s="11" t="s">
        <v>114</v>
      </c>
      <c r="M32" s="11" t="s">
        <v>114</v>
      </c>
      <c r="N32" s="11" t="s">
        <v>114</v>
      </c>
      <c r="O32" s="11" t="s">
        <v>114</v>
      </c>
      <c r="P32" s="11" t="s">
        <v>114</v>
      </c>
      <c r="Q32" s="11">
        <v>75759.63776893872</v>
      </c>
      <c r="R32" s="11">
        <v>83936.93714901146</v>
      </c>
      <c r="S32" s="11">
        <v>75445.21961867427</v>
      </c>
      <c r="T32" s="17"/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1">
        <v>87532.6817227232</v>
      </c>
      <c r="I33" s="11">
        <v>84066.08218933367</v>
      </c>
      <c r="J33" s="11">
        <v>87931.21248756992</v>
      </c>
      <c r="K33" s="11">
        <v>78649.31227662638</v>
      </c>
      <c r="L33" s="11">
        <v>87837.97684709108</v>
      </c>
      <c r="M33" s="11">
        <v>98820.75870987432</v>
      </c>
      <c r="N33" s="11">
        <v>99270.97418612825</v>
      </c>
      <c r="O33" s="11">
        <v>96856.21145036722</v>
      </c>
      <c r="P33" s="11">
        <v>104505.7518190208</v>
      </c>
      <c r="Q33" s="11">
        <v>97409.76276893872</v>
      </c>
      <c r="R33" s="11">
        <v>103013.0442918686</v>
      </c>
      <c r="S33" s="11">
        <v>106896.28906311872</v>
      </c>
      <c r="T33" s="17"/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1"/>
      <c r="I34" s="11">
        <v>137700.01919720767</v>
      </c>
      <c r="J34" s="11">
        <v>123451.78424250161</v>
      </c>
      <c r="K34" s="11">
        <v>103026.91962805203</v>
      </c>
      <c r="L34" s="11">
        <v>112561.5908821788</v>
      </c>
      <c r="M34" s="11" t="s">
        <v>114</v>
      </c>
      <c r="N34" s="11" t="s">
        <v>114</v>
      </c>
      <c r="O34" s="11" t="s">
        <v>114</v>
      </c>
      <c r="P34" s="11" t="s">
        <v>114</v>
      </c>
      <c r="Q34" s="11" t="s">
        <v>114</v>
      </c>
      <c r="R34" s="11" t="s">
        <v>114</v>
      </c>
      <c r="S34" s="11"/>
      <c r="T34" s="17"/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1">
        <v>84347.1809324413</v>
      </c>
      <c r="I35" s="11">
        <v>91431.3444984125</v>
      </c>
      <c r="J35" s="11">
        <v>96821.13467701265</v>
      </c>
      <c r="K35" s="11">
        <v>88646.51998068205</v>
      </c>
      <c r="L35" s="11">
        <v>88993.24550065269</v>
      </c>
      <c r="M35" s="11">
        <v>96162.69669765436</v>
      </c>
      <c r="N35" s="11">
        <v>83682.17793919359</v>
      </c>
      <c r="O35" s="11">
        <v>83419.0769713333</v>
      </c>
      <c r="P35" s="11">
        <v>82685.79688794975</v>
      </c>
      <c r="Q35" s="11">
        <v>74214.13776893872</v>
      </c>
      <c r="R35" s="11">
        <v>74366.5442918686</v>
      </c>
      <c r="S35" s="11">
        <v>85130.574348404</v>
      </c>
      <c r="T35" s="17"/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1">
        <v>85816.22235933224</v>
      </c>
      <c r="I36" s="11">
        <v>83276.63891551754</v>
      </c>
      <c r="J36" s="11">
        <v>77000.41743922477</v>
      </c>
      <c r="K36" s="11">
        <v>84459.5488963447</v>
      </c>
      <c r="L36" s="11">
        <v>84447.25754884546</v>
      </c>
      <c r="M36" s="11" t="s">
        <v>114</v>
      </c>
      <c r="N36" s="11" t="s">
        <v>114</v>
      </c>
      <c r="O36" s="11" t="s">
        <v>114</v>
      </c>
      <c r="P36" s="11">
        <v>89276.38225380341</v>
      </c>
      <c r="Q36" s="11">
        <v>88701.13776893872</v>
      </c>
      <c r="R36" s="11">
        <v>89736.7942918686</v>
      </c>
      <c r="S36" s="11"/>
      <c r="T36" s="17"/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1"/>
      <c r="I37" s="11">
        <v>80992.93399541396</v>
      </c>
      <c r="J37" s="11">
        <v>77721.72722105954</v>
      </c>
      <c r="K37" s="11">
        <v>76159.43195645398</v>
      </c>
      <c r="L37" s="11">
        <v>78433.14279474711</v>
      </c>
      <c r="M37" s="11">
        <v>81998.01226964394</v>
      </c>
      <c r="N37" s="11">
        <v>74653.1326915363</v>
      </c>
      <c r="O37" s="11">
        <v>76035.02149001429</v>
      </c>
      <c r="P37" s="11">
        <v>78690.60447602563</v>
      </c>
      <c r="Q37" s="11">
        <v>71289.50140530235</v>
      </c>
      <c r="R37" s="11">
        <v>71620.12762520193</v>
      </c>
      <c r="S37" s="11">
        <v>81855.17795200761</v>
      </c>
      <c r="T37" s="17"/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1"/>
      <c r="I38" s="11">
        <v>131047.01919720767</v>
      </c>
      <c r="J38" s="11">
        <v>75872.5031697045</v>
      </c>
      <c r="K38" s="11">
        <v>77113.97703322682</v>
      </c>
      <c r="L38" s="11">
        <v>77356.99525376351</v>
      </c>
      <c r="M38" s="11">
        <v>82473.42022985668</v>
      </c>
      <c r="N38" s="11" t="s">
        <v>114</v>
      </c>
      <c r="O38" s="11" t="s">
        <v>114</v>
      </c>
      <c r="P38" s="11" t="s">
        <v>114</v>
      </c>
      <c r="Q38" s="11" t="s">
        <v>114</v>
      </c>
      <c r="R38" s="11" t="s">
        <v>114</v>
      </c>
      <c r="S38" s="11"/>
      <c r="T38" s="17"/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1">
        <v>70246.79936978202</v>
      </c>
      <c r="I39" s="11">
        <v>65263.01919720768</v>
      </c>
      <c r="J39" s="11">
        <v>65232.12167414051</v>
      </c>
      <c r="K39" s="11">
        <v>70604.7488963447</v>
      </c>
      <c r="L39" s="11">
        <v>70105.25754884547</v>
      </c>
      <c r="M39" s="11">
        <v>77689.94741682564</v>
      </c>
      <c r="N39" s="11">
        <v>64055.97713598074</v>
      </c>
      <c r="O39" s="11">
        <v>67980.76874231876</v>
      </c>
      <c r="P39" s="11">
        <v>68322.38225380341</v>
      </c>
      <c r="Q39" s="11">
        <v>68962.80443560537</v>
      </c>
      <c r="R39" s="11">
        <v>71068.37493702989</v>
      </c>
      <c r="S39" s="11">
        <v>80032.13494125492</v>
      </c>
      <c r="T39" s="17"/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1">
        <v>69763.52517623364</v>
      </c>
      <c r="I40" s="11">
        <v>70501.01919720767</v>
      </c>
      <c r="J40" s="11">
        <v>70021.78834080718</v>
      </c>
      <c r="K40" s="11">
        <v>75565.2488963447</v>
      </c>
      <c r="L40" s="11">
        <v>76005.75754884547</v>
      </c>
      <c r="M40" s="11">
        <v>81957.68415438937</v>
      </c>
      <c r="N40" s="11">
        <v>69059.81046931408</v>
      </c>
      <c r="O40" s="11">
        <v>69944.03358900384</v>
      </c>
      <c r="P40" s="11">
        <v>73198.88225380341</v>
      </c>
      <c r="Q40" s="11">
        <v>73372.13776893872</v>
      </c>
      <c r="R40" s="11">
        <v>72537.2942918686</v>
      </c>
      <c r="S40" s="11">
        <v>82366.84461867427</v>
      </c>
      <c r="T40" s="17"/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1">
        <v>71443.1918429003</v>
      </c>
      <c r="I41" s="11" t="s">
        <v>114</v>
      </c>
      <c r="J41" s="11" t="s">
        <v>114</v>
      </c>
      <c r="K41" s="11" t="s">
        <v>114</v>
      </c>
      <c r="L41" s="11" t="s">
        <v>114</v>
      </c>
      <c r="M41" s="11" t="s">
        <v>114</v>
      </c>
      <c r="N41" s="11" t="s">
        <v>114</v>
      </c>
      <c r="O41" s="11" t="s">
        <v>114</v>
      </c>
      <c r="P41" s="11" t="s">
        <v>114</v>
      </c>
      <c r="Q41" s="11" t="s">
        <v>114</v>
      </c>
      <c r="R41" s="11" t="s">
        <v>114</v>
      </c>
      <c r="S41" s="11"/>
      <c r="T41" s="17"/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1">
        <v>96744.55850956698</v>
      </c>
      <c r="I42" s="11">
        <v>110695.57475276323</v>
      </c>
      <c r="J42" s="11">
        <v>90709.61858241273</v>
      </c>
      <c r="K42" s="11">
        <v>93711.04301399176</v>
      </c>
      <c r="L42" s="11">
        <v>113562.5908821788</v>
      </c>
      <c r="M42" s="11">
        <v>120060.20890911415</v>
      </c>
      <c r="N42" s="11">
        <v>92006.09618359979</v>
      </c>
      <c r="O42" s="11">
        <v>92605.73001232238</v>
      </c>
      <c r="P42" s="11">
        <v>86545.47316289431</v>
      </c>
      <c r="Q42" s="11">
        <v>82787.28062608156</v>
      </c>
      <c r="R42" s="11">
        <v>77963.32117358904</v>
      </c>
      <c r="S42" s="11">
        <v>86167.37927213962</v>
      </c>
      <c r="T42" s="17"/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1">
        <v>77423.42517623364</v>
      </c>
      <c r="I43" s="11">
        <v>83374.21919720768</v>
      </c>
      <c r="J43" s="11">
        <v>83596.32856034153</v>
      </c>
      <c r="K43" s="11">
        <v>71130.17746777328</v>
      </c>
      <c r="L43" s="11">
        <v>87992.54326313119</v>
      </c>
      <c r="M43" s="11">
        <v>90531.3954075178</v>
      </c>
      <c r="N43" s="11">
        <v>51071.31046931408</v>
      </c>
      <c r="O43" s="11">
        <v>57886.761721306124</v>
      </c>
      <c r="P43" s="11">
        <v>66090.8822538034</v>
      </c>
      <c r="Q43" s="11">
        <v>65562.6377689387</v>
      </c>
      <c r="R43" s="11">
        <v>69019.60381567813</v>
      </c>
      <c r="S43" s="11">
        <v>96926.65107028716</v>
      </c>
      <c r="T43" s="17"/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1">
        <v>88460.52517623364</v>
      </c>
      <c r="I44" s="11">
        <v>71259.61919720768</v>
      </c>
      <c r="J44" s="11">
        <v>85668.38834080717</v>
      </c>
      <c r="K44" s="11">
        <v>81665.34889634469</v>
      </c>
      <c r="L44" s="11">
        <v>98467.50754884547</v>
      </c>
      <c r="M44" s="11">
        <v>108186.72460379465</v>
      </c>
      <c r="N44" s="11">
        <v>84661.6438026474</v>
      </c>
      <c r="O44" s="11">
        <v>96905.37806161366</v>
      </c>
      <c r="P44" s="11">
        <v>88928.04892047007</v>
      </c>
      <c r="Q44" s="11">
        <v>88384.13776893872</v>
      </c>
      <c r="R44" s="11" t="s">
        <v>114</v>
      </c>
      <c r="S44" s="11">
        <v>84624.84461867427</v>
      </c>
      <c r="T44" s="17"/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1" t="s">
        <v>114</v>
      </c>
      <c r="I45" s="11" t="s">
        <v>114</v>
      </c>
      <c r="J45" s="11" t="s">
        <v>114</v>
      </c>
      <c r="K45" s="11" t="s">
        <v>114</v>
      </c>
      <c r="L45" s="11" t="s">
        <v>114</v>
      </c>
      <c r="M45" s="11" t="s">
        <v>114</v>
      </c>
      <c r="N45" s="11" t="s">
        <v>114</v>
      </c>
      <c r="O45" s="11" t="s">
        <v>114</v>
      </c>
      <c r="P45" s="11" t="s">
        <v>114</v>
      </c>
      <c r="Q45" s="11" t="s">
        <v>114</v>
      </c>
      <c r="R45" s="11" t="s">
        <v>114</v>
      </c>
      <c r="S45" s="11"/>
      <c r="T45" s="17"/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1"/>
      <c r="I46" s="11" t="s">
        <v>114</v>
      </c>
      <c r="J46" s="11" t="s">
        <v>114</v>
      </c>
      <c r="K46" s="11" t="s">
        <v>114</v>
      </c>
      <c r="L46" s="11" t="s">
        <v>114</v>
      </c>
      <c r="M46" s="11" t="s">
        <v>114</v>
      </c>
      <c r="N46" s="11" t="s">
        <v>114</v>
      </c>
      <c r="O46" s="11">
        <v>50658.11043476691</v>
      </c>
      <c r="P46" s="11">
        <v>55858.88225380341</v>
      </c>
      <c r="Q46" s="11">
        <v>74838.6315960992</v>
      </c>
      <c r="R46" s="11">
        <v>83039.43065550497</v>
      </c>
      <c r="S46" s="11">
        <v>96245.4980840208</v>
      </c>
      <c r="T46" s="17"/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1"/>
      <c r="I47" s="11" t="s">
        <v>114</v>
      </c>
      <c r="J47" s="11" t="s">
        <v>114</v>
      </c>
      <c r="K47" s="11" t="s">
        <v>114</v>
      </c>
      <c r="L47" s="11" t="s">
        <v>114</v>
      </c>
      <c r="M47" s="11" t="s">
        <v>114</v>
      </c>
      <c r="N47" s="11" t="s">
        <v>114</v>
      </c>
      <c r="O47" s="11" t="s">
        <v>114</v>
      </c>
      <c r="P47" s="11">
        <v>31820.715587136743</v>
      </c>
      <c r="Q47" s="11">
        <v>66532.84365129165</v>
      </c>
      <c r="R47" s="11">
        <v>54210.38445580303</v>
      </c>
      <c r="S47" s="11">
        <v>62864.084055293984</v>
      </c>
      <c r="T47" s="17"/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1"/>
      <c r="I48" s="11" t="s">
        <v>114</v>
      </c>
      <c r="J48" s="11" t="s">
        <v>114</v>
      </c>
      <c r="K48" s="11" t="s">
        <v>114</v>
      </c>
      <c r="L48" s="11" t="s">
        <v>114</v>
      </c>
      <c r="M48" s="11" t="s">
        <v>114</v>
      </c>
      <c r="N48" s="11" t="s">
        <v>114</v>
      </c>
      <c r="O48" s="11" t="s">
        <v>114</v>
      </c>
      <c r="P48" s="11" t="s">
        <v>114</v>
      </c>
      <c r="Q48" s="11" t="s">
        <v>114</v>
      </c>
      <c r="R48" s="11" t="s">
        <v>114</v>
      </c>
      <c r="S48" s="11">
        <v>67525.84461867427</v>
      </c>
      <c r="T48" s="17"/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1">
        <v>86888.6256851395</v>
      </c>
      <c r="I49" s="11">
        <v>86801.31146773908</v>
      </c>
      <c r="J49" s="11">
        <v>86870.13331037917</v>
      </c>
      <c r="K49" s="11">
        <v>89029.87359072122</v>
      </c>
      <c r="L49" s="11">
        <v>91271.54105400012</v>
      </c>
      <c r="M49" s="11">
        <v>103719.71232968332</v>
      </c>
      <c r="N49" s="11">
        <v>89297.25491375853</v>
      </c>
      <c r="O49" s="11">
        <v>87180.72123669332</v>
      </c>
      <c r="P49" s="11">
        <v>87446.80641110678</v>
      </c>
      <c r="Q49" s="11">
        <v>89840.15175495269</v>
      </c>
      <c r="R49" s="11">
        <v>87978.39569047</v>
      </c>
      <c r="S49" s="11">
        <v>98753.41189140154</v>
      </c>
      <c r="T49" s="17"/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1">
        <v>88666.40675518101</v>
      </c>
      <c r="I50" s="11">
        <v>90043.41919720768</v>
      </c>
      <c r="J50" s="11">
        <v>97545.58305360728</v>
      </c>
      <c r="K50" s="11">
        <v>89049.2094226605</v>
      </c>
      <c r="L50" s="11">
        <v>93665.8350136342</v>
      </c>
      <c r="M50" s="11">
        <v>99646.66944772791</v>
      </c>
      <c r="N50" s="11">
        <v>88141.14380264742</v>
      </c>
      <c r="O50" s="11">
        <v>87339.13021061313</v>
      </c>
      <c r="P50" s="11">
        <v>87025.81291073772</v>
      </c>
      <c r="Q50" s="11">
        <v>86927.91879083653</v>
      </c>
      <c r="R50" s="11">
        <v>83126.97076245684</v>
      </c>
      <c r="S50" s="11">
        <v>98327.7907264587</v>
      </c>
      <c r="T50" s="17"/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1">
        <v>87286.15017623364</v>
      </c>
      <c r="I51" s="11">
        <v>85066.14419720767</v>
      </c>
      <c r="J51" s="11">
        <v>100459.94325890827</v>
      </c>
      <c r="K51" s="11">
        <v>102671.9988963447</v>
      </c>
      <c r="L51" s="11">
        <v>110168.25754884547</v>
      </c>
      <c r="M51" s="11">
        <v>110312.65945369995</v>
      </c>
      <c r="N51" s="11">
        <v>60514.31046931408</v>
      </c>
      <c r="O51" s="11">
        <v>59279.99825174825</v>
      </c>
      <c r="P51" s="11">
        <v>64785.38225380341</v>
      </c>
      <c r="Q51" s="11">
        <v>64257.13776893871</v>
      </c>
      <c r="R51" s="11">
        <v>63428.7942918686</v>
      </c>
      <c r="S51" s="11" t="s">
        <v>114</v>
      </c>
      <c r="T51" s="17"/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1">
        <v>109653.13360996859</v>
      </c>
      <c r="I52" s="11">
        <v>113402.85790688511</v>
      </c>
      <c r="J52" s="11">
        <v>121754.76023162398</v>
      </c>
      <c r="K52" s="11">
        <v>124394.09715505116</v>
      </c>
      <c r="L52" s="11">
        <v>124792.94596646375</v>
      </c>
      <c r="M52" s="11">
        <v>134498.84727484273</v>
      </c>
      <c r="N52" s="11">
        <v>108440.76501476862</v>
      </c>
      <c r="O52" s="11">
        <v>113038.71240329924</v>
      </c>
      <c r="P52" s="11">
        <v>118115.2850315812</v>
      </c>
      <c r="Q52" s="11">
        <v>117545.45283743186</v>
      </c>
      <c r="R52" s="11">
        <v>120999.30944338375</v>
      </c>
      <c r="S52" s="11">
        <v>105295.1779520076</v>
      </c>
      <c r="T52" s="17"/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1">
        <v>84854.88231909079</v>
      </c>
      <c r="I53" s="11">
        <v>85761.73348292196</v>
      </c>
      <c r="J53" s="11">
        <v>76263.50262652147</v>
      </c>
      <c r="K53" s="11">
        <v>83317.17746777328</v>
      </c>
      <c r="L53" s="11">
        <v>88767.5908821788</v>
      </c>
      <c r="M53" s="11">
        <v>105978.00179076365</v>
      </c>
      <c r="N53" s="11">
        <v>86080.56046931408</v>
      </c>
      <c r="O53" s="11">
        <v>89109.52905188277</v>
      </c>
      <c r="P53" s="11">
        <v>90384.63225380341</v>
      </c>
      <c r="Q53" s="11">
        <v>90121.38776893872</v>
      </c>
      <c r="R53" s="11">
        <v>89258.0442918686</v>
      </c>
      <c r="S53" s="11">
        <v>101218.34461867427</v>
      </c>
      <c r="T53" s="17"/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1">
        <v>118888.02517623364</v>
      </c>
      <c r="I54" s="11">
        <v>120385.01919720767</v>
      </c>
      <c r="J54" s="11">
        <v>123199.17563605992</v>
      </c>
      <c r="K54" s="11">
        <v>102841.7488963447</v>
      </c>
      <c r="L54" s="11">
        <v>85076.25754884547</v>
      </c>
      <c r="M54" s="11">
        <v>94652.96101031014</v>
      </c>
      <c r="N54" s="11">
        <v>78156.31046931408</v>
      </c>
      <c r="O54" s="11">
        <v>80679.45288053746</v>
      </c>
      <c r="P54" s="11">
        <v>91519.38225380341</v>
      </c>
      <c r="Q54" s="11">
        <v>81899.13776893872</v>
      </c>
      <c r="R54" s="11">
        <v>46622.7942918686</v>
      </c>
      <c r="S54" s="11">
        <v>122551.84461867427</v>
      </c>
      <c r="T54" s="17"/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1">
        <v>64422.32820653667</v>
      </c>
      <c r="I55" s="11">
        <v>75982.37213838415</v>
      </c>
      <c r="J55" s="11">
        <v>73875.88516462037</v>
      </c>
      <c r="K55" s="11">
        <v>69643.19334078913</v>
      </c>
      <c r="L55" s="11">
        <v>79948.75754884547</v>
      </c>
      <c r="M55" s="11">
        <v>81811.93211259125</v>
      </c>
      <c r="N55" s="11">
        <v>75106.37107537469</v>
      </c>
      <c r="O55" s="11">
        <v>80124.6931375484</v>
      </c>
      <c r="P55" s="11">
        <v>78217.06310486725</v>
      </c>
      <c r="Q55" s="11">
        <v>75785.69502084711</v>
      </c>
      <c r="R55" s="11">
        <v>701435.7942918685</v>
      </c>
      <c r="S55" s="11" t="s">
        <v>114</v>
      </c>
      <c r="T55" s="17"/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1">
        <v>63138.0</v>
      </c>
      <c r="I56" s="11">
        <v>62979.0</v>
      </c>
      <c r="J56" s="11">
        <v>60101.0</v>
      </c>
      <c r="K56" s="11">
        <v>69717.0</v>
      </c>
      <c r="L56" s="11">
        <v>71287.0</v>
      </c>
      <c r="M56" s="11" t="s">
        <v>114</v>
      </c>
      <c r="N56" s="11" t="s">
        <v>114</v>
      </c>
      <c r="O56" s="11" t="s">
        <v>114</v>
      </c>
      <c r="P56" s="11" t="s">
        <v>114</v>
      </c>
      <c r="Q56" s="11"/>
      <c r="R56" s="11" t="s">
        <v>114</v>
      </c>
      <c r="S56" s="11" t="s">
        <v>114</v>
      </c>
      <c r="T56" s="17"/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1">
        <v>52040.47244094488</v>
      </c>
      <c r="I57" s="11">
        <v>13558.5</v>
      </c>
      <c r="J57" s="11">
        <v>2341.75</v>
      </c>
      <c r="K57" s="11">
        <v>23177.28971962617</v>
      </c>
      <c r="L57" s="11">
        <v>64026.75</v>
      </c>
      <c r="M57" s="11">
        <v>4463.636363636364</v>
      </c>
      <c r="N57" s="11">
        <v>174792.75</v>
      </c>
      <c r="O57" s="11">
        <v>106936.75213675214</v>
      </c>
      <c r="P57" s="11">
        <v>149894.95495495497</v>
      </c>
      <c r="Q57" s="11">
        <v>229865.95959595958</v>
      </c>
      <c r="R57" s="11">
        <v>65976.07594936709</v>
      </c>
      <c r="S57" s="11">
        <v>24717.578125</v>
      </c>
      <c r="T57" s="17"/>
    </row>
    <row r="58" ht="14.25" customHeight="1"/>
    <row r="59" ht="14.25" customHeight="1"/>
    <row r="60" ht="14.25" customHeight="1"/>
    <row r="61" ht="14.25" customHeight="1"/>
    <row r="62" ht="14.25" customHeight="1">
      <c r="G62" s="7" t="s">
        <v>122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8">
        <v>0.0</v>
      </c>
      <c r="I2" s="8">
        <v>0.0</v>
      </c>
      <c r="J2" s="8">
        <v>0.0</v>
      </c>
      <c r="K2" s="8">
        <v>0.0</v>
      </c>
      <c r="L2" s="8">
        <v>0.0</v>
      </c>
      <c r="M2" s="8">
        <v>0.0</v>
      </c>
      <c r="N2" s="8">
        <v>0.0</v>
      </c>
      <c r="O2" s="8">
        <v>0.0</v>
      </c>
      <c r="P2" s="8">
        <v>0.0</v>
      </c>
      <c r="Q2" s="8">
        <v>0.0</v>
      </c>
      <c r="R2" s="8">
        <v>0.0</v>
      </c>
      <c r="S2" s="12">
        <f t="shared" ref="S2:S57" si="2">SUM(G2:R2)</f>
        <v>0</v>
      </c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12">
        <f t="shared" si="2"/>
        <v>0</v>
      </c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8">
        <v>0.0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12">
        <f t="shared" si="2"/>
        <v>0</v>
      </c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12">
        <f t="shared" si="2"/>
        <v>0</v>
      </c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0.0</v>
      </c>
      <c r="R6" s="8">
        <v>0.0</v>
      </c>
      <c r="S6" s="12">
        <f t="shared" si="2"/>
        <v>0</v>
      </c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0.0</v>
      </c>
      <c r="S7" s="12">
        <f t="shared" si="2"/>
        <v>0</v>
      </c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12">
        <f t="shared" si="2"/>
        <v>0</v>
      </c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12">
        <f t="shared" si="2"/>
        <v>0</v>
      </c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12">
        <f t="shared" si="2"/>
        <v>0</v>
      </c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12">
        <f t="shared" si="2"/>
        <v>0</v>
      </c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>
        <v>0.0</v>
      </c>
      <c r="Q12" s="8">
        <v>0.0</v>
      </c>
      <c r="R12" s="8">
        <v>0.0</v>
      </c>
      <c r="S12" s="12">
        <f t="shared" si="2"/>
        <v>0</v>
      </c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12">
        <f t="shared" si="2"/>
        <v>0</v>
      </c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12">
        <f t="shared" si="2"/>
        <v>0</v>
      </c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12">
        <f t="shared" si="2"/>
        <v>0</v>
      </c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12">
        <f t="shared" si="2"/>
        <v>0</v>
      </c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>
        <v>0.0</v>
      </c>
      <c r="Q17" s="8">
        <v>0.0</v>
      </c>
      <c r="R17" s="8">
        <v>0.0</v>
      </c>
      <c r="S17" s="12">
        <f t="shared" si="2"/>
        <v>0</v>
      </c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0.0</v>
      </c>
      <c r="R18" s="8">
        <v>0.0</v>
      </c>
      <c r="S18" s="12">
        <f t="shared" si="2"/>
        <v>0</v>
      </c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12">
        <f t="shared" si="2"/>
        <v>0</v>
      </c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0.0</v>
      </c>
      <c r="S20" s="12">
        <f t="shared" si="2"/>
        <v>0</v>
      </c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12">
        <f t="shared" si="2"/>
        <v>0</v>
      </c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>
        <v>0.0</v>
      </c>
      <c r="Q22" s="8">
        <v>0.0</v>
      </c>
      <c r="R22" s="8">
        <v>0.0</v>
      </c>
      <c r="S22" s="12">
        <f t="shared" si="2"/>
        <v>0</v>
      </c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12">
        <f t="shared" si="2"/>
        <v>0</v>
      </c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12">
        <f t="shared" si="2"/>
        <v>0</v>
      </c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0.0</v>
      </c>
      <c r="S25" s="12">
        <f t="shared" si="2"/>
        <v>0</v>
      </c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12">
        <f t="shared" si="2"/>
        <v>0</v>
      </c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  <c r="R27" s="8">
        <v>0.0</v>
      </c>
      <c r="S27" s="12">
        <f t="shared" si="2"/>
        <v>0</v>
      </c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  <c r="R28" s="8">
        <v>0.0</v>
      </c>
      <c r="S28" s="12">
        <f t="shared" si="2"/>
        <v>0</v>
      </c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12">
        <f t="shared" si="2"/>
        <v>0</v>
      </c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12">
        <f t="shared" si="2"/>
        <v>0</v>
      </c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12">
        <f t="shared" si="2"/>
        <v>0</v>
      </c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  <c r="R32" s="8">
        <v>0.0</v>
      </c>
      <c r="S32" s="12">
        <f t="shared" si="2"/>
        <v>0</v>
      </c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  <c r="S33" s="12">
        <f t="shared" si="2"/>
        <v>0</v>
      </c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12">
        <f t="shared" si="2"/>
        <v>0</v>
      </c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  <c r="R35" s="8">
        <v>0.0</v>
      </c>
      <c r="S35" s="12">
        <f t="shared" si="2"/>
        <v>0</v>
      </c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8">
        <v>0.0</v>
      </c>
      <c r="I36" s="8">
        <v>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  <c r="R36" s="8">
        <v>0.0</v>
      </c>
      <c r="S36" s="12">
        <f t="shared" si="2"/>
        <v>0</v>
      </c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8">
        <v>0.0</v>
      </c>
      <c r="I37" s="8">
        <v>0.0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12">
        <f t="shared" si="2"/>
        <v>0</v>
      </c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12">
        <f t="shared" si="2"/>
        <v>0</v>
      </c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>
        <v>0.0</v>
      </c>
      <c r="Q39" s="8">
        <v>0.0</v>
      </c>
      <c r="R39" s="8">
        <v>0.0</v>
      </c>
      <c r="S39" s="12">
        <f t="shared" si="2"/>
        <v>0</v>
      </c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>
        <v>0.0</v>
      </c>
      <c r="Q40" s="8">
        <v>0.0</v>
      </c>
      <c r="R40" s="8">
        <v>0.0</v>
      </c>
      <c r="S40" s="12">
        <f t="shared" si="2"/>
        <v>0</v>
      </c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>
        <v>0.0</v>
      </c>
      <c r="Q41" s="8">
        <v>0.0</v>
      </c>
      <c r="R41" s="8">
        <v>0.0</v>
      </c>
      <c r="S41" s="12">
        <f t="shared" si="2"/>
        <v>0</v>
      </c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8">
        <v>0.0</v>
      </c>
      <c r="Q42" s="8">
        <v>0.0</v>
      </c>
      <c r="R42" s="8">
        <v>0.0</v>
      </c>
      <c r="S42" s="12">
        <f t="shared" si="2"/>
        <v>0</v>
      </c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>
        <v>0.0</v>
      </c>
      <c r="Q43" s="8">
        <v>0.0</v>
      </c>
      <c r="R43" s="8">
        <v>0.0</v>
      </c>
      <c r="S43" s="12">
        <f t="shared" si="2"/>
        <v>0</v>
      </c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8">
        <v>0.0</v>
      </c>
      <c r="I44" s="8">
        <v>0.0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>
        <v>0.0</v>
      </c>
      <c r="Q44" s="8">
        <v>0.0</v>
      </c>
      <c r="R44" s="8">
        <v>0.0</v>
      </c>
      <c r="S44" s="12">
        <f t="shared" si="2"/>
        <v>0</v>
      </c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>
        <v>0.0</v>
      </c>
      <c r="Q45" s="8">
        <v>0.0</v>
      </c>
      <c r="R45" s="8">
        <v>0.0</v>
      </c>
      <c r="S45" s="12">
        <f t="shared" si="2"/>
        <v>0</v>
      </c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8">
        <v>0.0</v>
      </c>
      <c r="I46" s="8">
        <v>0.0</v>
      </c>
      <c r="J46" s="8">
        <v>0.0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>
        <v>0.0</v>
      </c>
      <c r="Q46" s="8">
        <v>0.0</v>
      </c>
      <c r="R46" s="8">
        <v>0.0</v>
      </c>
      <c r="S46" s="12">
        <f t="shared" si="2"/>
        <v>0</v>
      </c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>
        <v>0.0</v>
      </c>
      <c r="Q47" s="8">
        <v>0.0</v>
      </c>
      <c r="R47" s="8">
        <v>0.0</v>
      </c>
      <c r="S47" s="12">
        <f t="shared" si="2"/>
        <v>0</v>
      </c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>
        <v>0.0</v>
      </c>
      <c r="Q48" s="8">
        <v>0.0</v>
      </c>
      <c r="R48" s="8">
        <v>0.0</v>
      </c>
      <c r="S48" s="12">
        <f t="shared" si="2"/>
        <v>0</v>
      </c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>
        <v>0.0</v>
      </c>
      <c r="Q49" s="8">
        <v>0.0</v>
      </c>
      <c r="R49" s="8">
        <v>0.0</v>
      </c>
      <c r="S49" s="12">
        <f t="shared" si="2"/>
        <v>0</v>
      </c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8">
        <v>0.0</v>
      </c>
      <c r="Q50" s="8">
        <v>0.0</v>
      </c>
      <c r="R50" s="8">
        <v>0.0</v>
      </c>
      <c r="S50" s="12">
        <f t="shared" si="2"/>
        <v>0</v>
      </c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8">
        <v>0.0</v>
      </c>
      <c r="N51" s="8">
        <v>0.0</v>
      </c>
      <c r="O51" s="8">
        <v>0.0</v>
      </c>
      <c r="P51" s="8">
        <v>0.0</v>
      </c>
      <c r="Q51" s="8">
        <v>0.0</v>
      </c>
      <c r="R51" s="8">
        <v>0.0</v>
      </c>
      <c r="S51" s="12">
        <f t="shared" si="2"/>
        <v>0</v>
      </c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0.0</v>
      </c>
      <c r="Q52" s="8">
        <v>0.0</v>
      </c>
      <c r="R52" s="8">
        <v>0.0</v>
      </c>
      <c r="S52" s="12">
        <f t="shared" si="2"/>
        <v>0</v>
      </c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>
        <v>0.0</v>
      </c>
      <c r="Q53" s="8">
        <v>0.0</v>
      </c>
      <c r="R53" s="8">
        <v>0.0</v>
      </c>
      <c r="S53" s="12">
        <f t="shared" si="2"/>
        <v>0</v>
      </c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8">
        <v>0.0</v>
      </c>
      <c r="I54" s="8">
        <v>0.0</v>
      </c>
      <c r="J54" s="8">
        <v>0.0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>
        <v>0.0</v>
      </c>
      <c r="Q54" s="8">
        <v>0.0</v>
      </c>
      <c r="R54" s="8">
        <v>0.0</v>
      </c>
      <c r="S54" s="12">
        <f t="shared" si="2"/>
        <v>0</v>
      </c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>
        <v>0.0</v>
      </c>
      <c r="Q55" s="8">
        <v>0.0</v>
      </c>
      <c r="R55" s="8">
        <v>0.0</v>
      </c>
      <c r="S55" s="12">
        <f t="shared" si="2"/>
        <v>0</v>
      </c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8">
        <v>0.0</v>
      </c>
      <c r="N56" s="8">
        <v>0.0</v>
      </c>
      <c r="O56" s="8">
        <v>0.0</v>
      </c>
      <c r="P56" s="8">
        <v>0.0</v>
      </c>
      <c r="Q56" s="8">
        <v>0.0</v>
      </c>
      <c r="R56" s="8">
        <v>0.0</v>
      </c>
      <c r="S56" s="12">
        <f t="shared" si="2"/>
        <v>0</v>
      </c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8">
        <v>0.0</v>
      </c>
      <c r="I57" s="8">
        <v>0.0</v>
      </c>
      <c r="J57" s="8">
        <v>0.0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>
        <v>0.0</v>
      </c>
      <c r="Q57" s="8">
        <v>0.0</v>
      </c>
      <c r="R57" s="8">
        <v>0.0</v>
      </c>
      <c r="S57" s="12">
        <f t="shared" si="2"/>
        <v>0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>
      <c r="G63" s="7" t="s">
        <v>123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A98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22.0"/>
    <col customWidth="1" min="3" max="3" width="19.13"/>
    <col customWidth="1" min="4" max="4" width="9.0"/>
    <col customWidth="1" min="5" max="5" width="10.75"/>
    <col customWidth="1" min="6" max="6" width="12.0"/>
    <col customWidth="1" min="7" max="7" width="13.25"/>
    <col customWidth="1" min="8" max="8" width="6.75"/>
    <col customWidth="1" min="9" max="9" width="7.25"/>
    <col customWidth="1" min="10" max="10" width="6.75"/>
    <col customWidth="1" min="11" max="11" width="6.13"/>
    <col customWidth="1" min="12" max="12" width="7.0"/>
    <col customWidth="1" min="13" max="13" width="6.88"/>
    <col customWidth="1" min="14" max="14" width="6.75"/>
    <col customWidth="1" min="15" max="15" width="7.13"/>
    <col customWidth="1" min="16" max="16" width="7.0"/>
    <col customWidth="1" min="17" max="17" width="6.75"/>
    <col customWidth="1" min="18" max="18" width="6.88"/>
    <col customWidth="1" min="19" max="19" width="7.13"/>
    <col customWidth="1" min="2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9">
        <v>122.1236</v>
      </c>
      <c r="I2" s="9">
        <v>46.11734</v>
      </c>
      <c r="J2" s="9">
        <v>148.20386</v>
      </c>
      <c r="K2" s="9">
        <v>29.0864</v>
      </c>
      <c r="L2" s="18">
        <v>46.71206</v>
      </c>
      <c r="M2" s="9">
        <v>10.05277</v>
      </c>
      <c r="N2" s="9">
        <v>6.28054</v>
      </c>
      <c r="O2" s="9">
        <v>59.02512</v>
      </c>
      <c r="P2" s="9">
        <v>69.96254</v>
      </c>
      <c r="Q2" s="9">
        <v>31.71898</v>
      </c>
      <c r="R2" s="9">
        <v>10.25124</v>
      </c>
      <c r="S2" s="9">
        <v>33.93208</v>
      </c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9">
        <v>1.77</v>
      </c>
      <c r="I3" s="9">
        <v>27.9475</v>
      </c>
      <c r="J3" s="9">
        <v>11.67447</v>
      </c>
      <c r="K3" s="9">
        <v>8.46857</v>
      </c>
      <c r="L3" s="18">
        <v>8.61435</v>
      </c>
      <c r="M3" s="9">
        <v>0.0</v>
      </c>
      <c r="N3" s="9">
        <v>10.13458</v>
      </c>
      <c r="O3" s="9">
        <v>22.37195</v>
      </c>
      <c r="P3" s="9">
        <v>21.73248</v>
      </c>
      <c r="Q3" s="9">
        <v>22.44402</v>
      </c>
      <c r="R3" s="9">
        <v>14.72104</v>
      </c>
      <c r="S3" s="9">
        <v>25.55509</v>
      </c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9">
        <v>19.43839</v>
      </c>
      <c r="I4" s="9">
        <v>12.87464</v>
      </c>
      <c r="J4" s="9">
        <v>21.26714</v>
      </c>
      <c r="K4" s="9">
        <v>17.00734</v>
      </c>
      <c r="L4" s="18">
        <v>10.79464</v>
      </c>
      <c r="M4" s="9">
        <v>23.76284</v>
      </c>
      <c r="N4" s="9">
        <v>17.5854</v>
      </c>
      <c r="O4" s="9">
        <v>21.9514</v>
      </c>
      <c r="P4" s="9">
        <v>23.9043</v>
      </c>
      <c r="Q4" s="9">
        <v>10.76854</v>
      </c>
      <c r="R4" s="9">
        <v>7.55894</v>
      </c>
      <c r="S4" s="9">
        <v>12.72359</v>
      </c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9">
        <v>0.0</v>
      </c>
      <c r="I5" s="9">
        <v>0.0</v>
      </c>
      <c r="J5" s="9">
        <v>1.8998</v>
      </c>
      <c r="K5" s="9">
        <v>3.2922</v>
      </c>
      <c r="L5" s="18">
        <v>1.8998</v>
      </c>
      <c r="M5" s="9">
        <v>4.425</v>
      </c>
      <c r="N5" s="9">
        <v>1.8998</v>
      </c>
      <c r="O5" s="9">
        <v>4.3778</v>
      </c>
      <c r="P5" s="9">
        <v>4.3778</v>
      </c>
      <c r="Q5" s="9">
        <v>4.5017</v>
      </c>
      <c r="R5" s="9">
        <v>7.8293</v>
      </c>
      <c r="S5" s="9">
        <v>7.8293</v>
      </c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9">
        <v>35.49084</v>
      </c>
      <c r="I6" s="9">
        <v>51.94358</v>
      </c>
      <c r="J6" s="9">
        <v>44.58322</v>
      </c>
      <c r="K6" s="9">
        <v>40.08617</v>
      </c>
      <c r="L6" s="18">
        <v>62.22416</v>
      </c>
      <c r="M6" s="9">
        <v>40.72157</v>
      </c>
      <c r="N6" s="9">
        <v>12.92083</v>
      </c>
      <c r="O6" s="9">
        <v>12.92083</v>
      </c>
      <c r="P6" s="9">
        <v>13.22034</v>
      </c>
      <c r="Q6" s="9">
        <v>13.22034</v>
      </c>
      <c r="R6" s="9">
        <v>21.62194</v>
      </c>
      <c r="S6" s="9">
        <v>10.725</v>
      </c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9">
        <v>5.43921</v>
      </c>
      <c r="I7" s="9">
        <v>5.43921</v>
      </c>
      <c r="J7" s="9">
        <v>8.23463</v>
      </c>
      <c r="K7" s="9">
        <v>8.23463</v>
      </c>
      <c r="L7" s="18">
        <v>9.19042</v>
      </c>
      <c r="M7" s="9">
        <v>9.19042</v>
      </c>
      <c r="N7" s="9">
        <v>9.19043</v>
      </c>
      <c r="O7" s="9">
        <v>9.67895</v>
      </c>
      <c r="P7" s="9">
        <v>9.67895</v>
      </c>
      <c r="Q7" s="9">
        <v>9.67895</v>
      </c>
      <c r="R7" s="9">
        <v>9.67895</v>
      </c>
      <c r="S7" s="9">
        <v>9.67895</v>
      </c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9">
        <v>28.2846</v>
      </c>
      <c r="I8" s="9">
        <v>22.72444</v>
      </c>
      <c r="J8" s="9">
        <v>22.72444</v>
      </c>
      <c r="K8" s="9">
        <v>5.63878</v>
      </c>
      <c r="L8" s="18">
        <v>5.63878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9">
        <v>0.0</v>
      </c>
      <c r="I9" s="9">
        <v>0.0</v>
      </c>
      <c r="J9" s="9">
        <v>14.44792</v>
      </c>
      <c r="K9" s="9">
        <v>19.15848</v>
      </c>
      <c r="L9" s="18">
        <v>0.0</v>
      </c>
      <c r="M9" s="9">
        <v>25.6398</v>
      </c>
      <c r="N9" s="9">
        <v>25.34662</v>
      </c>
      <c r="O9" s="9">
        <v>32.07796</v>
      </c>
      <c r="P9" s="9">
        <v>0.01233</v>
      </c>
      <c r="Q9" s="9">
        <v>47.53681</v>
      </c>
      <c r="R9" s="9">
        <v>46.77425</v>
      </c>
      <c r="S9" s="9">
        <v>20.53988</v>
      </c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9">
        <v>0.0</v>
      </c>
      <c r="I10" s="9">
        <v>0.0</v>
      </c>
      <c r="J10" s="9">
        <v>0.0</v>
      </c>
      <c r="K10" s="9">
        <v>0.0</v>
      </c>
      <c r="L10" s="18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0.708</v>
      </c>
      <c r="S10" s="9">
        <v>2.655</v>
      </c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9">
        <v>0.0</v>
      </c>
      <c r="I11" s="9">
        <v>0.0</v>
      </c>
      <c r="J11" s="9">
        <v>64.34473</v>
      </c>
      <c r="K11" s="9">
        <v>31.34411</v>
      </c>
      <c r="L11" s="18">
        <v>0.0</v>
      </c>
      <c r="M11" s="9">
        <v>22.51554</v>
      </c>
      <c r="N11" s="9">
        <v>19.67948</v>
      </c>
      <c r="O11" s="9">
        <v>2.773</v>
      </c>
      <c r="P11" s="9">
        <v>2.773</v>
      </c>
      <c r="Q11" s="9">
        <v>15.12907</v>
      </c>
      <c r="R11" s="9">
        <v>38.70513</v>
      </c>
      <c r="S11" s="9">
        <v>25.7776</v>
      </c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9">
        <v>31.63625</v>
      </c>
      <c r="I12" s="9">
        <v>23.52112</v>
      </c>
      <c r="J12" s="9">
        <v>39.74344</v>
      </c>
      <c r="K12" s="9">
        <v>37.45714</v>
      </c>
      <c r="L12" s="18">
        <v>28.14303</v>
      </c>
      <c r="M12" s="9">
        <v>9.83318</v>
      </c>
      <c r="N12" s="9">
        <v>8.89688</v>
      </c>
      <c r="O12" s="9">
        <v>58.43875</v>
      </c>
      <c r="P12" s="9">
        <v>61.34344</v>
      </c>
      <c r="Q12" s="9">
        <v>79.73386</v>
      </c>
      <c r="R12" s="9">
        <v>68.36684</v>
      </c>
      <c r="S12" s="9">
        <v>35.29805</v>
      </c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9">
        <v>0.0</v>
      </c>
      <c r="I13" s="9">
        <v>0.0</v>
      </c>
      <c r="J13" s="9">
        <v>0.0</v>
      </c>
      <c r="K13" s="9">
        <v>0.0</v>
      </c>
      <c r="L13" s="18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51.85477</v>
      </c>
      <c r="R13" s="9">
        <v>50.1899</v>
      </c>
      <c r="S13" s="9">
        <v>0.14206</v>
      </c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9">
        <v>0.0</v>
      </c>
      <c r="I14" s="9">
        <v>0.0</v>
      </c>
      <c r="J14" s="9">
        <v>0.0</v>
      </c>
      <c r="K14" s="9">
        <v>0.0</v>
      </c>
      <c r="L14" s="18">
        <v>0.0</v>
      </c>
      <c r="M14" s="9">
        <v>0.0</v>
      </c>
      <c r="N14" s="9">
        <v>0.0</v>
      </c>
      <c r="O14" s="9">
        <v>7.09062</v>
      </c>
      <c r="P14" s="9">
        <v>7.09062</v>
      </c>
      <c r="Q14" s="9">
        <v>0.0</v>
      </c>
      <c r="R14" s="9">
        <v>0.0</v>
      </c>
      <c r="S14" s="9">
        <v>0.0</v>
      </c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9">
        <v>0.0</v>
      </c>
      <c r="I15" s="9">
        <v>0.0</v>
      </c>
      <c r="J15" s="9">
        <v>0.0</v>
      </c>
      <c r="K15" s="9">
        <v>0.0</v>
      </c>
      <c r="L15" s="18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1.18</v>
      </c>
      <c r="R15" s="9">
        <v>4.6964</v>
      </c>
      <c r="S15" s="9">
        <v>4.6964</v>
      </c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9">
        <v>0.0</v>
      </c>
      <c r="I16" s="9">
        <v>0.0</v>
      </c>
      <c r="J16" s="9">
        <v>0.0</v>
      </c>
      <c r="K16" s="9">
        <v>0.0</v>
      </c>
      <c r="L16" s="18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9">
        <v>9.7932</v>
      </c>
      <c r="I17" s="9">
        <v>3.2147</v>
      </c>
      <c r="J17" s="9">
        <v>5.9673</v>
      </c>
      <c r="K17" s="9">
        <v>19.20745</v>
      </c>
      <c r="L17" s="18">
        <v>2.36</v>
      </c>
      <c r="M17" s="9">
        <v>4.6477</v>
      </c>
      <c r="N17" s="9">
        <v>9.7527</v>
      </c>
      <c r="O17" s="9">
        <v>9.7527</v>
      </c>
      <c r="P17" s="9">
        <v>0.0</v>
      </c>
      <c r="Q17" s="9">
        <v>0.0</v>
      </c>
      <c r="R17" s="9">
        <v>0.0</v>
      </c>
      <c r="S17" s="9">
        <v>1.2449</v>
      </c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9">
        <v>4.13438</v>
      </c>
      <c r="I18" s="9">
        <v>3.44482</v>
      </c>
      <c r="J18" s="9">
        <v>12.11155</v>
      </c>
      <c r="K18" s="9">
        <v>9.59335</v>
      </c>
      <c r="L18" s="18">
        <v>7.15075</v>
      </c>
      <c r="M18" s="9">
        <v>6.21501</v>
      </c>
      <c r="N18" s="9">
        <v>6.20436</v>
      </c>
      <c r="O18" s="9">
        <v>6.14749</v>
      </c>
      <c r="P18" s="9">
        <v>6.14749</v>
      </c>
      <c r="Q18" s="9">
        <v>6.14749</v>
      </c>
      <c r="R18" s="9">
        <v>4.92929</v>
      </c>
      <c r="S18" s="9">
        <v>4.92929</v>
      </c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9">
        <v>37.9842</v>
      </c>
      <c r="I19" s="9">
        <v>20.5202</v>
      </c>
      <c r="J19" s="9">
        <v>26.3199</v>
      </c>
      <c r="K19" s="9">
        <v>10.3486</v>
      </c>
      <c r="L19" s="18">
        <v>13.5645</v>
      </c>
      <c r="M19" s="9">
        <v>13.5645</v>
      </c>
      <c r="N19" s="9">
        <v>16.3333</v>
      </c>
      <c r="O19" s="9">
        <v>25.3072</v>
      </c>
      <c r="P19" s="9">
        <v>22.852</v>
      </c>
      <c r="Q19" s="9">
        <v>24.2323</v>
      </c>
      <c r="R19" s="9">
        <v>19.31301</v>
      </c>
      <c r="S19" s="9">
        <v>9.63701</v>
      </c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9">
        <v>56.53439</v>
      </c>
      <c r="I20" s="9">
        <v>25.46322</v>
      </c>
      <c r="J20" s="9">
        <v>30.35236</v>
      </c>
      <c r="K20" s="9">
        <v>30.75983</v>
      </c>
      <c r="L20" s="18">
        <v>43.36956</v>
      </c>
      <c r="M20" s="9">
        <v>97.72057</v>
      </c>
      <c r="N20" s="9">
        <v>73.16239</v>
      </c>
      <c r="O20" s="9">
        <v>37.0045</v>
      </c>
      <c r="P20" s="9">
        <v>37.23253</v>
      </c>
      <c r="Q20" s="9">
        <v>37.10716</v>
      </c>
      <c r="R20" s="9">
        <v>54.32603</v>
      </c>
      <c r="S20" s="9">
        <v>56.15062</v>
      </c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9">
        <v>161.57715</v>
      </c>
      <c r="I21" s="9">
        <v>155.3817</v>
      </c>
      <c r="J21" s="9">
        <v>100.16649</v>
      </c>
      <c r="K21" s="9">
        <v>113.06154</v>
      </c>
      <c r="L21" s="18">
        <v>116.97434</v>
      </c>
      <c r="M21" s="9">
        <v>187.67865</v>
      </c>
      <c r="N21" s="9">
        <v>205.87702</v>
      </c>
      <c r="O21" s="9">
        <v>183.87604</v>
      </c>
      <c r="P21" s="9">
        <v>184.88297</v>
      </c>
      <c r="Q21" s="9">
        <v>205.40443</v>
      </c>
      <c r="R21" s="9">
        <v>249.21126</v>
      </c>
      <c r="S21" s="9">
        <v>165.8819</v>
      </c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9">
        <v>40.698487199999995</v>
      </c>
      <c r="I22" s="9">
        <v>0.0</v>
      </c>
      <c r="J22" s="9">
        <v>42.23012</v>
      </c>
      <c r="K22" s="9">
        <v>24.47702</v>
      </c>
      <c r="L22" s="18">
        <v>29.97268</v>
      </c>
      <c r="M22" s="9">
        <v>0.0</v>
      </c>
      <c r="N22" s="9">
        <v>0.0</v>
      </c>
      <c r="O22" s="9">
        <v>0.0</v>
      </c>
      <c r="P22" s="9">
        <v>12.08037</v>
      </c>
      <c r="Q22" s="9">
        <v>26.40722</v>
      </c>
      <c r="R22" s="9">
        <v>34.6318</v>
      </c>
      <c r="S22" s="9">
        <v>34.6318</v>
      </c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9">
        <v>68.6052</v>
      </c>
      <c r="I23" s="9">
        <v>58.1858</v>
      </c>
      <c r="J23" s="9">
        <v>79.8034</v>
      </c>
      <c r="K23" s="9">
        <v>117.351</v>
      </c>
      <c r="L23" s="18">
        <v>97.7158</v>
      </c>
      <c r="M23" s="9">
        <v>96.1936</v>
      </c>
      <c r="N23" s="9">
        <v>96.1936</v>
      </c>
      <c r="O23" s="9">
        <v>49.442</v>
      </c>
      <c r="P23" s="9">
        <v>138.1426</v>
      </c>
      <c r="Q23" s="9">
        <v>48.8402</v>
      </c>
      <c r="R23" s="9">
        <v>64.2628</v>
      </c>
      <c r="S23" s="9">
        <v>114.519</v>
      </c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9">
        <v>27.51569</v>
      </c>
      <c r="I24" s="9">
        <v>36.49306</v>
      </c>
      <c r="J24" s="9">
        <v>0.0</v>
      </c>
      <c r="K24" s="9">
        <v>0.0</v>
      </c>
      <c r="L24" s="18">
        <v>10.28481</v>
      </c>
      <c r="M24" s="9">
        <v>2.81777</v>
      </c>
      <c r="N24" s="9">
        <v>21.88761</v>
      </c>
      <c r="O24" s="9">
        <v>2.65175</v>
      </c>
      <c r="P24" s="9">
        <v>8.83577</v>
      </c>
      <c r="Q24" s="9">
        <v>9.69127</v>
      </c>
      <c r="R24" s="9">
        <v>5.34185</v>
      </c>
      <c r="S24" s="9">
        <v>4.68335</v>
      </c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9">
        <v>6.3189</v>
      </c>
      <c r="I25" s="9">
        <v>0.0</v>
      </c>
      <c r="J25" s="9">
        <v>3.34235</v>
      </c>
      <c r="K25" s="9">
        <v>7.7821</v>
      </c>
      <c r="L25" s="18">
        <v>7.7821</v>
      </c>
      <c r="M25" s="9">
        <v>16.2958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9">
        <v>0.0</v>
      </c>
      <c r="I26" s="9">
        <v>1.652</v>
      </c>
      <c r="J26" s="9">
        <v>5.7112</v>
      </c>
      <c r="K26" s="9">
        <v>5.7112</v>
      </c>
      <c r="L26" s="18">
        <v>6.372</v>
      </c>
      <c r="M26" s="9">
        <v>6.372</v>
      </c>
      <c r="N26" s="9">
        <v>6.372</v>
      </c>
      <c r="O26" s="9">
        <v>4.72</v>
      </c>
      <c r="P26" s="9">
        <v>4.72</v>
      </c>
      <c r="Q26" s="9">
        <v>1.652</v>
      </c>
      <c r="R26" s="9">
        <v>0.0</v>
      </c>
      <c r="S26" s="9">
        <v>1.652</v>
      </c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9">
        <v>0.0</v>
      </c>
      <c r="I27" s="9">
        <v>0.0</v>
      </c>
      <c r="J27" s="9">
        <v>0.0</v>
      </c>
      <c r="K27" s="9">
        <v>0.0</v>
      </c>
      <c r="L27" s="18">
        <v>0.0</v>
      </c>
      <c r="M27" s="9">
        <v>4.425</v>
      </c>
      <c r="N27" s="9">
        <v>4.425</v>
      </c>
      <c r="O27" s="9">
        <v>9.53504</v>
      </c>
      <c r="P27" s="9">
        <v>13.96004</v>
      </c>
      <c r="Q27" s="9">
        <v>3.7661</v>
      </c>
      <c r="R27" s="9">
        <v>10.83244</v>
      </c>
      <c r="S27" s="9">
        <v>11.76514</v>
      </c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9">
        <v>0.0</v>
      </c>
      <c r="I28" s="9">
        <v>0.0</v>
      </c>
      <c r="J28" s="9">
        <v>0.0</v>
      </c>
      <c r="K28" s="9">
        <v>0.0</v>
      </c>
      <c r="L28" s="18">
        <v>1.43488</v>
      </c>
      <c r="M28" s="9">
        <v>2.27976</v>
      </c>
      <c r="N28" s="9">
        <v>2.27976</v>
      </c>
      <c r="O28" s="9">
        <v>3.96952</v>
      </c>
      <c r="P28" s="9">
        <v>6.58558</v>
      </c>
      <c r="Q28" s="9">
        <v>3.96952</v>
      </c>
      <c r="R28" s="9">
        <v>4.8144</v>
      </c>
      <c r="S28" s="9">
        <v>4.8144</v>
      </c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9">
        <v>0.0</v>
      </c>
      <c r="I29" s="9">
        <v>0.0</v>
      </c>
      <c r="J29" s="9">
        <v>0.0</v>
      </c>
      <c r="K29" s="9">
        <v>0.0</v>
      </c>
      <c r="L29" s="18">
        <v>0.0</v>
      </c>
      <c r="M29" s="9">
        <v>0.0</v>
      </c>
      <c r="N29" s="9">
        <v>0.0</v>
      </c>
      <c r="O29" s="9">
        <v>12.29088</v>
      </c>
      <c r="P29" s="9">
        <v>12.29088</v>
      </c>
      <c r="Q29" s="9">
        <v>7.316</v>
      </c>
      <c r="R29" s="9">
        <v>0.0</v>
      </c>
      <c r="S29" s="9">
        <v>5.5722</v>
      </c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9">
        <v>0.0</v>
      </c>
      <c r="I30" s="9">
        <v>0.0</v>
      </c>
      <c r="J30" s="9">
        <v>0.0</v>
      </c>
      <c r="K30" s="9">
        <v>0.0</v>
      </c>
      <c r="L30" s="18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6.05812</v>
      </c>
      <c r="S30" s="9">
        <v>0.0</v>
      </c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9">
        <v>0.0</v>
      </c>
      <c r="I31" s="9">
        <v>0.0</v>
      </c>
      <c r="J31" s="9">
        <v>0.0</v>
      </c>
      <c r="K31" s="9">
        <v>0.0</v>
      </c>
      <c r="L31" s="18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9">
        <v>0.0</v>
      </c>
      <c r="I32" s="9">
        <v>0.0</v>
      </c>
      <c r="J32" s="9">
        <v>0.0</v>
      </c>
      <c r="K32" s="9">
        <v>0.0</v>
      </c>
      <c r="L32" s="18">
        <v>0.0</v>
      </c>
      <c r="M32" s="9">
        <v>0.0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v>1.18</v>
      </c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9">
        <v>41.3254</v>
      </c>
      <c r="I33" s="9">
        <v>14.4568</v>
      </c>
      <c r="J33" s="9">
        <v>5.6776</v>
      </c>
      <c r="K33" s="9">
        <v>1.7718</v>
      </c>
      <c r="L33" s="18">
        <v>10.7988</v>
      </c>
      <c r="M33" s="9">
        <v>26.8228</v>
      </c>
      <c r="N33" s="9">
        <v>29.3668</v>
      </c>
      <c r="O33" s="9">
        <v>-1.9692</v>
      </c>
      <c r="P33" s="9">
        <v>6.4796</v>
      </c>
      <c r="Q33" s="9">
        <v>33.8646</v>
      </c>
      <c r="R33" s="9">
        <v>35.7376</v>
      </c>
      <c r="S33" s="9">
        <v>28.693</v>
      </c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9">
        <v>3.186</v>
      </c>
      <c r="I34" s="9">
        <v>1.9116</v>
      </c>
      <c r="J34" s="9">
        <v>12.2484</v>
      </c>
      <c r="K34" s="9">
        <v>10.866</v>
      </c>
      <c r="L34" s="18">
        <v>5.77312</v>
      </c>
      <c r="M34" s="9">
        <v>3.0282</v>
      </c>
      <c r="N34" s="9">
        <v>5.77312</v>
      </c>
      <c r="O34" s="9">
        <v>2.4408</v>
      </c>
      <c r="P34" s="9">
        <v>2.4408</v>
      </c>
      <c r="Q34" s="9">
        <v>0.0</v>
      </c>
      <c r="R34" s="9">
        <v>1.9116</v>
      </c>
      <c r="S34" s="9">
        <v>1.9116</v>
      </c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9">
        <v>4.21024</v>
      </c>
      <c r="I35" s="9">
        <v>11.1923</v>
      </c>
      <c r="J35" s="9">
        <v>18.5024</v>
      </c>
      <c r="K35" s="9">
        <v>18.54842</v>
      </c>
      <c r="L35" s="18">
        <v>28.49818</v>
      </c>
      <c r="M35" s="9">
        <v>36.90686</v>
      </c>
      <c r="N35" s="9">
        <v>35.04836</v>
      </c>
      <c r="O35" s="9">
        <v>25.89038</v>
      </c>
      <c r="P35" s="9">
        <v>1.70746</v>
      </c>
      <c r="Q35" s="9">
        <v>4.44978</v>
      </c>
      <c r="R35" s="9">
        <v>16.49994</v>
      </c>
      <c r="S35" s="9">
        <v>16.49994</v>
      </c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9">
        <v>47.20323</v>
      </c>
      <c r="I36" s="9">
        <v>65.66693</v>
      </c>
      <c r="J36" s="9">
        <v>37.30225</v>
      </c>
      <c r="K36" s="9">
        <v>7.4524</v>
      </c>
      <c r="L36" s="18">
        <v>9.51918</v>
      </c>
      <c r="M36" s="9">
        <v>10.6974</v>
      </c>
      <c r="N36" s="9">
        <v>10.6974</v>
      </c>
      <c r="O36" s="9">
        <v>10.6974</v>
      </c>
      <c r="P36" s="9">
        <v>10.6974</v>
      </c>
      <c r="Q36" s="9">
        <v>24.22813</v>
      </c>
      <c r="R36" s="9">
        <v>17.11443</v>
      </c>
      <c r="S36" s="9">
        <v>10.6974</v>
      </c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9">
        <v>0.0</v>
      </c>
      <c r="I37" s="9">
        <v>0.0</v>
      </c>
      <c r="J37" s="9">
        <v>0.0</v>
      </c>
      <c r="K37" s="9">
        <v>0.0</v>
      </c>
      <c r="L37" s="18">
        <v>1.17999</v>
      </c>
      <c r="M37" s="9">
        <v>1.17999</v>
      </c>
      <c r="N37" s="9">
        <v>1.17999</v>
      </c>
      <c r="O37" s="9">
        <v>1.17999</v>
      </c>
      <c r="P37" s="9">
        <v>1.17999</v>
      </c>
      <c r="Q37" s="9">
        <v>1.17999</v>
      </c>
      <c r="R37" s="9">
        <v>1.17999</v>
      </c>
      <c r="S37" s="9">
        <v>1.17999</v>
      </c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9">
        <v>0.0</v>
      </c>
      <c r="I38" s="9">
        <v>0.0</v>
      </c>
      <c r="J38" s="9">
        <v>0.0</v>
      </c>
      <c r="K38" s="9">
        <v>7.67</v>
      </c>
      <c r="L38" s="18">
        <v>0.0</v>
      </c>
      <c r="M38" s="9">
        <v>0.0</v>
      </c>
      <c r="N38" s="9">
        <v>0.0</v>
      </c>
      <c r="O38" s="9">
        <v>8.41775</v>
      </c>
      <c r="P38" s="9">
        <v>10.67718</v>
      </c>
      <c r="Q38" s="9">
        <v>12.21112</v>
      </c>
      <c r="R38" s="9">
        <v>12.21112</v>
      </c>
      <c r="S38" s="9">
        <v>12.21112</v>
      </c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9">
        <v>0.11945</v>
      </c>
      <c r="I39" s="9">
        <v>0.97928</v>
      </c>
      <c r="J39" s="9">
        <v>0.97928</v>
      </c>
      <c r="K39" s="9">
        <v>1.91596</v>
      </c>
      <c r="L39" s="18">
        <v>0.35836</v>
      </c>
      <c r="M39" s="9">
        <v>2.09775</v>
      </c>
      <c r="N39" s="9">
        <v>2.09775</v>
      </c>
      <c r="O39" s="9">
        <v>0.0</v>
      </c>
      <c r="P39" s="9">
        <v>0.0</v>
      </c>
      <c r="Q39" s="9">
        <v>0.0</v>
      </c>
      <c r="R39" s="9">
        <v>0.74545</v>
      </c>
      <c r="S39" s="9">
        <v>1.4909</v>
      </c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9">
        <v>6.3484</v>
      </c>
      <c r="I40" s="9">
        <v>8.2364</v>
      </c>
      <c r="J40" s="9">
        <v>10.1244</v>
      </c>
      <c r="K40" s="9">
        <v>6.3484</v>
      </c>
      <c r="L40" s="18">
        <v>6.3484</v>
      </c>
      <c r="M40" s="9">
        <v>6.3484</v>
      </c>
      <c r="N40" s="9">
        <v>10.502</v>
      </c>
      <c r="O40" s="9">
        <v>8.614</v>
      </c>
      <c r="P40" s="9">
        <v>12.7676</v>
      </c>
      <c r="Q40" s="9">
        <v>14.8444</v>
      </c>
      <c r="R40" s="9">
        <v>16.9212</v>
      </c>
      <c r="S40" s="9">
        <v>12.7676</v>
      </c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9">
        <v>25.71157</v>
      </c>
      <c r="I41" s="9">
        <v>29.12945</v>
      </c>
      <c r="J41" s="9">
        <v>30.09392</v>
      </c>
      <c r="K41" s="9">
        <v>30.09393</v>
      </c>
      <c r="L41" s="18">
        <v>22.61552</v>
      </c>
      <c r="M41" s="9">
        <v>22.61552</v>
      </c>
      <c r="N41" s="9">
        <v>22.61552</v>
      </c>
      <c r="O41" s="9">
        <v>22.61552</v>
      </c>
      <c r="P41" s="9">
        <v>22.61552</v>
      </c>
      <c r="Q41" s="9">
        <v>23.25683</v>
      </c>
      <c r="R41" s="9">
        <v>23.25683</v>
      </c>
      <c r="S41" s="9">
        <v>23.25683</v>
      </c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9">
        <v>58.94208</v>
      </c>
      <c r="I42" s="9">
        <v>36.97867</v>
      </c>
      <c r="J42" s="9">
        <v>76.73715</v>
      </c>
      <c r="K42" s="9">
        <v>43.1422</v>
      </c>
      <c r="L42" s="18">
        <v>15.06435</v>
      </c>
      <c r="M42" s="9">
        <v>15.06435</v>
      </c>
      <c r="N42" s="9">
        <v>15.06435</v>
      </c>
      <c r="O42" s="9">
        <v>45.22579</v>
      </c>
      <c r="P42" s="9">
        <v>68.96768</v>
      </c>
      <c r="Q42" s="9">
        <v>90.24379</v>
      </c>
      <c r="R42" s="9">
        <v>112.4871</v>
      </c>
      <c r="S42" s="9">
        <v>101.46649</v>
      </c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9">
        <v>5.53774</v>
      </c>
      <c r="I43" s="9">
        <v>5.53774</v>
      </c>
      <c r="J43" s="9">
        <v>0.0</v>
      </c>
      <c r="K43" s="9">
        <v>0.0</v>
      </c>
      <c r="L43" s="18">
        <v>2.9146</v>
      </c>
      <c r="M43" s="9">
        <v>0.0</v>
      </c>
      <c r="N43" s="9">
        <v>0.0</v>
      </c>
      <c r="O43" s="9">
        <v>0.0</v>
      </c>
      <c r="P43" s="9">
        <v>0.0</v>
      </c>
      <c r="Q43" s="9">
        <v>0.0</v>
      </c>
      <c r="R43" s="9">
        <v>0.0</v>
      </c>
      <c r="S43" s="9">
        <v>0.0</v>
      </c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9">
        <v>0.0</v>
      </c>
      <c r="I44" s="9">
        <v>0.0</v>
      </c>
      <c r="J44" s="9">
        <v>2.6314</v>
      </c>
      <c r="K44" s="9">
        <v>2.61594</v>
      </c>
      <c r="L44" s="18">
        <v>2.36826</v>
      </c>
      <c r="M44" s="9">
        <v>0.0</v>
      </c>
      <c r="N44" s="9">
        <v>0.0</v>
      </c>
      <c r="O44" s="9">
        <v>0.0</v>
      </c>
      <c r="P44" s="9">
        <v>0.0</v>
      </c>
      <c r="Q44" s="9">
        <v>9.54974</v>
      </c>
      <c r="R44" s="9">
        <v>0.0</v>
      </c>
      <c r="S44" s="9">
        <v>0.0</v>
      </c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9">
        <v>0.0</v>
      </c>
      <c r="I45" s="9">
        <v>0.0</v>
      </c>
      <c r="J45" s="9">
        <v>0.0</v>
      </c>
      <c r="K45" s="9">
        <v>0.0</v>
      </c>
      <c r="L45" s="18">
        <v>0.0</v>
      </c>
      <c r="M45" s="9">
        <v>0.0</v>
      </c>
      <c r="N45" s="9">
        <v>0.0</v>
      </c>
      <c r="O45" s="9">
        <v>0.0</v>
      </c>
      <c r="P45" s="9">
        <v>0.0</v>
      </c>
      <c r="Q45" s="9">
        <v>0.0</v>
      </c>
      <c r="R45" s="9">
        <v>0.0</v>
      </c>
      <c r="S45" s="9">
        <v>0.0</v>
      </c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9">
        <v>0.0</v>
      </c>
      <c r="I46" s="9">
        <v>0.0</v>
      </c>
      <c r="J46" s="9">
        <v>0.0</v>
      </c>
      <c r="K46" s="9">
        <v>0.0</v>
      </c>
      <c r="L46" s="18">
        <v>0.0</v>
      </c>
      <c r="M46" s="9">
        <v>0.0</v>
      </c>
      <c r="N46" s="9">
        <v>0.0</v>
      </c>
      <c r="O46" s="9">
        <v>0.0</v>
      </c>
      <c r="P46" s="9">
        <v>0.0</v>
      </c>
      <c r="Q46" s="9">
        <v>0.0</v>
      </c>
      <c r="R46" s="9">
        <v>0.0</v>
      </c>
      <c r="S46" s="9">
        <v>0.0</v>
      </c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9">
        <v>0.0</v>
      </c>
      <c r="I47" s="9">
        <v>0.0</v>
      </c>
      <c r="J47" s="9">
        <v>0.0</v>
      </c>
      <c r="K47" s="9">
        <v>0.0</v>
      </c>
      <c r="L47" s="18">
        <v>0.0</v>
      </c>
      <c r="M47" s="9">
        <v>0.0</v>
      </c>
      <c r="N47" s="9">
        <v>0.0</v>
      </c>
      <c r="O47" s="9">
        <v>0.0</v>
      </c>
      <c r="P47" s="9">
        <v>0.0</v>
      </c>
      <c r="Q47" s="9">
        <v>0.0</v>
      </c>
      <c r="R47" s="9">
        <v>0.0</v>
      </c>
      <c r="S47" s="9">
        <v>1.18</v>
      </c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9">
        <v>0.0</v>
      </c>
      <c r="I48" s="9">
        <v>0.0</v>
      </c>
      <c r="J48" s="9">
        <v>0.0</v>
      </c>
      <c r="K48" s="9">
        <v>0.0</v>
      </c>
      <c r="L48" s="18">
        <v>0.0</v>
      </c>
      <c r="M48" s="9">
        <v>0.0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  <c r="S48" s="9">
        <v>0.0</v>
      </c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9">
        <v>232.97869</v>
      </c>
      <c r="I49" s="9">
        <v>216.14762</v>
      </c>
      <c r="J49" s="9">
        <v>354.26545</v>
      </c>
      <c r="K49" s="9">
        <v>213.12759</v>
      </c>
      <c r="L49" s="18">
        <v>176.00013</v>
      </c>
      <c r="M49" s="9">
        <v>198.06253</v>
      </c>
      <c r="N49" s="9">
        <v>171.43276</v>
      </c>
      <c r="O49" s="9">
        <v>172.84897</v>
      </c>
      <c r="P49" s="9">
        <v>186.96251</v>
      </c>
      <c r="Q49" s="9">
        <v>122.97795</v>
      </c>
      <c r="R49" s="9">
        <v>127.9644</v>
      </c>
      <c r="S49" s="9">
        <v>219.21118</v>
      </c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9">
        <v>30.46989</v>
      </c>
      <c r="I50" s="9">
        <v>35.88818</v>
      </c>
      <c r="J50" s="9">
        <v>35.07671</v>
      </c>
      <c r="K50" s="9">
        <v>22.43069</v>
      </c>
      <c r="L50" s="18">
        <v>33.20999</v>
      </c>
      <c r="M50" s="9">
        <v>44.88438</v>
      </c>
      <c r="N50" s="9">
        <v>45.7316</v>
      </c>
      <c r="O50" s="9">
        <v>45.7316</v>
      </c>
      <c r="P50" s="9">
        <v>6.03259</v>
      </c>
      <c r="Q50" s="9">
        <v>0.36708</v>
      </c>
      <c r="R50" s="9">
        <v>7.93499</v>
      </c>
      <c r="S50" s="9">
        <v>5.95849</v>
      </c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9">
        <v>0.0</v>
      </c>
      <c r="I51" s="9">
        <v>25.94035</v>
      </c>
      <c r="J51" s="9">
        <v>22.27291</v>
      </c>
      <c r="K51" s="9">
        <v>17.22015</v>
      </c>
      <c r="L51" s="18">
        <v>23.8556</v>
      </c>
      <c r="M51" s="9">
        <v>-2.06144</v>
      </c>
      <c r="N51" s="9">
        <v>25.51811</v>
      </c>
      <c r="O51" s="9">
        <v>25.51811</v>
      </c>
      <c r="P51" s="9">
        <v>25.51811</v>
      </c>
      <c r="Q51" s="9">
        <v>25.51811</v>
      </c>
      <c r="R51" s="9">
        <v>25.51811</v>
      </c>
      <c r="S51" s="9">
        <v>25.51811</v>
      </c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9">
        <v>275.33648</v>
      </c>
      <c r="I52" s="9">
        <v>221.6465</v>
      </c>
      <c r="J52" s="9">
        <v>188.71711</v>
      </c>
      <c r="K52" s="9">
        <v>145.51043</v>
      </c>
      <c r="L52" s="18">
        <v>157.12693</v>
      </c>
      <c r="M52" s="9">
        <v>165.47152</v>
      </c>
      <c r="N52" s="9">
        <v>163.0252</v>
      </c>
      <c r="O52" s="9">
        <v>201.61474</v>
      </c>
      <c r="P52" s="9">
        <v>231.17463</v>
      </c>
      <c r="Q52" s="9">
        <v>129.08166</v>
      </c>
      <c r="R52" s="9">
        <v>130.9614</v>
      </c>
      <c r="S52" s="9">
        <v>125.0673</v>
      </c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9">
        <v>0.0</v>
      </c>
      <c r="I53" s="9">
        <v>0.0</v>
      </c>
      <c r="J53" s="9">
        <v>8.31876</v>
      </c>
      <c r="K53" s="9">
        <v>10.2138</v>
      </c>
      <c r="L53" s="18">
        <v>9.14264</v>
      </c>
      <c r="M53" s="9">
        <v>6.8436</v>
      </c>
      <c r="N53" s="9">
        <v>7.7712</v>
      </c>
      <c r="O53" s="9">
        <v>7.7712</v>
      </c>
      <c r="P53" s="9">
        <v>7.7712</v>
      </c>
      <c r="Q53" s="9">
        <v>4.56188</v>
      </c>
      <c r="R53" s="9">
        <v>4.56188</v>
      </c>
      <c r="S53" s="9">
        <v>15.91466</v>
      </c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9">
        <v>5.30124</v>
      </c>
      <c r="I54" s="9">
        <v>7.19155</v>
      </c>
      <c r="J54" s="9">
        <v>8.37155</v>
      </c>
      <c r="K54" s="9">
        <v>2.36</v>
      </c>
      <c r="L54" s="18">
        <v>4.72</v>
      </c>
      <c r="M54" s="9">
        <v>5.98279</v>
      </c>
      <c r="N54" s="9">
        <v>7.16279</v>
      </c>
      <c r="O54" s="9">
        <v>3.32674</v>
      </c>
      <c r="P54" s="9">
        <v>5.09674</v>
      </c>
      <c r="Q54" s="9">
        <v>5.09674</v>
      </c>
      <c r="R54" s="9">
        <v>1.66267</v>
      </c>
      <c r="S54" s="9">
        <v>2.8985</v>
      </c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9">
        <v>16.98687</v>
      </c>
      <c r="I55" s="9">
        <v>0.0</v>
      </c>
      <c r="J55" s="9">
        <v>9.152</v>
      </c>
      <c r="K55" s="9">
        <v>21.63332</v>
      </c>
      <c r="L55" s="18">
        <v>0.0</v>
      </c>
      <c r="M55" s="9">
        <v>27.24591</v>
      </c>
      <c r="N55" s="9">
        <v>0.0</v>
      </c>
      <c r="O55" s="9">
        <v>8.49982</v>
      </c>
      <c r="P55" s="9">
        <v>0.0</v>
      </c>
      <c r="Q55" s="9">
        <v>13.42459</v>
      </c>
      <c r="R55" s="9">
        <v>0.0</v>
      </c>
      <c r="S55" s="9">
        <v>0.0</v>
      </c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9">
        <v>0.0</v>
      </c>
      <c r="I56" s="9">
        <v>0.0</v>
      </c>
      <c r="J56" s="9">
        <v>0.0</v>
      </c>
      <c r="K56" s="9">
        <v>0.0</v>
      </c>
      <c r="L56" s="18">
        <v>0.0</v>
      </c>
      <c r="M56" s="9">
        <v>0.0</v>
      </c>
      <c r="N56" s="9">
        <v>0.0</v>
      </c>
      <c r="O56" s="9">
        <v>0.0</v>
      </c>
      <c r="P56" s="9">
        <v>0.0</v>
      </c>
      <c r="Q56" s="9">
        <v>0.0</v>
      </c>
      <c r="R56" s="9">
        <v>0.0</v>
      </c>
      <c r="S56" s="9">
        <v>0.0</v>
      </c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9">
        <v>0.0</v>
      </c>
      <c r="I57" s="9">
        <v>0.0</v>
      </c>
      <c r="J57" s="9">
        <v>0.0</v>
      </c>
      <c r="K57" s="9">
        <v>0.0</v>
      </c>
      <c r="L57" s="18">
        <v>0.0</v>
      </c>
      <c r="M57" s="9">
        <v>0.0</v>
      </c>
      <c r="N57" s="9">
        <v>0.0</v>
      </c>
      <c r="O57" s="9">
        <v>0.0</v>
      </c>
      <c r="P57" s="9">
        <v>0.0</v>
      </c>
      <c r="Q57" s="9">
        <v>0.0</v>
      </c>
      <c r="R57" s="9">
        <v>0.0</v>
      </c>
      <c r="S57" s="9">
        <v>0.0</v>
      </c>
    </row>
    <row r="58" ht="14.25" customHeight="1">
      <c r="A58" s="5" t="s">
        <v>7</v>
      </c>
      <c r="B58" s="8" t="s">
        <v>99</v>
      </c>
      <c r="C58" s="1" t="str">
        <f>VLOOKUP(B58,Mapping!B:C,2,0)</f>
        <v>Lateral</v>
      </c>
      <c r="D58" s="1" t="str">
        <f>VLOOKUP(B58,Mapping!B:D,3,0)</f>
        <v>North</v>
      </c>
      <c r="E58" s="1" t="str">
        <f>VLOOKUP(B58,Mapping!B:E,4,0)</f>
        <v>North</v>
      </c>
      <c r="F58" s="1" t="str">
        <f>VLOOKUP(B58,Mapping!B:F,5,0)</f>
        <v>Anjli</v>
      </c>
      <c r="G58" s="6" t="str">
        <f>VLOOKUP(B58,Mapping!B:G,6,0)</f>
        <v>Anjli</v>
      </c>
      <c r="H58" s="9">
        <v>15.38248</v>
      </c>
      <c r="I58" s="9">
        <v>15.38248</v>
      </c>
      <c r="J58" s="9">
        <v>0.0</v>
      </c>
      <c r="K58" s="9">
        <v>0.0</v>
      </c>
      <c r="L58" s="18">
        <v>0.0</v>
      </c>
      <c r="M58" s="9">
        <v>0.0</v>
      </c>
      <c r="N58" s="9">
        <v>0.0</v>
      </c>
      <c r="O58" s="9">
        <v>0.0</v>
      </c>
      <c r="P58" s="9">
        <v>0.0</v>
      </c>
      <c r="Q58" s="9">
        <v>0.0</v>
      </c>
      <c r="R58" s="9">
        <v>0.0</v>
      </c>
      <c r="S58" s="9">
        <v>0.0</v>
      </c>
    </row>
    <row r="59" ht="14.25" customHeight="1">
      <c r="A59" s="5" t="s">
        <v>7</v>
      </c>
      <c r="B59" s="8" t="s">
        <v>100</v>
      </c>
      <c r="C59" s="1" t="str">
        <f>VLOOKUP(B59,Mapping!B:C,2,0)</f>
        <v>Lateral</v>
      </c>
      <c r="D59" s="1" t="str">
        <f>VLOOKUP(B59,Mapping!B:D,3,0)</f>
        <v>West</v>
      </c>
      <c r="E59" s="1" t="str">
        <f>VLOOKUP(B59,Mapping!B:E,4,0)</f>
        <v>West 1</v>
      </c>
      <c r="F59" s="1" t="str">
        <f>VLOOKUP(B59,Mapping!B:F,5,0)</f>
        <v>Anjli</v>
      </c>
      <c r="G59" s="6" t="str">
        <f>VLOOKUP(B59,Mapping!B:G,6,0)</f>
        <v>Anjli</v>
      </c>
      <c r="H59" s="9">
        <v>10.37338</v>
      </c>
      <c r="I59" s="9">
        <v>10.37338</v>
      </c>
      <c r="J59" s="9">
        <v>0.0</v>
      </c>
      <c r="K59" s="9">
        <v>10.37338</v>
      </c>
      <c r="L59" s="18">
        <v>10.37338</v>
      </c>
      <c r="M59" s="9">
        <v>10.37338</v>
      </c>
      <c r="N59" s="9">
        <v>0.0</v>
      </c>
      <c r="O59" s="9">
        <v>0.0</v>
      </c>
      <c r="P59" s="9">
        <v>0.0</v>
      </c>
      <c r="Q59" s="9">
        <v>0.0</v>
      </c>
      <c r="R59" s="9">
        <v>10.37338</v>
      </c>
      <c r="S59" s="9">
        <v>10.37338</v>
      </c>
    </row>
    <row r="60" ht="14.25" customHeight="1">
      <c r="A60" s="5" t="s">
        <v>7</v>
      </c>
      <c r="B60" s="8" t="s">
        <v>101</v>
      </c>
      <c r="C60" s="1" t="str">
        <f>VLOOKUP(B60,Mapping!B:C,2,0)</f>
        <v>Lateral</v>
      </c>
      <c r="D60" s="1" t="str">
        <f>VLOOKUP(B60,Mapping!B:D,3,0)</f>
        <v>West</v>
      </c>
      <c r="E60" s="1" t="str">
        <f>VLOOKUP(B60,Mapping!B:E,4,0)</f>
        <v>West 1</v>
      </c>
      <c r="F60" s="1" t="str">
        <f>VLOOKUP(B60,Mapping!B:F,5,0)</f>
        <v>Anjli</v>
      </c>
      <c r="G60" s="6" t="str">
        <f>VLOOKUP(B60,Mapping!B:G,6,0)</f>
        <v>Anjli</v>
      </c>
      <c r="H60" s="9">
        <v>4.248</v>
      </c>
      <c r="I60" s="9">
        <v>4.248</v>
      </c>
      <c r="J60" s="9">
        <v>0.0</v>
      </c>
      <c r="K60" s="9">
        <v>4.248</v>
      </c>
      <c r="L60" s="18">
        <v>4.248</v>
      </c>
      <c r="M60" s="9">
        <v>4.248</v>
      </c>
      <c r="N60" s="9">
        <v>0.0</v>
      </c>
      <c r="O60" s="9">
        <v>0.0</v>
      </c>
      <c r="P60" s="9">
        <v>0.0</v>
      </c>
      <c r="Q60" s="9">
        <v>0.0</v>
      </c>
      <c r="R60" s="9">
        <v>0.0</v>
      </c>
      <c r="S60" s="9">
        <v>0.0</v>
      </c>
    </row>
    <row r="61" ht="14.25" customHeight="1">
      <c r="A61" s="5" t="s">
        <v>7</v>
      </c>
      <c r="B61" s="8" t="s">
        <v>102</v>
      </c>
      <c r="C61" s="1" t="str">
        <f>VLOOKUP(B61,Mapping!B:C,2,0)</f>
        <v>Lateral</v>
      </c>
      <c r="D61" s="1" t="str">
        <f>VLOOKUP(B61,Mapping!B:D,3,0)</f>
        <v>West</v>
      </c>
      <c r="E61" s="1" t="str">
        <f>VLOOKUP(B61,Mapping!B:E,4,0)</f>
        <v>West 1</v>
      </c>
      <c r="F61" s="1" t="str">
        <f>VLOOKUP(B61,Mapping!B:F,5,0)</f>
        <v>Anjli</v>
      </c>
      <c r="G61" s="6" t="str">
        <f>VLOOKUP(B61,Mapping!B:G,6,0)</f>
        <v>Anjli</v>
      </c>
      <c r="H61" s="9">
        <v>3.86738</v>
      </c>
      <c r="I61" s="9">
        <v>3.86738</v>
      </c>
      <c r="J61" s="9">
        <v>3.86738</v>
      </c>
      <c r="K61" s="9">
        <v>3.86738</v>
      </c>
      <c r="L61" s="18">
        <v>3.86738</v>
      </c>
      <c r="M61" s="9">
        <v>3.86738</v>
      </c>
      <c r="N61" s="9">
        <v>3.86738</v>
      </c>
      <c r="O61" s="9">
        <v>0.0</v>
      </c>
      <c r="P61" s="9">
        <v>0.0</v>
      </c>
      <c r="Q61" s="9">
        <v>0.0</v>
      </c>
      <c r="R61" s="9">
        <v>0.0</v>
      </c>
      <c r="S61" s="9">
        <v>0.0</v>
      </c>
    </row>
    <row r="62" ht="14.25" customHeight="1">
      <c r="A62" s="5" t="s">
        <v>7</v>
      </c>
      <c r="B62" s="8" t="s">
        <v>103</v>
      </c>
      <c r="C62" s="1" t="str">
        <f>VLOOKUP(B62,Mapping!B:C,2,0)</f>
        <v>Lateral</v>
      </c>
      <c r="D62" s="1" t="str">
        <f>VLOOKUP(B62,Mapping!B:D,3,0)</f>
        <v>West</v>
      </c>
      <c r="E62" s="1" t="str">
        <f>VLOOKUP(B62,Mapping!B:E,4,0)</f>
        <v>West 1</v>
      </c>
      <c r="F62" s="1" t="str">
        <f>VLOOKUP(B62,Mapping!B:F,5,0)</f>
        <v>Anjli</v>
      </c>
      <c r="G62" s="6" t="str">
        <f>VLOOKUP(B62,Mapping!B:G,6,0)</f>
        <v>Anjli</v>
      </c>
      <c r="H62" s="9"/>
      <c r="I62" s="9"/>
      <c r="J62" s="9"/>
      <c r="K62" s="9">
        <v>22.84126</v>
      </c>
      <c r="L62" s="18">
        <v>22.84126</v>
      </c>
      <c r="M62" s="9">
        <v>22.84126</v>
      </c>
      <c r="N62" s="9">
        <v>22.84126</v>
      </c>
      <c r="O62" s="9">
        <v>0.0</v>
      </c>
      <c r="P62" s="9">
        <v>17.21738</v>
      </c>
      <c r="Q62" s="9">
        <v>0.0</v>
      </c>
      <c r="R62" s="9">
        <v>0.0</v>
      </c>
      <c r="S62" s="9">
        <v>0.0</v>
      </c>
    </row>
    <row r="63" ht="14.25" customHeight="1">
      <c r="A63" s="5" t="s">
        <v>7</v>
      </c>
      <c r="B63" s="8" t="s">
        <v>104</v>
      </c>
      <c r="C63" s="1" t="str">
        <f>VLOOKUP(B63,Mapping!B:C,2,0)</f>
        <v>Lateral</v>
      </c>
      <c r="D63" s="1" t="str">
        <f>VLOOKUP(B63,Mapping!B:D,3,0)</f>
        <v>South</v>
      </c>
      <c r="E63" s="1" t="str">
        <f>VLOOKUP(B63,Mapping!B:E,4,0)</f>
        <v>South 1</v>
      </c>
      <c r="F63" s="1" t="str">
        <f>VLOOKUP(B63,Mapping!B:F,5,0)</f>
        <v>Sulabh</v>
      </c>
      <c r="G63" s="6" t="str">
        <f>VLOOKUP(B63,Mapping!B:G,6,0)</f>
        <v>Subu</v>
      </c>
      <c r="H63" s="9"/>
      <c r="I63" s="9"/>
      <c r="J63" s="9"/>
      <c r="K63" s="9">
        <v>0.0</v>
      </c>
      <c r="L63" s="18">
        <v>0.0</v>
      </c>
      <c r="M63" s="9">
        <v>0.0</v>
      </c>
      <c r="N63" s="9">
        <v>0.0</v>
      </c>
      <c r="O63" s="9">
        <v>0.0</v>
      </c>
      <c r="P63" s="9">
        <v>0.0</v>
      </c>
      <c r="Q63" s="9">
        <v>0.0</v>
      </c>
      <c r="R63" s="9">
        <v>0.0</v>
      </c>
      <c r="S63" s="9">
        <v>0.0</v>
      </c>
    </row>
    <row r="64" ht="14.25" customHeight="1">
      <c r="A64" s="5" t="s">
        <v>7</v>
      </c>
      <c r="B64" s="8" t="s">
        <v>105</v>
      </c>
      <c r="C64" s="1" t="str">
        <f>VLOOKUP(B64,Mapping!B:C,2,0)</f>
        <v>Lateral</v>
      </c>
      <c r="D64" s="1" t="str">
        <f>VLOOKUP(B64,Mapping!B:D,3,0)</f>
        <v>North</v>
      </c>
      <c r="E64" s="1" t="str">
        <f>VLOOKUP(B64,Mapping!B:E,4,0)</f>
        <v>North</v>
      </c>
      <c r="F64" s="1" t="str">
        <f>VLOOKUP(B64,Mapping!B:F,5,0)</f>
        <v>Anjli</v>
      </c>
      <c r="G64" s="6" t="str">
        <f>VLOOKUP(B64,Mapping!B:G,6,0)</f>
        <v>Anjli</v>
      </c>
      <c r="H64" s="9"/>
      <c r="I64" s="9"/>
      <c r="J64" s="9"/>
      <c r="K64" s="9"/>
      <c r="L64" s="18">
        <v>5.31</v>
      </c>
      <c r="M64" s="9">
        <v>0.0</v>
      </c>
      <c r="N64" s="9">
        <v>0.0</v>
      </c>
      <c r="O64" s="9">
        <v>0.0</v>
      </c>
      <c r="P64" s="9">
        <v>0.0</v>
      </c>
      <c r="Q64" s="9">
        <v>0.0</v>
      </c>
      <c r="R64" s="9">
        <v>0.0</v>
      </c>
      <c r="S64" s="9">
        <v>0.0</v>
      </c>
    </row>
    <row r="65" ht="14.25" customHeight="1">
      <c r="A65" s="5" t="s">
        <v>7</v>
      </c>
      <c r="B65" s="8" t="s">
        <v>106</v>
      </c>
      <c r="C65" s="1" t="str">
        <f>VLOOKUP(B65,Mapping!B:C,2,0)</f>
        <v>Lateral</v>
      </c>
      <c r="D65" s="1" t="str">
        <f>VLOOKUP(B65,Mapping!B:D,3,0)</f>
        <v>South</v>
      </c>
      <c r="E65" s="1" t="str">
        <f>VLOOKUP(B65,Mapping!B:E,4,0)</f>
        <v>South 1</v>
      </c>
      <c r="F65" s="1" t="str">
        <f>VLOOKUP(B65,Mapping!B:F,5,0)</f>
        <v>Sulabh</v>
      </c>
      <c r="G65" s="6" t="str">
        <f>VLOOKUP(B65,Mapping!B:G,6,0)</f>
        <v>Parul</v>
      </c>
      <c r="H65" s="18"/>
      <c r="I65" s="18"/>
      <c r="J65" s="18"/>
      <c r="K65" s="18"/>
      <c r="L65" s="18"/>
      <c r="M65" s="9">
        <v>4.17248</v>
      </c>
      <c r="N65" s="9">
        <v>0.0</v>
      </c>
      <c r="O65" s="9">
        <v>0.0</v>
      </c>
      <c r="P65" s="9">
        <v>0.0</v>
      </c>
      <c r="Q65" s="9">
        <v>0.0</v>
      </c>
      <c r="R65" s="9">
        <v>0.0</v>
      </c>
      <c r="S65" s="9">
        <v>0.0</v>
      </c>
    </row>
    <row r="66" ht="14.25" customHeight="1">
      <c r="A66" s="5" t="s">
        <v>7</v>
      </c>
      <c r="B66" s="8" t="s">
        <v>108</v>
      </c>
      <c r="C66" s="1" t="str">
        <f>VLOOKUP(B66,Mapping!B:C,2,0)</f>
        <v>Lateral</v>
      </c>
      <c r="D66" s="1" t="str">
        <f>VLOOKUP(B66,Mapping!B:D,3,0)</f>
        <v>South</v>
      </c>
      <c r="E66" s="1" t="str">
        <f>VLOOKUP(B66,Mapping!B:E,4,0)</f>
        <v>South 1</v>
      </c>
      <c r="F66" s="1" t="str">
        <f>VLOOKUP(B66,Mapping!B:F,5,0)</f>
        <v>Sulabh</v>
      </c>
      <c r="G66" s="6" t="str">
        <f>VLOOKUP(B66,Mapping!B:G,6,0)</f>
        <v>Subu</v>
      </c>
      <c r="H66" s="18"/>
      <c r="I66" s="18"/>
      <c r="J66" s="18"/>
      <c r="K66" s="18"/>
      <c r="L66" s="18"/>
      <c r="M66" s="18"/>
      <c r="N66" s="9">
        <v>0.0</v>
      </c>
      <c r="O66" s="9">
        <v>0.0</v>
      </c>
      <c r="P66" s="9">
        <v>0.0</v>
      </c>
      <c r="Q66" s="9">
        <v>0.0</v>
      </c>
      <c r="R66" s="9">
        <v>0.0</v>
      </c>
      <c r="S66" s="9">
        <v>0.0</v>
      </c>
    </row>
    <row r="67" ht="14.25" customHeight="1">
      <c r="A67" s="5" t="s">
        <v>7</v>
      </c>
      <c r="B67" s="8" t="s">
        <v>109</v>
      </c>
      <c r="C67" s="1" t="str">
        <f>VLOOKUP(B67,Mapping!B:C,2,0)</f>
        <v>Lateral</v>
      </c>
      <c r="D67" s="1" t="str">
        <f>VLOOKUP(B67,Mapping!B:D,3,0)</f>
        <v>North</v>
      </c>
      <c r="E67" s="1" t="str">
        <f>VLOOKUP(B67,Mapping!B:E,4,0)</f>
        <v>North</v>
      </c>
      <c r="F67" s="1" t="str">
        <f>VLOOKUP(B67,Mapping!B:F,5,0)</f>
        <v>Ashish</v>
      </c>
      <c r="G67" s="6" t="str">
        <f>VLOOKUP(B67,Mapping!B:G,6,0)</f>
        <v>Ashish</v>
      </c>
      <c r="H67" s="18"/>
      <c r="I67" s="18"/>
      <c r="J67" s="18"/>
      <c r="K67" s="18"/>
      <c r="L67" s="18"/>
      <c r="M67" s="18"/>
      <c r="N67" s="18"/>
      <c r="O67" s="18"/>
      <c r="P67" s="18"/>
      <c r="Q67" s="9">
        <v>0.0</v>
      </c>
      <c r="R67" s="9">
        <v>0.0</v>
      </c>
      <c r="S67" s="9">
        <v>0.0</v>
      </c>
    </row>
    <row r="68" ht="14.25" customHeight="1">
      <c r="A68" s="5" t="s">
        <v>7</v>
      </c>
      <c r="B68" s="8" t="s">
        <v>111</v>
      </c>
      <c r="C68" s="1" t="str">
        <f>VLOOKUP(B68,Mapping!B:C,2,0)</f>
        <v>Lateral</v>
      </c>
      <c r="D68" s="1" t="str">
        <f>VLOOKUP(B68,Mapping!B:D,3,0)</f>
        <v>West</v>
      </c>
      <c r="E68" s="1" t="str">
        <f>VLOOKUP(B68,Mapping!B:E,4,0)</f>
        <v>West 1</v>
      </c>
      <c r="F68" s="1" t="str">
        <f>VLOOKUP(B68,Mapping!B:F,5,0)</f>
        <v>Anjli</v>
      </c>
      <c r="G68" s="6" t="str">
        <f>VLOOKUP(B68,Mapping!B:G,6,0)</f>
        <v>Anjli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9">
        <v>0.0</v>
      </c>
    </row>
    <row r="69" ht="14.25" customHeight="1"/>
    <row r="70" ht="14.25" customHeight="1"/>
    <row r="71" ht="14.25" customHeight="1"/>
    <row r="72" ht="14.25" customHeight="1">
      <c r="F72" s="7" t="s">
        <v>124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4" width="25.25"/>
    <col customWidth="1" min="5" max="5" width="12.88"/>
    <col customWidth="1" min="6" max="6" width="11.13"/>
    <col customWidth="1" min="7" max="7" width="10.88"/>
    <col customWidth="1" min="8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2">
        <v>103.06846</v>
      </c>
      <c r="I2" s="12">
        <v>90.11539</v>
      </c>
      <c r="J2" s="12">
        <v>75.93578</v>
      </c>
      <c r="K2" s="8">
        <v>0.0</v>
      </c>
      <c r="L2" s="12">
        <v>109.53426</v>
      </c>
      <c r="M2" s="12">
        <v>33.62468</v>
      </c>
      <c r="N2" s="12">
        <v>11.77865</v>
      </c>
      <c r="O2" s="12">
        <v>16.61626</v>
      </c>
      <c r="P2" s="12">
        <v>14.08257</v>
      </c>
      <c r="Q2" s="12">
        <v>88.53881</v>
      </c>
      <c r="R2" s="12">
        <v>10.82385</v>
      </c>
      <c r="S2" s="12">
        <v>0.0</v>
      </c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2">
        <v>0.0</v>
      </c>
      <c r="I3" s="12">
        <v>27.53128</v>
      </c>
      <c r="J3" s="12">
        <v>11.64679</v>
      </c>
      <c r="K3" s="12">
        <v>8.38245</v>
      </c>
      <c r="L3" s="12">
        <v>8.52664</v>
      </c>
      <c r="M3" s="12">
        <v>0.0</v>
      </c>
      <c r="N3" s="12">
        <v>0.0</v>
      </c>
      <c r="O3" s="12">
        <v>10.03152</v>
      </c>
      <c r="P3" s="12">
        <v>0.0</v>
      </c>
      <c r="Q3" s="12">
        <v>12.11292</v>
      </c>
      <c r="R3" s="12">
        <v>0.0</v>
      </c>
      <c r="S3" s="12">
        <v>0.0</v>
      </c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2">
        <v>5.84325</v>
      </c>
      <c r="I4" s="12">
        <v>2.06865</v>
      </c>
      <c r="J4" s="12">
        <v>11.00256</v>
      </c>
      <c r="K4" s="12">
        <v>5.93352</v>
      </c>
      <c r="L4" s="12">
        <v>0.0</v>
      </c>
      <c r="M4" s="12">
        <v>14.38692</v>
      </c>
      <c r="N4" s="12">
        <v>0.0</v>
      </c>
      <c r="O4" s="12">
        <v>4.59608</v>
      </c>
      <c r="P4" s="12">
        <v>16.03664</v>
      </c>
      <c r="Q4" s="12">
        <v>6.52912</v>
      </c>
      <c r="R4" s="12">
        <v>2.4696</v>
      </c>
      <c r="S4" s="12">
        <v>1.305</v>
      </c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2">
        <v>1.6902</v>
      </c>
      <c r="I5" s="12">
        <v>0.0</v>
      </c>
      <c r="J5" s="12">
        <v>0.665</v>
      </c>
      <c r="K5" s="12">
        <v>1.3654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7.16418</v>
      </c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2">
        <v>9.059</v>
      </c>
      <c r="I6" s="12">
        <v>38.1711662</v>
      </c>
      <c r="J6" s="12">
        <v>27.26396</v>
      </c>
      <c r="K6" s="12">
        <v>1.86624</v>
      </c>
      <c r="L6" s="12">
        <v>44.29957</v>
      </c>
      <c r="M6" s="12">
        <v>24.7018</v>
      </c>
      <c r="N6" s="12">
        <v>26.67649</v>
      </c>
      <c r="O6" s="12">
        <v>24.57961</v>
      </c>
      <c r="P6" s="12">
        <v>7.93524</v>
      </c>
      <c r="Q6" s="12">
        <v>0.0</v>
      </c>
      <c r="R6" s="12">
        <v>10.29909</v>
      </c>
      <c r="S6" s="12">
        <v>0.0</v>
      </c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2">
        <v>0.0</v>
      </c>
      <c r="I7" s="12">
        <v>1.07244</v>
      </c>
      <c r="J7" s="12">
        <v>0.0</v>
      </c>
      <c r="K7" s="12">
        <v>0.7614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0.04374</v>
      </c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2">
        <v>0.0</v>
      </c>
      <c r="I8" s="12">
        <v>0.0</v>
      </c>
      <c r="J8" s="12">
        <v>17.085656</v>
      </c>
      <c r="K8" s="12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2">
        <v>0.0</v>
      </c>
      <c r="I9" s="12">
        <v>0.0</v>
      </c>
      <c r="J9" s="12">
        <v>13.22352</v>
      </c>
      <c r="K9" s="12">
        <v>17.53488</v>
      </c>
      <c r="L9" s="12">
        <v>0.0</v>
      </c>
      <c r="M9" s="12">
        <v>0.0</v>
      </c>
      <c r="N9" s="12">
        <v>9.51283</v>
      </c>
      <c r="O9" s="12">
        <v>60.3955334</v>
      </c>
      <c r="P9" s="12">
        <v>0.0</v>
      </c>
      <c r="Q9" s="12">
        <v>0.0</v>
      </c>
      <c r="R9" s="12">
        <v>42.56197</v>
      </c>
      <c r="S9" s="12">
        <v>0.0</v>
      </c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2">
        <v>0.0</v>
      </c>
      <c r="I11" s="12">
        <v>0.0</v>
      </c>
      <c r="J11" s="12">
        <v>57.7683636</v>
      </c>
      <c r="K11" s="12">
        <v>27.3294746</v>
      </c>
      <c r="L11" s="12">
        <v>7.68901</v>
      </c>
      <c r="M11" s="12">
        <v>18.31276</v>
      </c>
      <c r="N11" s="12">
        <v>34.39893</v>
      </c>
      <c r="O11" s="12">
        <v>22.43852</v>
      </c>
      <c r="P11" s="12">
        <v>0.0</v>
      </c>
      <c r="Q11" s="12">
        <v>0.0</v>
      </c>
      <c r="R11" s="12">
        <v>35.566719</v>
      </c>
      <c r="S11" s="12">
        <v>38.131962800000004</v>
      </c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2">
        <v>3.23827</v>
      </c>
      <c r="I12" s="12">
        <v>3.34381</v>
      </c>
      <c r="J12" s="12">
        <v>24.64207</v>
      </c>
      <c r="K12" s="12">
        <v>16.4928699</v>
      </c>
      <c r="L12" s="12">
        <v>32.52255</v>
      </c>
      <c r="M12" s="12">
        <v>0.32492</v>
      </c>
      <c r="N12" s="12">
        <v>3.81585</v>
      </c>
      <c r="O12" s="12">
        <v>1.7496</v>
      </c>
      <c r="P12" s="12">
        <v>0.54459</v>
      </c>
      <c r="Q12" s="12">
        <v>34.74136</v>
      </c>
      <c r="R12" s="12">
        <v>43.17629</v>
      </c>
      <c r="S12" s="12">
        <v>31.6712125</v>
      </c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2">
        <v>0.0</v>
      </c>
      <c r="I13" s="12">
        <v>1.62</v>
      </c>
      <c r="J13" s="12">
        <v>0.0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14.37482</v>
      </c>
      <c r="Q13" s="12">
        <v>10.000201</v>
      </c>
      <c r="R13" s="12">
        <v>95.83653960000001</v>
      </c>
      <c r="S13" s="12">
        <v>1.36528</v>
      </c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6.48972</v>
      </c>
      <c r="Q14" s="12">
        <v>0.0</v>
      </c>
      <c r="R14" s="12">
        <v>4.31676</v>
      </c>
      <c r="S14" s="12">
        <v>2.8512</v>
      </c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2">
        <v>8.3104</v>
      </c>
      <c r="I17" s="12">
        <v>6.8256</v>
      </c>
      <c r="J17" s="12">
        <v>4.9788</v>
      </c>
      <c r="K17" s="12">
        <v>25.9441</v>
      </c>
      <c r="L17" s="12">
        <v>6.1938</v>
      </c>
      <c r="M17" s="12">
        <v>0.0</v>
      </c>
      <c r="N17" s="12">
        <v>13.831</v>
      </c>
      <c r="O17" s="12">
        <v>20.2119</v>
      </c>
      <c r="P17" s="12">
        <v>10.0535</v>
      </c>
      <c r="Q17" s="12">
        <v>6.31349</v>
      </c>
      <c r="R17" s="12">
        <v>4.39391</v>
      </c>
      <c r="S17" s="12">
        <v>6.6323</v>
      </c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2">
        <v>0.0</v>
      </c>
      <c r="I18" s="12">
        <v>0.33365</v>
      </c>
      <c r="J18" s="12">
        <v>1.05732</v>
      </c>
      <c r="K18" s="12">
        <v>2.2356</v>
      </c>
      <c r="L18" s="12">
        <v>0.85644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2">
        <v>17.15599</v>
      </c>
      <c r="I19" s="12">
        <v>14.0224</v>
      </c>
      <c r="J19" s="12">
        <v>26.4952</v>
      </c>
      <c r="K19" s="12">
        <v>3.4524</v>
      </c>
      <c r="L19" s="12">
        <v>0.0</v>
      </c>
      <c r="M19" s="12">
        <v>14.3001</v>
      </c>
      <c r="N19" s="12">
        <v>1.0368</v>
      </c>
      <c r="O19" s="12">
        <v>19.35126</v>
      </c>
      <c r="P19" s="12">
        <v>5.6691</v>
      </c>
      <c r="Q19" s="12">
        <v>16.23429</v>
      </c>
      <c r="R19" s="12">
        <v>13.2543</v>
      </c>
      <c r="S19" s="12">
        <v>13.1004</v>
      </c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2">
        <v>28.08372</v>
      </c>
      <c r="I20" s="12">
        <v>7.60266</v>
      </c>
      <c r="J20" s="12">
        <v>38.70955</v>
      </c>
      <c r="K20" s="12">
        <v>12.39076</v>
      </c>
      <c r="L20" s="12">
        <v>5.67055</v>
      </c>
      <c r="M20" s="12">
        <v>24.02855</v>
      </c>
      <c r="N20" s="12">
        <v>58.19561</v>
      </c>
      <c r="O20" s="12">
        <v>25.377795</v>
      </c>
      <c r="P20" s="12">
        <v>21.69326</v>
      </c>
      <c r="Q20" s="12">
        <v>0.0</v>
      </c>
      <c r="R20" s="12">
        <v>7.41582</v>
      </c>
      <c r="S20" s="12">
        <v>40.73789</v>
      </c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2">
        <v>111.94433</v>
      </c>
      <c r="I21" s="12">
        <v>138.69655</v>
      </c>
      <c r="J21" s="12">
        <v>109.31573</v>
      </c>
      <c r="K21" s="12">
        <v>135.00949</v>
      </c>
      <c r="L21" s="12">
        <v>69.89999</v>
      </c>
      <c r="M21" s="12">
        <v>154.17833</v>
      </c>
      <c r="N21" s="12">
        <v>163.90889</v>
      </c>
      <c r="O21" s="12">
        <v>46.90741</v>
      </c>
      <c r="P21" s="12">
        <v>62.77543</v>
      </c>
      <c r="Q21" s="12">
        <v>61.94156</v>
      </c>
      <c r="R21" s="12">
        <v>166.15699</v>
      </c>
      <c r="S21" s="12">
        <v>202.62871</v>
      </c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2">
        <v>42.98261</v>
      </c>
      <c r="I22" s="12">
        <v>0.0</v>
      </c>
      <c r="J22" s="12">
        <v>9.9846</v>
      </c>
      <c r="K22" s="12">
        <v>22.4027</v>
      </c>
      <c r="L22" s="12">
        <v>26.90176</v>
      </c>
      <c r="M22" s="12">
        <v>12.98952</v>
      </c>
      <c r="N22" s="12">
        <v>18.2967336</v>
      </c>
      <c r="O22" s="12">
        <v>0.0</v>
      </c>
      <c r="P22" s="12">
        <v>0.0</v>
      </c>
      <c r="Q22" s="12">
        <v>6.264</v>
      </c>
      <c r="R22" s="12">
        <v>0.0</v>
      </c>
      <c r="S22" s="12">
        <v>37.9608984</v>
      </c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2">
        <v>9.5364</v>
      </c>
      <c r="I23" s="12">
        <v>53.2548</v>
      </c>
      <c r="J23" s="12">
        <v>0.0</v>
      </c>
      <c r="K23" s="12">
        <v>57.888</v>
      </c>
      <c r="L23" s="12">
        <v>48.5568</v>
      </c>
      <c r="M23" s="12">
        <v>0.0</v>
      </c>
      <c r="N23" s="12">
        <v>78.4404</v>
      </c>
      <c r="O23" s="12">
        <v>0.0</v>
      </c>
      <c r="P23" s="12">
        <v>72.9756</v>
      </c>
      <c r="Q23" s="12">
        <v>0.0</v>
      </c>
      <c r="R23" s="12">
        <v>0.0</v>
      </c>
      <c r="S23" s="12">
        <v>0.0</v>
      </c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2">
        <v>0.0</v>
      </c>
      <c r="I24" s="12">
        <v>33.4004076</v>
      </c>
      <c r="J24" s="12">
        <v>8.17553</v>
      </c>
      <c r="K24" s="12">
        <v>0.0</v>
      </c>
      <c r="L24" s="12">
        <v>0.0</v>
      </c>
      <c r="M24" s="12">
        <v>0.0</v>
      </c>
      <c r="N24" s="12">
        <v>28.63862</v>
      </c>
      <c r="O24" s="12">
        <v>0.0</v>
      </c>
      <c r="P24" s="12">
        <v>0.0</v>
      </c>
      <c r="Q24" s="12">
        <v>8.20044</v>
      </c>
      <c r="R24" s="12">
        <v>0.0</v>
      </c>
      <c r="S24" s="12">
        <v>4.0662</v>
      </c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2">
        <v>6.36746</v>
      </c>
      <c r="I25" s="12">
        <v>0.0</v>
      </c>
      <c r="J25" s="12">
        <v>0.3348</v>
      </c>
      <c r="K25" s="12">
        <v>0.0</v>
      </c>
      <c r="L25" s="12">
        <v>0.0</v>
      </c>
      <c r="M25" s="12">
        <v>15.88452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2">
        <v>0.0</v>
      </c>
      <c r="I26" s="12">
        <v>1.512</v>
      </c>
      <c r="J26" s="12">
        <v>0.0</v>
      </c>
      <c r="K26" s="12">
        <v>0.98112</v>
      </c>
      <c r="L26" s="12">
        <v>0.0</v>
      </c>
      <c r="M26" s="12">
        <v>0.0</v>
      </c>
      <c r="N26" s="12">
        <v>1.6352</v>
      </c>
      <c r="O26" s="12">
        <v>0.0</v>
      </c>
      <c r="P26" s="12">
        <v>4.672</v>
      </c>
      <c r="Q26" s="12">
        <v>1.6352</v>
      </c>
      <c r="R26" s="12">
        <v>0.0</v>
      </c>
      <c r="S26" s="12">
        <v>0.0</v>
      </c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2">
        <v>0.0</v>
      </c>
      <c r="I27" s="12">
        <v>0.0</v>
      </c>
      <c r="J27" s="12">
        <v>1.62</v>
      </c>
      <c r="K27" s="12">
        <v>4.05</v>
      </c>
      <c r="L27" s="12">
        <v>0.0</v>
      </c>
      <c r="M27" s="12">
        <v>4.05</v>
      </c>
      <c r="N27" s="12">
        <v>8.1</v>
      </c>
      <c r="O27" s="12">
        <v>0.0</v>
      </c>
      <c r="P27" s="12">
        <v>16.82698</v>
      </c>
      <c r="Q27" s="12">
        <v>9.72331</v>
      </c>
      <c r="R27" s="12">
        <v>9.91443</v>
      </c>
      <c r="S27" s="12">
        <v>10.76809</v>
      </c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3.16764</v>
      </c>
      <c r="Q28" s="12">
        <v>0.0</v>
      </c>
      <c r="R28" s="12">
        <v>0.0</v>
      </c>
      <c r="S28" s="12">
        <v>0.77328</v>
      </c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6.96384</v>
      </c>
      <c r="P29" s="12">
        <v>9.58794</v>
      </c>
      <c r="Q29" s="12">
        <v>6.696</v>
      </c>
      <c r="R29" s="12">
        <v>0.0</v>
      </c>
      <c r="S29" s="12">
        <v>0.0</v>
      </c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12.01782</v>
      </c>
      <c r="R30" s="12">
        <v>19.2844044</v>
      </c>
      <c r="S30" s="12">
        <v>3.75732</v>
      </c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3.24</v>
      </c>
      <c r="R31" s="12">
        <v>3.24</v>
      </c>
      <c r="S31" s="12">
        <v>3.24</v>
      </c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2">
        <v>37.7136</v>
      </c>
      <c r="I33" s="12">
        <v>14.688</v>
      </c>
      <c r="J33" s="12">
        <v>6.6528</v>
      </c>
      <c r="K33" s="12">
        <v>10.692</v>
      </c>
      <c r="L33" s="12">
        <v>10.635</v>
      </c>
      <c r="M33" s="12">
        <v>26.838</v>
      </c>
      <c r="N33" s="12">
        <v>26.406</v>
      </c>
      <c r="O33" s="12">
        <v>0.0</v>
      </c>
      <c r="P33" s="12">
        <v>0.792</v>
      </c>
      <c r="Q33" s="12">
        <v>11.4066</v>
      </c>
      <c r="R33" s="12">
        <v>30.2616</v>
      </c>
      <c r="S33" s="12">
        <v>23.814</v>
      </c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2">
        <v>4.2984</v>
      </c>
      <c r="I34" s="12">
        <v>5.1894</v>
      </c>
      <c r="J34" s="12">
        <v>0.0</v>
      </c>
      <c r="K34" s="12">
        <v>9.4608</v>
      </c>
      <c r="L34" s="12">
        <v>6.34392</v>
      </c>
      <c r="M34" s="12">
        <v>0.0</v>
      </c>
      <c r="N34" s="12">
        <v>3.04992</v>
      </c>
      <c r="O34" s="12">
        <v>0.0</v>
      </c>
      <c r="P34" s="12">
        <v>0.0</v>
      </c>
      <c r="Q34" s="12">
        <v>0.0</v>
      </c>
      <c r="R34" s="12">
        <v>0.0</v>
      </c>
      <c r="S34" s="12">
        <v>0.0</v>
      </c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2">
        <v>0.0</v>
      </c>
      <c r="I35" s="12">
        <v>3.89556</v>
      </c>
      <c r="J35" s="12">
        <v>0.0</v>
      </c>
      <c r="K35" s="12">
        <v>0.0</v>
      </c>
      <c r="L35" s="12">
        <v>16.49592</v>
      </c>
      <c r="M35" s="12">
        <v>0.0</v>
      </c>
      <c r="N35" s="12">
        <v>19.37844</v>
      </c>
      <c r="O35" s="12">
        <v>22.06462</v>
      </c>
      <c r="P35" s="12">
        <v>3.92796</v>
      </c>
      <c r="Q35" s="12">
        <v>0.0</v>
      </c>
      <c r="R35" s="12">
        <v>0.0</v>
      </c>
      <c r="S35" s="12">
        <v>15.829688</v>
      </c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2">
        <v>0.0</v>
      </c>
      <c r="I36" s="12">
        <v>25.9609</v>
      </c>
      <c r="J36" s="12">
        <v>27.52062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6.51084</v>
      </c>
      <c r="R36" s="12">
        <v>5.87321</v>
      </c>
      <c r="S36" s="12">
        <v>0.0</v>
      </c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3.96619</v>
      </c>
      <c r="N37" s="12">
        <v>0.0</v>
      </c>
      <c r="O37" s="12">
        <v>31.0049046</v>
      </c>
      <c r="P37" s="12">
        <v>12.77364</v>
      </c>
      <c r="Q37" s="12">
        <v>28.0134592</v>
      </c>
      <c r="R37" s="12">
        <v>21.69844</v>
      </c>
      <c r="S37" s="12">
        <v>2.1431402</v>
      </c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2">
        <v>0.0</v>
      </c>
      <c r="I38" s="12">
        <v>0.0</v>
      </c>
      <c r="J38" s="12">
        <v>0.0</v>
      </c>
      <c r="K38" s="12">
        <v>7.02</v>
      </c>
      <c r="L38" s="12">
        <v>0.0</v>
      </c>
      <c r="M38" s="12">
        <v>0.0</v>
      </c>
      <c r="N38" s="12">
        <v>0.0</v>
      </c>
      <c r="O38" s="12">
        <v>0.0</v>
      </c>
      <c r="P38" s="12">
        <v>0.0</v>
      </c>
      <c r="Q38" s="12">
        <v>0.0</v>
      </c>
      <c r="R38" s="12">
        <v>0.0</v>
      </c>
      <c r="S38" s="12">
        <v>0.0</v>
      </c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2">
        <v>6.70597</v>
      </c>
      <c r="I39" s="12">
        <v>9.41272</v>
      </c>
      <c r="J39" s="12">
        <v>2.66448</v>
      </c>
      <c r="K39" s="12">
        <v>4.00129</v>
      </c>
      <c r="L39" s="12">
        <v>10.5896</v>
      </c>
      <c r="M39" s="12">
        <v>2.45953</v>
      </c>
      <c r="N39" s="12">
        <v>10.48238</v>
      </c>
      <c r="O39" s="12">
        <v>0.8952</v>
      </c>
      <c r="P39" s="12">
        <v>0.61488</v>
      </c>
      <c r="Q39" s="12">
        <v>8.74496</v>
      </c>
      <c r="R39" s="12">
        <v>0.20496</v>
      </c>
      <c r="S39" s="12">
        <v>2.29808</v>
      </c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2">
        <v>0.0</v>
      </c>
      <c r="I40" s="12">
        <v>0.0</v>
      </c>
      <c r="J40" s="12">
        <v>5.4896</v>
      </c>
      <c r="K40" s="12">
        <v>1.728</v>
      </c>
      <c r="L40" s="12">
        <v>0.0</v>
      </c>
      <c r="M40" s="12">
        <v>0.0</v>
      </c>
      <c r="N40" s="12">
        <v>1.728</v>
      </c>
      <c r="O40" s="12">
        <v>0.0</v>
      </c>
      <c r="P40" s="12">
        <v>0.0</v>
      </c>
      <c r="Q40" s="12">
        <v>0.0</v>
      </c>
      <c r="R40" s="12">
        <v>6.20664</v>
      </c>
      <c r="S40" s="12">
        <v>1.9008</v>
      </c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2">
        <v>0.0</v>
      </c>
      <c r="I41" s="12">
        <v>0.0</v>
      </c>
      <c r="J41" s="12">
        <v>0.0</v>
      </c>
      <c r="K41" s="12">
        <v>7.32883</v>
      </c>
      <c r="L41" s="12">
        <v>0.0</v>
      </c>
      <c r="M41" s="12">
        <v>0.0</v>
      </c>
      <c r="N41" s="12">
        <v>0.0</v>
      </c>
      <c r="O41" s="12">
        <v>0.0</v>
      </c>
      <c r="P41" s="12">
        <v>0.0</v>
      </c>
      <c r="Q41" s="12">
        <v>0.0</v>
      </c>
      <c r="R41" s="12">
        <v>0.0</v>
      </c>
      <c r="S41" s="12">
        <v>0.0</v>
      </c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2">
        <v>57.94306</v>
      </c>
      <c r="I42" s="12">
        <v>0.0</v>
      </c>
      <c r="J42" s="12">
        <v>75.95676</v>
      </c>
      <c r="K42" s="12">
        <v>42.70346</v>
      </c>
      <c r="L42" s="12">
        <v>0.0</v>
      </c>
      <c r="M42" s="12">
        <v>0.0</v>
      </c>
      <c r="N42" s="12">
        <v>14.91115</v>
      </c>
      <c r="O42" s="12">
        <v>8.75579</v>
      </c>
      <c r="P42" s="12">
        <v>33.25049</v>
      </c>
      <c r="Q42" s="12">
        <v>13.08353</v>
      </c>
      <c r="R42" s="12">
        <v>10.90853</v>
      </c>
      <c r="S42" s="12">
        <v>33.43082</v>
      </c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2">
        <v>0.0</v>
      </c>
      <c r="I43" s="12">
        <v>5.06844</v>
      </c>
      <c r="J43" s="12">
        <v>3.907595</v>
      </c>
      <c r="K43" s="12">
        <v>0.0</v>
      </c>
      <c r="L43" s="12">
        <v>2.6676</v>
      </c>
      <c r="M43" s="12">
        <v>21.59563</v>
      </c>
      <c r="N43" s="12">
        <v>8.62349</v>
      </c>
      <c r="O43" s="12">
        <v>2.93024</v>
      </c>
      <c r="P43" s="12">
        <v>3.73464</v>
      </c>
      <c r="Q43" s="12">
        <v>10.43996</v>
      </c>
      <c r="R43" s="12">
        <v>0.0</v>
      </c>
      <c r="S43" s="12">
        <v>8.66291</v>
      </c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2">
        <v>2.16</v>
      </c>
      <c r="I44" s="12">
        <v>0.0</v>
      </c>
      <c r="J44" s="12">
        <v>1.92672</v>
      </c>
      <c r="K44" s="12">
        <v>2.39425</v>
      </c>
      <c r="L44" s="12">
        <v>2.16756</v>
      </c>
      <c r="M44" s="12">
        <v>2.46996</v>
      </c>
      <c r="N44" s="12">
        <v>3.30696</v>
      </c>
      <c r="O44" s="12">
        <v>3.50363</v>
      </c>
      <c r="P44" s="12">
        <v>5.18508</v>
      </c>
      <c r="Q44" s="12">
        <v>8.74044</v>
      </c>
      <c r="R44" s="12">
        <v>7.02378</v>
      </c>
      <c r="S44" s="12">
        <v>2.36628</v>
      </c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  <c r="M45" s="12">
        <v>0.0</v>
      </c>
      <c r="N45" s="12">
        <v>0.0</v>
      </c>
      <c r="O45" s="12">
        <v>0.0</v>
      </c>
      <c r="P45" s="12">
        <v>0.0</v>
      </c>
      <c r="Q45" s="12">
        <v>0.0</v>
      </c>
      <c r="R45" s="12">
        <v>0.0</v>
      </c>
      <c r="S45" s="12">
        <v>0.0</v>
      </c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2">
        <v>0.0</v>
      </c>
      <c r="I46" s="12">
        <v>0.0</v>
      </c>
      <c r="J46" s="12">
        <v>0.0</v>
      </c>
      <c r="K46" s="12">
        <v>0.0</v>
      </c>
      <c r="L46" s="12">
        <v>0.0</v>
      </c>
      <c r="M46" s="12">
        <v>0.0</v>
      </c>
      <c r="N46" s="12">
        <v>0.0</v>
      </c>
      <c r="O46" s="12">
        <v>0.0</v>
      </c>
      <c r="P46" s="12">
        <v>0.0</v>
      </c>
      <c r="Q46" s="12">
        <v>5.11056</v>
      </c>
      <c r="R46" s="12">
        <v>0.0</v>
      </c>
      <c r="S46" s="12">
        <v>6.723</v>
      </c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  <c r="M47" s="12">
        <v>0.0</v>
      </c>
      <c r="N47" s="12">
        <v>0.0</v>
      </c>
      <c r="O47" s="12">
        <v>0.0</v>
      </c>
      <c r="P47" s="12">
        <v>0.0</v>
      </c>
      <c r="Q47" s="12">
        <v>0.0</v>
      </c>
      <c r="R47" s="12">
        <v>0.0</v>
      </c>
      <c r="S47" s="12">
        <v>0.0</v>
      </c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  <c r="Q48" s="12">
        <v>0.0</v>
      </c>
      <c r="R48" s="12">
        <v>0.0</v>
      </c>
      <c r="S48" s="12">
        <v>0.0</v>
      </c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2">
        <v>184.44535</v>
      </c>
      <c r="I49" s="12">
        <v>64.80496</v>
      </c>
      <c r="J49" s="12">
        <v>324.1196362</v>
      </c>
      <c r="K49" s="12">
        <v>164.92175</v>
      </c>
      <c r="L49" s="12">
        <v>152.6885713</v>
      </c>
      <c r="M49" s="12">
        <v>166.2987467</v>
      </c>
      <c r="N49" s="12">
        <v>150.47329</v>
      </c>
      <c r="O49" s="12">
        <v>146.3152574</v>
      </c>
      <c r="P49" s="12">
        <v>163.42134</v>
      </c>
      <c r="Q49" s="12">
        <v>106.41939</v>
      </c>
      <c r="R49" s="12">
        <v>116.02194</v>
      </c>
      <c r="S49" s="12">
        <v>204.7046522</v>
      </c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2">
        <v>18.3698</v>
      </c>
      <c r="I50" s="12">
        <v>3.65804</v>
      </c>
      <c r="J50" s="12">
        <v>0.0</v>
      </c>
      <c r="K50" s="12">
        <v>0.0</v>
      </c>
      <c r="L50" s="12">
        <v>24.80482</v>
      </c>
      <c r="M50" s="12">
        <v>34.51713</v>
      </c>
      <c r="N50" s="12">
        <v>0.0</v>
      </c>
      <c r="O50" s="12">
        <v>36.66119</v>
      </c>
      <c r="P50" s="12">
        <v>92.95125</v>
      </c>
      <c r="Q50" s="12">
        <v>19.96687</v>
      </c>
      <c r="R50" s="12">
        <v>12.36909</v>
      </c>
      <c r="S50" s="12">
        <v>6.61263</v>
      </c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  <c r="M51" s="12">
        <v>0.0</v>
      </c>
      <c r="N51" s="12">
        <v>0.0</v>
      </c>
      <c r="O51" s="12">
        <v>0.0</v>
      </c>
      <c r="P51" s="12">
        <v>0.0</v>
      </c>
      <c r="Q51" s="12">
        <v>0.0</v>
      </c>
      <c r="R51" s="12">
        <v>0.0</v>
      </c>
      <c r="S51" s="12">
        <v>0.0</v>
      </c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2">
        <v>265.34947</v>
      </c>
      <c r="I52" s="12">
        <v>178.89587</v>
      </c>
      <c r="J52" s="12">
        <v>161.82714940000002</v>
      </c>
      <c r="K52" s="12">
        <v>156.07926</v>
      </c>
      <c r="L52" s="12">
        <v>165.32796199999999</v>
      </c>
      <c r="M52" s="12">
        <v>178.29957399999998</v>
      </c>
      <c r="N52" s="12">
        <v>173.32419</v>
      </c>
      <c r="O52" s="12">
        <v>150.71288</v>
      </c>
      <c r="P52" s="12">
        <v>301.58898600000003</v>
      </c>
      <c r="Q52" s="12">
        <v>139.7258387</v>
      </c>
      <c r="R52" s="12">
        <v>141.5864667</v>
      </c>
      <c r="S52" s="12">
        <v>117.68548</v>
      </c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2">
        <v>6.56004</v>
      </c>
      <c r="I53" s="12">
        <v>0.0</v>
      </c>
      <c r="J53" s="12">
        <v>7.6137795</v>
      </c>
      <c r="K53" s="12">
        <v>9.6337</v>
      </c>
      <c r="L53" s="12">
        <v>10.013224000000001</v>
      </c>
      <c r="M53" s="12">
        <v>0.0</v>
      </c>
      <c r="N53" s="12">
        <v>0.0</v>
      </c>
      <c r="O53" s="12">
        <v>13.89685</v>
      </c>
      <c r="P53" s="12">
        <v>7.95497</v>
      </c>
      <c r="Q53" s="12">
        <v>0.0</v>
      </c>
      <c r="R53" s="12">
        <v>0.0</v>
      </c>
      <c r="S53" s="12">
        <v>11.23732</v>
      </c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2">
        <v>0.0</v>
      </c>
      <c r="I54" s="12">
        <v>0.0</v>
      </c>
      <c r="J54" s="12">
        <v>6.5821</v>
      </c>
      <c r="K54" s="12">
        <v>0.0</v>
      </c>
      <c r="L54" s="12">
        <v>0.0</v>
      </c>
      <c r="M54" s="12">
        <v>0.0</v>
      </c>
      <c r="N54" s="12">
        <v>6.55577</v>
      </c>
      <c r="O54" s="12">
        <v>0.0</v>
      </c>
      <c r="P54" s="12">
        <v>0.0</v>
      </c>
      <c r="Q54" s="12">
        <v>4.66481</v>
      </c>
      <c r="R54" s="12">
        <v>0.53417</v>
      </c>
      <c r="S54" s="12">
        <v>0.0</v>
      </c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2">
        <v>15.5473</v>
      </c>
      <c r="I55" s="12">
        <v>13.71122</v>
      </c>
      <c r="J55" s="12">
        <v>8.37641</v>
      </c>
      <c r="K55" s="12">
        <v>19.79999</v>
      </c>
      <c r="L55" s="12">
        <v>15.29236</v>
      </c>
      <c r="M55" s="12">
        <v>8.05215</v>
      </c>
      <c r="N55" s="12">
        <v>0.0</v>
      </c>
      <c r="O55" s="12">
        <v>14.9267</v>
      </c>
      <c r="P55" s="12">
        <v>6.56253</v>
      </c>
      <c r="Q55" s="12">
        <v>12.28691</v>
      </c>
      <c r="R55" s="12">
        <v>18.62856</v>
      </c>
      <c r="S55" s="12">
        <v>0.0</v>
      </c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2">
        <v>0.0</v>
      </c>
      <c r="I56" s="12">
        <v>0.0</v>
      </c>
      <c r="J56" s="12">
        <v>0.0</v>
      </c>
      <c r="K56" s="12">
        <v>0.0</v>
      </c>
      <c r="L56" s="12">
        <v>0.0</v>
      </c>
      <c r="M56" s="12">
        <v>0.0</v>
      </c>
      <c r="N56" s="12">
        <v>0.0</v>
      </c>
      <c r="O56" s="12">
        <v>0.0</v>
      </c>
      <c r="P56" s="12">
        <v>0.0</v>
      </c>
      <c r="Q56" s="12">
        <v>0.0</v>
      </c>
      <c r="R56" s="12">
        <v>0.0</v>
      </c>
      <c r="S56" s="12">
        <v>0.0</v>
      </c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  <c r="M57" s="12">
        <v>0.0</v>
      </c>
      <c r="N57" s="12">
        <v>0.0</v>
      </c>
      <c r="O57" s="12">
        <v>0.0</v>
      </c>
      <c r="P57" s="12">
        <v>0.0</v>
      </c>
      <c r="Q57" s="12">
        <v>0.0</v>
      </c>
      <c r="R57" s="12">
        <v>0.0</v>
      </c>
      <c r="S57" s="12">
        <v>0.0</v>
      </c>
    </row>
    <row r="58" ht="14.25" customHeight="1">
      <c r="A58" s="5" t="s">
        <v>7</v>
      </c>
      <c r="B58" s="1" t="s">
        <v>99</v>
      </c>
      <c r="C58" s="1" t="str">
        <f>VLOOKUP(B58,Mapping!B:C,2,0)</f>
        <v>Lateral</v>
      </c>
      <c r="D58" s="1" t="str">
        <f>VLOOKUP(B58,Mapping!B:D,3,0)</f>
        <v>North</v>
      </c>
      <c r="E58" s="1" t="str">
        <f>VLOOKUP(B58,Mapping!B:E,4,0)</f>
        <v>North</v>
      </c>
      <c r="F58" s="1" t="str">
        <f>VLOOKUP(B58,Mapping!B:F,5,0)</f>
        <v>Anjli</v>
      </c>
      <c r="G58" s="6" t="str">
        <f>VLOOKUP(B58,Mapping!B:G,6,0)</f>
        <v>Anjli</v>
      </c>
      <c r="H58" s="12">
        <v>0.0</v>
      </c>
      <c r="I58" s="12">
        <v>14.07888</v>
      </c>
      <c r="J58" s="12">
        <v>0.65235</v>
      </c>
      <c r="K58" s="12">
        <v>0.0</v>
      </c>
      <c r="L58" s="12">
        <v>0.0</v>
      </c>
      <c r="M58" s="12">
        <v>0.0</v>
      </c>
      <c r="N58" s="12">
        <v>0.0</v>
      </c>
      <c r="O58" s="12">
        <v>0.0</v>
      </c>
      <c r="P58" s="12">
        <v>0.0</v>
      </c>
      <c r="Q58" s="12">
        <v>0.0</v>
      </c>
      <c r="R58" s="12">
        <v>0.0</v>
      </c>
      <c r="S58" s="12">
        <v>0.0</v>
      </c>
    </row>
    <row r="59" ht="14.25" customHeight="1">
      <c r="A59" s="5" t="s">
        <v>7</v>
      </c>
      <c r="B59" s="1" t="s">
        <v>100</v>
      </c>
      <c r="C59" s="1" t="str">
        <f>VLOOKUP(B59,Mapping!B:C,2,0)</f>
        <v>Lateral</v>
      </c>
      <c r="D59" s="1" t="str">
        <f>VLOOKUP(B59,Mapping!B:D,3,0)</f>
        <v>West</v>
      </c>
      <c r="E59" s="1" t="str">
        <f>VLOOKUP(B59,Mapping!B:E,4,0)</f>
        <v>West 1</v>
      </c>
      <c r="F59" s="1" t="str">
        <f>VLOOKUP(B59,Mapping!B:F,5,0)</f>
        <v>Anjli</v>
      </c>
      <c r="G59" s="6" t="str">
        <f>VLOOKUP(B59,Mapping!B:G,6,0)</f>
        <v>Anjli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  <c r="M59" s="12">
        <v>0.0</v>
      </c>
      <c r="N59" s="12">
        <v>0.0</v>
      </c>
      <c r="O59" s="12">
        <v>0.0</v>
      </c>
      <c r="P59" s="12">
        <v>0.0</v>
      </c>
      <c r="Q59" s="12">
        <v>0.0</v>
      </c>
      <c r="R59" s="12">
        <v>0.0</v>
      </c>
      <c r="S59" s="12">
        <v>0.0</v>
      </c>
    </row>
    <row r="60" ht="14.25" customHeight="1">
      <c r="A60" s="5" t="s">
        <v>7</v>
      </c>
      <c r="B60" s="1" t="s">
        <v>101</v>
      </c>
      <c r="C60" s="1" t="str">
        <f>VLOOKUP(B60,Mapping!B:C,2,0)</f>
        <v>Lateral</v>
      </c>
      <c r="D60" s="1" t="str">
        <f>VLOOKUP(B60,Mapping!B:D,3,0)</f>
        <v>West</v>
      </c>
      <c r="E60" s="1" t="str">
        <f>VLOOKUP(B60,Mapping!B:E,4,0)</f>
        <v>West 1</v>
      </c>
      <c r="F60" s="1" t="str">
        <f>VLOOKUP(B60,Mapping!B:F,5,0)</f>
        <v>Anjli</v>
      </c>
      <c r="G60" s="6" t="str">
        <f>VLOOKUP(B60,Mapping!B:G,6,0)</f>
        <v>Anjli</v>
      </c>
      <c r="H60" s="12">
        <v>0.0</v>
      </c>
      <c r="I60" s="12">
        <v>0.0</v>
      </c>
      <c r="J60" s="12">
        <v>0.0</v>
      </c>
      <c r="K60" s="12">
        <v>0.0</v>
      </c>
      <c r="L60" s="12">
        <v>0.0</v>
      </c>
      <c r="M60" s="12">
        <v>3.24</v>
      </c>
      <c r="N60" s="12">
        <v>0.0</v>
      </c>
      <c r="O60" s="12">
        <v>0.0</v>
      </c>
      <c r="P60" s="12">
        <v>0.0</v>
      </c>
      <c r="Q60" s="12">
        <v>0.0</v>
      </c>
      <c r="R60" s="12">
        <v>0.0</v>
      </c>
      <c r="S60" s="12">
        <v>0.0</v>
      </c>
    </row>
    <row r="61" ht="14.25" customHeight="1">
      <c r="A61" s="5" t="s">
        <v>7</v>
      </c>
      <c r="B61" s="1" t="s">
        <v>102</v>
      </c>
      <c r="C61" s="1" t="str">
        <f>VLOOKUP(B61,Mapping!B:C,2,0)</f>
        <v>Lateral</v>
      </c>
      <c r="D61" s="1" t="str">
        <f>VLOOKUP(B61,Mapping!B:D,3,0)</f>
        <v>West</v>
      </c>
      <c r="E61" s="1" t="str">
        <f>VLOOKUP(B61,Mapping!B:E,4,0)</f>
        <v>West 1</v>
      </c>
      <c r="F61" s="1" t="str">
        <f>VLOOKUP(B61,Mapping!B:F,5,0)</f>
        <v>Anjli</v>
      </c>
      <c r="G61" s="6" t="str">
        <f>VLOOKUP(B61,Mapping!B:G,6,0)</f>
        <v>Anjli</v>
      </c>
      <c r="H61" s="12">
        <v>0.0</v>
      </c>
      <c r="I61" s="12">
        <v>0.0</v>
      </c>
      <c r="J61" s="12">
        <v>0.0</v>
      </c>
      <c r="K61" s="12">
        <v>0.0</v>
      </c>
      <c r="L61" s="12">
        <v>0.0</v>
      </c>
      <c r="M61" s="12">
        <v>0.0</v>
      </c>
      <c r="N61" s="12">
        <v>3.82805</v>
      </c>
      <c r="O61" s="12">
        <v>0.0</v>
      </c>
      <c r="P61" s="12">
        <v>0.0</v>
      </c>
      <c r="Q61" s="12">
        <v>0.0</v>
      </c>
      <c r="R61" s="12">
        <v>0.0</v>
      </c>
      <c r="S61" s="12">
        <v>0.0</v>
      </c>
    </row>
    <row r="62" ht="14.25" customHeight="1">
      <c r="A62" s="5" t="s">
        <v>7</v>
      </c>
      <c r="B62" s="1" t="s">
        <v>105</v>
      </c>
      <c r="C62" s="1" t="str">
        <f>VLOOKUP(B62,Mapping!B:C,2,0)</f>
        <v>Lateral</v>
      </c>
      <c r="D62" s="1" t="str">
        <f>VLOOKUP(B62,Mapping!B:D,3,0)</f>
        <v>North</v>
      </c>
      <c r="E62" s="1" t="str">
        <f>VLOOKUP(B62,Mapping!B:E,4,0)</f>
        <v>North</v>
      </c>
      <c r="F62" s="1" t="str">
        <f>VLOOKUP(B62,Mapping!B:F,5,0)</f>
        <v>Anjli</v>
      </c>
      <c r="G62" s="6" t="str">
        <f>VLOOKUP(B62,Mapping!B:G,6,0)</f>
        <v>Anjli</v>
      </c>
      <c r="H62" s="12"/>
      <c r="I62" s="12"/>
      <c r="J62" s="12"/>
      <c r="K62" s="12">
        <v>0.0</v>
      </c>
      <c r="L62" s="12">
        <v>4.86</v>
      </c>
      <c r="M62" s="12">
        <v>0.0</v>
      </c>
      <c r="N62" s="12">
        <v>0.0</v>
      </c>
      <c r="O62" s="12">
        <v>0.0</v>
      </c>
      <c r="P62" s="12">
        <v>0.0</v>
      </c>
      <c r="Q62" s="12">
        <v>0.0</v>
      </c>
      <c r="R62" s="12">
        <v>0.0</v>
      </c>
      <c r="S62" s="12">
        <v>0.0</v>
      </c>
    </row>
    <row r="63" ht="14.25" customHeight="1">
      <c r="A63" s="5" t="s">
        <v>7</v>
      </c>
      <c r="B63" s="1" t="s">
        <v>106</v>
      </c>
      <c r="C63" s="1" t="str">
        <f>VLOOKUP(B63,Mapping!B:C,2,0)</f>
        <v>Lateral</v>
      </c>
      <c r="D63" s="1" t="str">
        <f>VLOOKUP(B63,Mapping!B:D,3,0)</f>
        <v>South</v>
      </c>
      <c r="E63" s="1" t="str">
        <f>VLOOKUP(B63,Mapping!B:E,4,0)</f>
        <v>South 1</v>
      </c>
      <c r="F63" s="1" t="str">
        <f>VLOOKUP(B63,Mapping!B:F,5,0)</f>
        <v>Sulabh</v>
      </c>
      <c r="G63" s="6" t="str">
        <f>VLOOKUP(B63,Mapping!B:G,6,0)</f>
        <v>Parul</v>
      </c>
      <c r="H63" s="19"/>
      <c r="I63" s="19"/>
      <c r="J63" s="19"/>
      <c r="K63" s="19"/>
      <c r="L63" s="19"/>
      <c r="M63" s="12">
        <v>3.81888</v>
      </c>
      <c r="N63" s="12">
        <v>0.0</v>
      </c>
      <c r="O63" s="12">
        <v>0.0</v>
      </c>
      <c r="P63" s="12">
        <v>0.0</v>
      </c>
      <c r="Q63" s="12">
        <v>0.0</v>
      </c>
      <c r="R63" s="12">
        <v>0.0</v>
      </c>
      <c r="S63" s="12">
        <v>0.0</v>
      </c>
    </row>
    <row r="64" ht="14.25" customHeight="1">
      <c r="A64" s="5" t="s">
        <v>7</v>
      </c>
      <c r="B64" s="1" t="s">
        <v>108</v>
      </c>
      <c r="C64" s="1" t="str">
        <f>VLOOKUP(B64,Mapping!B:C,2,0)</f>
        <v>Lateral</v>
      </c>
      <c r="D64" s="1" t="str">
        <f>VLOOKUP(B64,Mapping!B:D,3,0)</f>
        <v>South</v>
      </c>
      <c r="E64" s="1" t="str">
        <f>VLOOKUP(B64,Mapping!B:E,4,0)</f>
        <v>South 1</v>
      </c>
      <c r="F64" s="1" t="str">
        <f>VLOOKUP(B64,Mapping!B:F,5,0)</f>
        <v>Sulabh</v>
      </c>
      <c r="G64" s="6" t="str">
        <f>VLOOKUP(B64,Mapping!B:G,6,0)</f>
        <v>Subu</v>
      </c>
      <c r="H64" s="19"/>
      <c r="I64" s="19"/>
      <c r="J64" s="19"/>
      <c r="K64" s="19"/>
      <c r="L64" s="19"/>
      <c r="M64" s="19"/>
      <c r="N64" s="12">
        <v>0.72</v>
      </c>
      <c r="O64" s="12">
        <v>0.0</v>
      </c>
      <c r="P64" s="12">
        <v>0.0</v>
      </c>
      <c r="Q64" s="12">
        <v>0.0</v>
      </c>
      <c r="R64" s="12">
        <v>0.0</v>
      </c>
      <c r="S64" s="12">
        <v>0.0</v>
      </c>
    </row>
    <row r="65" ht="14.25" customHeight="1">
      <c r="A65" s="5" t="s">
        <v>7</v>
      </c>
      <c r="B65" s="1" t="s">
        <v>103</v>
      </c>
      <c r="C65" s="1" t="str">
        <f>VLOOKUP(B65,Mapping!B:C,2,0)</f>
        <v>Lateral</v>
      </c>
      <c r="D65" s="1" t="str">
        <f>VLOOKUP(B65,Mapping!B:D,3,0)</f>
        <v>West</v>
      </c>
      <c r="E65" s="1" t="str">
        <f>VLOOKUP(B65,Mapping!B:E,4,0)</f>
        <v>West 1</v>
      </c>
      <c r="F65" s="1" t="str">
        <f>VLOOKUP(B65,Mapping!B:F,5,0)</f>
        <v>Anjli</v>
      </c>
      <c r="G65" s="6" t="str">
        <f>VLOOKUP(B65,Mapping!B:G,6,0)</f>
        <v>Anjli</v>
      </c>
      <c r="H65" s="19"/>
      <c r="I65" s="19"/>
      <c r="J65" s="19"/>
      <c r="K65" s="19"/>
      <c r="L65" s="19"/>
      <c r="M65" s="19"/>
      <c r="N65" s="19"/>
      <c r="O65" s="19"/>
      <c r="P65" s="12">
        <v>16.92556</v>
      </c>
      <c r="Q65" s="12">
        <v>0.0</v>
      </c>
      <c r="R65" s="12">
        <v>0.0</v>
      </c>
      <c r="S65" s="12">
        <v>0.0</v>
      </c>
    </row>
    <row r="66" ht="14.25" customHeight="1">
      <c r="A66" s="5" t="s">
        <v>7</v>
      </c>
      <c r="B66" s="1" t="s">
        <v>109</v>
      </c>
      <c r="C66" s="1" t="str">
        <f>VLOOKUP(B66,Mapping!B:C,2,0)</f>
        <v>Lateral</v>
      </c>
      <c r="D66" s="1" t="str">
        <f>VLOOKUP(B66,Mapping!B:D,3,0)</f>
        <v>North</v>
      </c>
      <c r="E66" s="1" t="str">
        <f>VLOOKUP(B66,Mapping!B:E,4,0)</f>
        <v>North</v>
      </c>
      <c r="F66" s="1" t="str">
        <f>VLOOKUP(B66,Mapping!B:F,5,0)</f>
        <v>Ashish</v>
      </c>
      <c r="G66" s="6" t="str">
        <f>VLOOKUP(B66,Mapping!B:G,6,0)</f>
        <v>Ashish</v>
      </c>
      <c r="H66" s="19"/>
      <c r="I66" s="19"/>
      <c r="J66" s="19"/>
      <c r="K66" s="19"/>
      <c r="L66" s="19"/>
      <c r="M66" s="19"/>
      <c r="N66" s="19"/>
      <c r="O66" s="19"/>
      <c r="P66" s="19"/>
      <c r="Q66" s="12">
        <v>17.04236</v>
      </c>
      <c r="R66" s="12">
        <v>0.0</v>
      </c>
      <c r="S66" s="12">
        <v>45.276</v>
      </c>
    </row>
    <row r="67" ht="14.25" customHeight="1">
      <c r="A67" s="5" t="s">
        <v>7</v>
      </c>
      <c r="B67" s="1" t="s">
        <v>111</v>
      </c>
      <c r="C67" s="1" t="str">
        <f>VLOOKUP(B67,Mapping!B:C,2,0)</f>
        <v>Lateral</v>
      </c>
      <c r="D67" s="1" t="str">
        <f>VLOOKUP(B67,Mapping!B:D,3,0)</f>
        <v>West</v>
      </c>
      <c r="E67" s="1" t="str">
        <f>VLOOKUP(B67,Mapping!B:E,4,0)</f>
        <v>West 1</v>
      </c>
      <c r="F67" s="1" t="str">
        <f>VLOOKUP(B67,Mapping!B:F,5,0)</f>
        <v>Anjli</v>
      </c>
      <c r="G67" s="6" t="str">
        <f>VLOOKUP(B67,Mapping!B:G,6,0)</f>
        <v>Anjli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2">
        <v>1.728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>
      <c r="E73" s="7" t="s">
        <v>125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4" width="25.25"/>
    <col customWidth="1" min="5" max="5" width="12.88"/>
    <col customWidth="1" min="6" max="6" width="11.13"/>
    <col customWidth="1" min="7" max="7" width="10.88"/>
    <col customWidth="1" min="8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S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>
        <f t="shared" si="1"/>
        <v>45566</v>
      </c>
      <c r="O1" s="3">
        <f t="shared" si="1"/>
        <v>45597</v>
      </c>
      <c r="P1" s="3">
        <f t="shared" si="1"/>
        <v>45627</v>
      </c>
      <c r="Q1" s="3">
        <f t="shared" si="1"/>
        <v>45658</v>
      </c>
      <c r="R1" s="3">
        <f t="shared" si="1"/>
        <v>45689</v>
      </c>
      <c r="S1" s="3">
        <f t="shared" si="1"/>
        <v>45717</v>
      </c>
    </row>
    <row r="2" ht="14.25" customHeight="1">
      <c r="A2" s="5" t="s">
        <v>7</v>
      </c>
      <c r="B2" s="1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12">
        <v>0.0</v>
      </c>
      <c r="I2" s="12">
        <v>0.0</v>
      </c>
      <c r="J2" s="12">
        <v>0.0</v>
      </c>
      <c r="K2" s="8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</row>
    <row r="3" ht="14.25" customHeight="1">
      <c r="A3" s="5" t="s">
        <v>7</v>
      </c>
      <c r="B3" s="1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12">
        <v>0.0</v>
      </c>
      <c r="I3" s="12">
        <v>0.0</v>
      </c>
      <c r="J3" s="12">
        <v>0.0</v>
      </c>
      <c r="K3" s="8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0.0</v>
      </c>
    </row>
    <row r="4" ht="14.25" customHeight="1">
      <c r="A4" s="5" t="s">
        <v>7</v>
      </c>
      <c r="B4" s="1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12">
        <v>0.0</v>
      </c>
      <c r="I4" s="12">
        <v>0.0</v>
      </c>
      <c r="J4" s="12">
        <v>0.0</v>
      </c>
      <c r="K4" s="8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</row>
    <row r="5" ht="14.25" customHeight="1">
      <c r="A5" s="5" t="s">
        <v>7</v>
      </c>
      <c r="B5" s="1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12">
        <v>0.0</v>
      </c>
      <c r="I5" s="12">
        <v>0.0</v>
      </c>
      <c r="J5" s="12">
        <v>0.0</v>
      </c>
      <c r="K5" s="8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</row>
    <row r="6" ht="14.25" customHeight="1">
      <c r="A6" s="5" t="s">
        <v>7</v>
      </c>
      <c r="B6" s="1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12">
        <v>0.0</v>
      </c>
      <c r="I6" s="12">
        <v>0.0</v>
      </c>
      <c r="J6" s="12">
        <v>0.0</v>
      </c>
      <c r="K6" s="8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</row>
    <row r="7" ht="14.25" customHeight="1">
      <c r="A7" s="5" t="s">
        <v>7</v>
      </c>
      <c r="B7" s="1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12">
        <v>0.0</v>
      </c>
      <c r="I7" s="12">
        <v>0.0</v>
      </c>
      <c r="J7" s="12">
        <v>0.0</v>
      </c>
      <c r="K7" s="8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</row>
    <row r="8" ht="14.25" customHeight="1">
      <c r="A8" s="5" t="s">
        <v>7</v>
      </c>
      <c r="B8" s="1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12">
        <v>0.0</v>
      </c>
      <c r="I8" s="12">
        <v>0.0</v>
      </c>
      <c r="J8" s="12">
        <v>0.0</v>
      </c>
      <c r="K8" s="8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</row>
    <row r="9" ht="14.25" customHeight="1">
      <c r="A9" s="5" t="s">
        <v>7</v>
      </c>
      <c r="B9" s="1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12">
        <v>0.0</v>
      </c>
      <c r="I9" s="12">
        <v>0.0</v>
      </c>
      <c r="J9" s="12">
        <v>0.0</v>
      </c>
      <c r="K9" s="8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</row>
    <row r="10" ht="14.25" customHeight="1">
      <c r="A10" s="5" t="s">
        <v>7</v>
      </c>
      <c r="B10" s="1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12">
        <v>0.0</v>
      </c>
      <c r="I10" s="12">
        <v>0.0</v>
      </c>
      <c r="J10" s="12">
        <v>0.0</v>
      </c>
      <c r="K10" s="8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</row>
    <row r="11" ht="14.25" customHeight="1">
      <c r="A11" s="5" t="s">
        <v>7</v>
      </c>
      <c r="B11" s="1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12">
        <v>0.0</v>
      </c>
      <c r="I11" s="12">
        <v>0.0</v>
      </c>
      <c r="J11" s="12">
        <v>0.0</v>
      </c>
      <c r="K11" s="8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</row>
    <row r="12" ht="14.25" customHeight="1">
      <c r="A12" s="5" t="s">
        <v>7</v>
      </c>
      <c r="B12" s="1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12">
        <v>0.0</v>
      </c>
      <c r="I12" s="12">
        <v>0.0</v>
      </c>
      <c r="J12" s="12">
        <v>0.0</v>
      </c>
      <c r="K12" s="8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</row>
    <row r="13" ht="14.25" customHeight="1">
      <c r="A13" s="5" t="s">
        <v>7</v>
      </c>
      <c r="B13" s="1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12">
        <v>0.0</v>
      </c>
      <c r="I13" s="12">
        <v>0.0</v>
      </c>
      <c r="J13" s="12">
        <v>0.0</v>
      </c>
      <c r="K13" s="8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</row>
    <row r="14" ht="14.25" customHeight="1">
      <c r="A14" s="5" t="s">
        <v>7</v>
      </c>
      <c r="B14" s="1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12">
        <v>0.0</v>
      </c>
      <c r="I14" s="12">
        <v>0.0</v>
      </c>
      <c r="J14" s="12">
        <v>0.0</v>
      </c>
      <c r="K14" s="8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2">
        <v>0.0</v>
      </c>
    </row>
    <row r="15" ht="14.25" customHeight="1">
      <c r="A15" s="5" t="s">
        <v>7</v>
      </c>
      <c r="B15" s="1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12">
        <v>0.0</v>
      </c>
      <c r="I15" s="12">
        <v>0.0</v>
      </c>
      <c r="J15" s="12">
        <v>0.0</v>
      </c>
      <c r="K15" s="8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0.0</v>
      </c>
    </row>
    <row r="16" ht="14.25" customHeight="1">
      <c r="A16" s="5" t="s">
        <v>7</v>
      </c>
      <c r="B16" s="1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12">
        <v>0.0</v>
      </c>
      <c r="I16" s="12">
        <v>0.0</v>
      </c>
      <c r="J16" s="12">
        <v>0.0</v>
      </c>
      <c r="K16" s="8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</row>
    <row r="17" ht="14.25" customHeight="1">
      <c r="A17" s="5" t="s">
        <v>7</v>
      </c>
      <c r="B17" s="1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12">
        <v>0.0</v>
      </c>
      <c r="I17" s="12">
        <v>0.0</v>
      </c>
      <c r="J17" s="12">
        <v>0.0</v>
      </c>
      <c r="K17" s="8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</row>
    <row r="18" ht="14.25" customHeight="1">
      <c r="A18" s="5" t="s">
        <v>7</v>
      </c>
      <c r="B18" s="1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12">
        <v>0.0</v>
      </c>
      <c r="I18" s="12">
        <v>0.0</v>
      </c>
      <c r="J18" s="12">
        <v>0.0</v>
      </c>
      <c r="K18" s="8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</row>
    <row r="19" ht="14.25" customHeight="1">
      <c r="A19" s="5" t="s">
        <v>7</v>
      </c>
      <c r="B19" s="1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12">
        <v>0.0</v>
      </c>
      <c r="I19" s="12">
        <v>0.0</v>
      </c>
      <c r="J19" s="12">
        <v>0.0</v>
      </c>
      <c r="K19" s="8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</row>
    <row r="20" ht="14.25" customHeight="1">
      <c r="A20" s="5" t="s">
        <v>7</v>
      </c>
      <c r="B20" s="1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12">
        <v>0.0</v>
      </c>
      <c r="I20" s="12">
        <v>0.0</v>
      </c>
      <c r="J20" s="12">
        <v>0.0</v>
      </c>
      <c r="K20" s="8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</row>
    <row r="21" ht="14.25" customHeight="1">
      <c r="A21" s="5" t="s">
        <v>7</v>
      </c>
      <c r="B21" s="1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12">
        <v>0.0</v>
      </c>
      <c r="I21" s="12">
        <v>0.0</v>
      </c>
      <c r="J21" s="12">
        <v>0.0</v>
      </c>
      <c r="K21" s="8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</row>
    <row r="22" ht="14.25" customHeight="1">
      <c r="A22" s="5" t="s">
        <v>7</v>
      </c>
      <c r="B22" s="1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12">
        <v>0.0</v>
      </c>
      <c r="I22" s="12">
        <v>0.0</v>
      </c>
      <c r="J22" s="12">
        <v>0.0</v>
      </c>
      <c r="K22" s="8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</row>
    <row r="23" ht="14.25" customHeight="1">
      <c r="A23" s="5" t="s">
        <v>7</v>
      </c>
      <c r="B23" s="1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12">
        <v>0.0</v>
      </c>
      <c r="I23" s="12">
        <v>0.0</v>
      </c>
      <c r="J23" s="12">
        <v>0.0</v>
      </c>
      <c r="K23" s="8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</row>
    <row r="24" ht="14.25" customHeight="1">
      <c r="A24" s="5" t="s">
        <v>7</v>
      </c>
      <c r="B24" s="1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12">
        <v>0.0</v>
      </c>
      <c r="I24" s="12">
        <v>0.0</v>
      </c>
      <c r="J24" s="12">
        <v>0.0</v>
      </c>
      <c r="K24" s="8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</row>
    <row r="25" ht="14.25" customHeight="1">
      <c r="A25" s="5" t="s">
        <v>7</v>
      </c>
      <c r="B25" s="1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12">
        <v>0.0</v>
      </c>
      <c r="I25" s="12">
        <v>0.0</v>
      </c>
      <c r="J25" s="12">
        <v>0.0</v>
      </c>
      <c r="K25" s="8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</row>
    <row r="26" ht="14.25" customHeight="1">
      <c r="A26" s="5" t="s">
        <v>7</v>
      </c>
      <c r="B26" s="1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12">
        <v>0.0</v>
      </c>
      <c r="I26" s="12">
        <v>0.0</v>
      </c>
      <c r="J26" s="12">
        <v>0.0</v>
      </c>
      <c r="K26" s="8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</row>
    <row r="27" ht="14.25" customHeight="1">
      <c r="A27" s="5" t="s">
        <v>7</v>
      </c>
      <c r="B27" s="1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12">
        <v>0.0</v>
      </c>
      <c r="I27" s="12">
        <v>0.0</v>
      </c>
      <c r="J27" s="12">
        <v>0.0</v>
      </c>
      <c r="K27" s="8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</row>
    <row r="28" ht="14.25" customHeight="1">
      <c r="A28" s="5" t="s">
        <v>7</v>
      </c>
      <c r="B28" s="1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12">
        <v>0.0</v>
      </c>
      <c r="I28" s="12">
        <v>0.0</v>
      </c>
      <c r="J28" s="12">
        <v>0.0</v>
      </c>
      <c r="K28" s="8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</row>
    <row r="29" ht="14.25" customHeight="1">
      <c r="A29" s="5" t="s">
        <v>7</v>
      </c>
      <c r="B29" s="1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12">
        <v>0.0</v>
      </c>
      <c r="I29" s="12">
        <v>0.0</v>
      </c>
      <c r="J29" s="12">
        <v>0.0</v>
      </c>
      <c r="K29" s="8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</row>
    <row r="30" ht="14.25" customHeight="1">
      <c r="A30" s="5" t="s">
        <v>7</v>
      </c>
      <c r="B30" s="1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12">
        <v>0.0</v>
      </c>
      <c r="I30" s="12">
        <v>0.0</v>
      </c>
      <c r="J30" s="12">
        <v>0.0</v>
      </c>
      <c r="K30" s="8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</row>
    <row r="31" ht="14.25" customHeight="1">
      <c r="A31" s="5" t="s">
        <v>7</v>
      </c>
      <c r="B31" s="1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12">
        <v>0.0</v>
      </c>
      <c r="I31" s="12">
        <v>0.0</v>
      </c>
      <c r="J31" s="12">
        <v>0.0</v>
      </c>
      <c r="K31" s="8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</row>
    <row r="32" ht="14.25" customHeight="1">
      <c r="A32" s="5" t="s">
        <v>7</v>
      </c>
      <c r="B32" s="1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12">
        <v>0.0</v>
      </c>
      <c r="I32" s="12">
        <v>0.0</v>
      </c>
      <c r="J32" s="12">
        <v>0.0</v>
      </c>
      <c r="K32" s="8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</row>
    <row r="33" ht="14.25" customHeight="1">
      <c r="A33" s="5" t="s">
        <v>7</v>
      </c>
      <c r="B33" s="1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12">
        <v>0.0</v>
      </c>
      <c r="I33" s="12">
        <v>0.0</v>
      </c>
      <c r="J33" s="12">
        <v>0.0</v>
      </c>
      <c r="K33" s="8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2">
        <v>0.0</v>
      </c>
      <c r="R33" s="12">
        <v>0.0</v>
      </c>
      <c r="S33" s="12">
        <v>0.0</v>
      </c>
    </row>
    <row r="34" ht="14.25" customHeight="1">
      <c r="A34" s="5" t="s">
        <v>7</v>
      </c>
      <c r="B34" s="1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12">
        <v>0.0</v>
      </c>
      <c r="I34" s="12">
        <v>0.0</v>
      </c>
      <c r="J34" s="12">
        <v>0.0</v>
      </c>
      <c r="K34" s="8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0.0</v>
      </c>
      <c r="S34" s="12">
        <v>0.0</v>
      </c>
    </row>
    <row r="35" ht="14.25" customHeight="1">
      <c r="A35" s="5" t="s">
        <v>7</v>
      </c>
      <c r="B35" s="1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12">
        <v>0.0</v>
      </c>
      <c r="I35" s="12">
        <v>0.0</v>
      </c>
      <c r="J35" s="12">
        <v>0.0</v>
      </c>
      <c r="K35" s="8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</row>
    <row r="36" ht="14.25" customHeight="1">
      <c r="A36" s="5" t="s">
        <v>7</v>
      </c>
      <c r="B36" s="1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12">
        <v>0.0</v>
      </c>
      <c r="I36" s="12">
        <v>0.0</v>
      </c>
      <c r="J36" s="12">
        <v>0.0</v>
      </c>
      <c r="K36" s="8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0.0</v>
      </c>
      <c r="R36" s="12">
        <v>0.0</v>
      </c>
      <c r="S36" s="12">
        <v>0.0</v>
      </c>
    </row>
    <row r="37" ht="14.25" customHeight="1">
      <c r="A37" s="5" t="s">
        <v>7</v>
      </c>
      <c r="B37" s="1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12">
        <v>0.0</v>
      </c>
      <c r="I37" s="12">
        <v>0.0</v>
      </c>
      <c r="J37" s="12">
        <v>0.0</v>
      </c>
      <c r="K37" s="8">
        <v>0.0</v>
      </c>
      <c r="L37" s="12">
        <v>0.0</v>
      </c>
      <c r="M37" s="12">
        <v>0.0</v>
      </c>
      <c r="N37" s="12">
        <v>0.0</v>
      </c>
      <c r="O37" s="12">
        <v>0.0</v>
      </c>
      <c r="P37" s="12">
        <v>0.0</v>
      </c>
      <c r="Q37" s="12">
        <v>0.0</v>
      </c>
      <c r="R37" s="12">
        <v>0.0</v>
      </c>
      <c r="S37" s="12">
        <v>0.0</v>
      </c>
    </row>
    <row r="38" ht="14.25" customHeight="1">
      <c r="A38" s="5" t="s">
        <v>7</v>
      </c>
      <c r="B38" s="1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12">
        <v>0.0</v>
      </c>
      <c r="I38" s="12">
        <v>0.0</v>
      </c>
      <c r="J38" s="12">
        <v>0.0</v>
      </c>
      <c r="K38" s="8">
        <v>0.0</v>
      </c>
      <c r="L38" s="12">
        <v>0.0</v>
      </c>
      <c r="M38" s="12">
        <v>0.0</v>
      </c>
      <c r="N38" s="12">
        <v>0.0</v>
      </c>
      <c r="O38" s="12">
        <v>0.0</v>
      </c>
      <c r="P38" s="12">
        <v>0.0</v>
      </c>
      <c r="Q38" s="12">
        <v>0.0</v>
      </c>
      <c r="R38" s="12">
        <v>0.0</v>
      </c>
      <c r="S38" s="12">
        <v>0.0</v>
      </c>
    </row>
    <row r="39" ht="14.25" customHeight="1">
      <c r="A39" s="5" t="s">
        <v>7</v>
      </c>
      <c r="B39" s="1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12">
        <v>0.0</v>
      </c>
      <c r="I39" s="12">
        <v>0.0</v>
      </c>
      <c r="J39" s="12">
        <v>0.0</v>
      </c>
      <c r="K39" s="8">
        <v>0.0</v>
      </c>
      <c r="L39" s="12">
        <v>0.0</v>
      </c>
      <c r="M39" s="12">
        <v>0.0</v>
      </c>
      <c r="N39" s="12">
        <v>0.0</v>
      </c>
      <c r="O39" s="12">
        <v>0.0</v>
      </c>
      <c r="P39" s="12">
        <v>0.0</v>
      </c>
      <c r="Q39" s="12">
        <v>0.0</v>
      </c>
      <c r="R39" s="12">
        <v>0.0</v>
      </c>
      <c r="S39" s="12">
        <v>0.0</v>
      </c>
    </row>
    <row r="40" ht="14.25" customHeight="1">
      <c r="A40" s="5" t="s">
        <v>7</v>
      </c>
      <c r="B40" s="1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12">
        <v>0.0</v>
      </c>
      <c r="I40" s="12">
        <v>0.0</v>
      </c>
      <c r="J40" s="12">
        <v>0.0</v>
      </c>
      <c r="K40" s="8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0.0</v>
      </c>
      <c r="Q40" s="12">
        <v>0.0</v>
      </c>
      <c r="R40" s="12">
        <v>0.0</v>
      </c>
      <c r="S40" s="12">
        <v>0.0</v>
      </c>
    </row>
    <row r="41" ht="14.25" customHeight="1">
      <c r="A41" s="5" t="s">
        <v>7</v>
      </c>
      <c r="B41" s="1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12">
        <v>0.0</v>
      </c>
      <c r="I41" s="12">
        <v>0.0</v>
      </c>
      <c r="J41" s="12">
        <v>0.0</v>
      </c>
      <c r="K41" s="8">
        <v>0.0</v>
      </c>
      <c r="L41" s="12">
        <v>0.0</v>
      </c>
      <c r="M41" s="12">
        <v>0.0</v>
      </c>
      <c r="N41" s="12">
        <v>0.0</v>
      </c>
      <c r="O41" s="12">
        <v>0.0</v>
      </c>
      <c r="P41" s="12">
        <v>0.0</v>
      </c>
      <c r="Q41" s="12">
        <v>0.0</v>
      </c>
      <c r="R41" s="12">
        <v>0.0</v>
      </c>
      <c r="S41" s="12">
        <v>0.0</v>
      </c>
    </row>
    <row r="42" ht="14.25" customHeight="1">
      <c r="A42" s="5" t="s">
        <v>7</v>
      </c>
      <c r="B42" s="1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12">
        <v>0.0</v>
      </c>
      <c r="I42" s="12">
        <v>0.0</v>
      </c>
      <c r="J42" s="12">
        <v>0.0</v>
      </c>
      <c r="K42" s="8">
        <v>0.0</v>
      </c>
      <c r="L42" s="12">
        <v>0.0</v>
      </c>
      <c r="M42" s="12">
        <v>0.0</v>
      </c>
      <c r="N42" s="12">
        <v>0.0</v>
      </c>
      <c r="O42" s="12">
        <v>0.0</v>
      </c>
      <c r="P42" s="12">
        <v>0.0</v>
      </c>
      <c r="Q42" s="12">
        <v>0.0</v>
      </c>
      <c r="R42" s="12">
        <v>0.0</v>
      </c>
      <c r="S42" s="12">
        <v>0.0</v>
      </c>
    </row>
    <row r="43" ht="14.25" customHeight="1">
      <c r="A43" s="5" t="s">
        <v>7</v>
      </c>
      <c r="B43" s="1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12">
        <v>0.0</v>
      </c>
      <c r="I43" s="12">
        <v>0.0</v>
      </c>
      <c r="J43" s="12">
        <v>0.0</v>
      </c>
      <c r="K43" s="8">
        <v>0.0</v>
      </c>
      <c r="L43" s="12">
        <v>0.0</v>
      </c>
      <c r="M43" s="12">
        <v>0.0</v>
      </c>
      <c r="N43" s="12">
        <v>0.0</v>
      </c>
      <c r="O43" s="12">
        <v>0.0</v>
      </c>
      <c r="P43" s="12">
        <v>0.0</v>
      </c>
      <c r="Q43" s="12">
        <v>0.0</v>
      </c>
      <c r="R43" s="12">
        <v>0.0</v>
      </c>
      <c r="S43" s="12">
        <v>0.0</v>
      </c>
    </row>
    <row r="44" ht="14.25" customHeight="1">
      <c r="A44" s="5" t="s">
        <v>7</v>
      </c>
      <c r="B44" s="1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12">
        <v>0.0</v>
      </c>
      <c r="I44" s="12">
        <v>0.0</v>
      </c>
      <c r="J44" s="12">
        <v>0.0</v>
      </c>
      <c r="K44" s="8">
        <v>0.0</v>
      </c>
      <c r="L44" s="12">
        <v>0.0</v>
      </c>
      <c r="M44" s="12">
        <v>0.0</v>
      </c>
      <c r="N44" s="12">
        <v>0.0</v>
      </c>
      <c r="O44" s="12">
        <v>0.0</v>
      </c>
      <c r="P44" s="12">
        <v>0.0</v>
      </c>
      <c r="Q44" s="12">
        <v>0.0</v>
      </c>
      <c r="R44" s="12">
        <v>0.0</v>
      </c>
      <c r="S44" s="12">
        <v>0.0</v>
      </c>
    </row>
    <row r="45" ht="14.25" customHeight="1">
      <c r="A45" s="5" t="s">
        <v>7</v>
      </c>
      <c r="B45" s="1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12">
        <v>0.0</v>
      </c>
      <c r="I45" s="12">
        <v>0.0</v>
      </c>
      <c r="J45" s="12">
        <v>0.0</v>
      </c>
      <c r="K45" s="8">
        <v>0.0</v>
      </c>
      <c r="L45" s="12">
        <v>0.0</v>
      </c>
      <c r="M45" s="12">
        <v>0.0</v>
      </c>
      <c r="N45" s="12">
        <v>0.0</v>
      </c>
      <c r="O45" s="12">
        <v>0.0</v>
      </c>
      <c r="P45" s="12">
        <v>0.0</v>
      </c>
      <c r="Q45" s="12">
        <v>0.0</v>
      </c>
      <c r="R45" s="12">
        <v>0.0</v>
      </c>
      <c r="S45" s="12">
        <v>0.0</v>
      </c>
    </row>
    <row r="46" ht="14.25" customHeight="1">
      <c r="A46" s="5" t="s">
        <v>7</v>
      </c>
      <c r="B46" s="1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12">
        <v>0.0</v>
      </c>
      <c r="I46" s="12">
        <v>0.0</v>
      </c>
      <c r="J46" s="12">
        <v>0.0</v>
      </c>
      <c r="K46" s="8">
        <v>0.0</v>
      </c>
      <c r="L46" s="12">
        <v>0.0</v>
      </c>
      <c r="M46" s="12">
        <v>0.0</v>
      </c>
      <c r="N46" s="12">
        <v>0.0</v>
      </c>
      <c r="O46" s="12">
        <v>0.0</v>
      </c>
      <c r="P46" s="12">
        <v>0.0</v>
      </c>
      <c r="Q46" s="12">
        <v>0.0</v>
      </c>
      <c r="R46" s="12">
        <v>0.0</v>
      </c>
      <c r="S46" s="12">
        <v>0.0</v>
      </c>
    </row>
    <row r="47" ht="14.25" customHeight="1">
      <c r="A47" s="5" t="s">
        <v>7</v>
      </c>
      <c r="B47" s="1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12">
        <v>0.0</v>
      </c>
      <c r="I47" s="12">
        <v>0.0</v>
      </c>
      <c r="J47" s="12">
        <v>0.0</v>
      </c>
      <c r="K47" s="8">
        <v>0.0</v>
      </c>
      <c r="L47" s="12">
        <v>0.0</v>
      </c>
      <c r="M47" s="12">
        <v>0.0</v>
      </c>
      <c r="N47" s="12">
        <v>0.0</v>
      </c>
      <c r="O47" s="12">
        <v>0.0</v>
      </c>
      <c r="P47" s="12">
        <v>0.0</v>
      </c>
      <c r="Q47" s="12">
        <v>0.0</v>
      </c>
      <c r="R47" s="12">
        <v>0.0</v>
      </c>
      <c r="S47" s="12">
        <v>0.0</v>
      </c>
    </row>
    <row r="48" ht="14.25" customHeight="1">
      <c r="A48" s="5" t="s">
        <v>7</v>
      </c>
      <c r="B48" s="1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12">
        <v>0.0</v>
      </c>
      <c r="I48" s="12">
        <v>0.0</v>
      </c>
      <c r="J48" s="12">
        <v>0.0</v>
      </c>
      <c r="K48" s="8">
        <v>0.0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  <c r="Q48" s="12">
        <v>0.0</v>
      </c>
      <c r="R48" s="12">
        <v>0.0</v>
      </c>
      <c r="S48" s="12">
        <v>0.0</v>
      </c>
    </row>
    <row r="49" ht="14.25" customHeight="1">
      <c r="A49" s="5" t="s">
        <v>7</v>
      </c>
      <c r="B49" s="1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12">
        <v>0.0</v>
      </c>
      <c r="I49" s="12">
        <v>0.0</v>
      </c>
      <c r="J49" s="12">
        <v>0.0</v>
      </c>
      <c r="K49" s="8">
        <v>0.0</v>
      </c>
      <c r="L49" s="12">
        <v>0.0</v>
      </c>
      <c r="M49" s="12">
        <v>0.0</v>
      </c>
      <c r="N49" s="12">
        <v>0.0</v>
      </c>
      <c r="O49" s="12">
        <v>0.0</v>
      </c>
      <c r="P49" s="12">
        <v>0.0</v>
      </c>
      <c r="Q49" s="12">
        <v>0.0</v>
      </c>
      <c r="R49" s="12">
        <v>0.0</v>
      </c>
      <c r="S49" s="12">
        <v>0.0</v>
      </c>
    </row>
    <row r="50" ht="14.25" customHeight="1">
      <c r="A50" s="5" t="s">
        <v>7</v>
      </c>
      <c r="B50" s="1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12">
        <v>0.0</v>
      </c>
      <c r="I50" s="12">
        <v>0.0</v>
      </c>
      <c r="J50" s="12">
        <v>0.0</v>
      </c>
      <c r="K50" s="8">
        <v>0.0</v>
      </c>
      <c r="L50" s="12">
        <v>0.0</v>
      </c>
      <c r="M50" s="12">
        <v>0.0</v>
      </c>
      <c r="N50" s="12">
        <v>0.0</v>
      </c>
      <c r="O50" s="12">
        <v>0.0</v>
      </c>
      <c r="P50" s="12">
        <v>0.0</v>
      </c>
      <c r="Q50" s="12">
        <v>0.0</v>
      </c>
      <c r="R50" s="12">
        <v>0.0</v>
      </c>
      <c r="S50" s="12">
        <v>0.0</v>
      </c>
    </row>
    <row r="51" ht="14.25" customHeight="1">
      <c r="A51" s="5" t="s">
        <v>7</v>
      </c>
      <c r="B51" s="1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12">
        <v>0.0</v>
      </c>
      <c r="I51" s="12">
        <v>0.0</v>
      </c>
      <c r="J51" s="12">
        <v>0.0</v>
      </c>
      <c r="K51" s="8">
        <v>0.0</v>
      </c>
      <c r="L51" s="12">
        <v>0.0</v>
      </c>
      <c r="M51" s="12">
        <v>0.0</v>
      </c>
      <c r="N51" s="12">
        <v>0.0</v>
      </c>
      <c r="O51" s="12">
        <v>0.0</v>
      </c>
      <c r="P51" s="12">
        <v>0.0</v>
      </c>
      <c r="Q51" s="12">
        <v>0.0</v>
      </c>
      <c r="R51" s="12">
        <v>0.0</v>
      </c>
      <c r="S51" s="12">
        <v>0.0</v>
      </c>
    </row>
    <row r="52" ht="14.25" customHeight="1">
      <c r="A52" s="5" t="s">
        <v>7</v>
      </c>
      <c r="B52" s="1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12">
        <v>0.0</v>
      </c>
      <c r="I52" s="12">
        <v>0.0</v>
      </c>
      <c r="J52" s="12">
        <v>0.0</v>
      </c>
      <c r="K52" s="8">
        <v>0.0</v>
      </c>
      <c r="L52" s="12">
        <v>0.0</v>
      </c>
      <c r="M52" s="12">
        <v>0.0</v>
      </c>
      <c r="N52" s="12">
        <v>0.0</v>
      </c>
      <c r="O52" s="12">
        <v>0.0</v>
      </c>
      <c r="P52" s="12">
        <v>0.0</v>
      </c>
      <c r="Q52" s="12">
        <v>0.0</v>
      </c>
      <c r="R52" s="12">
        <v>0.0</v>
      </c>
      <c r="S52" s="12">
        <v>0.0</v>
      </c>
    </row>
    <row r="53" ht="14.25" customHeight="1">
      <c r="A53" s="5" t="s">
        <v>7</v>
      </c>
      <c r="B53" s="1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12">
        <v>0.0</v>
      </c>
      <c r="I53" s="12">
        <v>0.0</v>
      </c>
      <c r="J53" s="12">
        <v>0.0</v>
      </c>
      <c r="K53" s="8">
        <v>0.0</v>
      </c>
      <c r="L53" s="12">
        <v>0.0</v>
      </c>
      <c r="M53" s="12">
        <v>0.0</v>
      </c>
      <c r="N53" s="12">
        <v>0.0</v>
      </c>
      <c r="O53" s="12">
        <v>0.0</v>
      </c>
      <c r="P53" s="12">
        <v>0.0</v>
      </c>
      <c r="Q53" s="12">
        <v>0.0</v>
      </c>
      <c r="R53" s="12">
        <v>0.0</v>
      </c>
      <c r="S53" s="12">
        <v>0.0</v>
      </c>
    </row>
    <row r="54" ht="14.25" customHeight="1">
      <c r="A54" s="5" t="s">
        <v>7</v>
      </c>
      <c r="B54" s="1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12">
        <v>0.0</v>
      </c>
      <c r="I54" s="12">
        <v>0.0</v>
      </c>
      <c r="J54" s="12">
        <v>0.0</v>
      </c>
      <c r="K54" s="8">
        <v>0.0</v>
      </c>
      <c r="L54" s="12">
        <v>0.0</v>
      </c>
      <c r="M54" s="12">
        <v>0.0</v>
      </c>
      <c r="N54" s="12">
        <v>0.0</v>
      </c>
      <c r="O54" s="12">
        <v>0.0</v>
      </c>
      <c r="P54" s="12">
        <v>0.0</v>
      </c>
      <c r="Q54" s="12">
        <v>0.0</v>
      </c>
      <c r="R54" s="12">
        <v>0.0</v>
      </c>
      <c r="S54" s="12">
        <v>0.0</v>
      </c>
    </row>
    <row r="55" ht="14.25" customHeight="1">
      <c r="A55" s="5" t="s">
        <v>7</v>
      </c>
      <c r="B55" s="1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12">
        <v>0.0</v>
      </c>
      <c r="I55" s="12">
        <v>0.0</v>
      </c>
      <c r="J55" s="12">
        <v>0.0</v>
      </c>
      <c r="K55" s="8">
        <v>0.0</v>
      </c>
      <c r="L55" s="12">
        <v>0.0</v>
      </c>
      <c r="M55" s="12">
        <v>0.0</v>
      </c>
      <c r="N55" s="12">
        <v>0.0</v>
      </c>
      <c r="O55" s="12">
        <v>0.0</v>
      </c>
      <c r="P55" s="12">
        <v>0.0</v>
      </c>
      <c r="Q55" s="12">
        <v>0.0</v>
      </c>
      <c r="R55" s="12">
        <v>0.0</v>
      </c>
      <c r="S55" s="12">
        <v>0.0</v>
      </c>
    </row>
    <row r="56" ht="14.25" customHeight="1">
      <c r="A56" s="5" t="s">
        <v>7</v>
      </c>
      <c r="B56" s="1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12">
        <v>0.0</v>
      </c>
      <c r="I56" s="12">
        <v>0.0</v>
      </c>
      <c r="J56" s="12">
        <v>0.0</v>
      </c>
      <c r="K56" s="8">
        <v>0.0</v>
      </c>
      <c r="L56" s="12">
        <v>0.0</v>
      </c>
      <c r="M56" s="12">
        <v>0.0</v>
      </c>
      <c r="N56" s="12">
        <v>0.0</v>
      </c>
      <c r="O56" s="12">
        <v>0.0</v>
      </c>
      <c r="P56" s="12">
        <v>0.0</v>
      </c>
      <c r="Q56" s="12">
        <v>0.0</v>
      </c>
      <c r="R56" s="12">
        <v>0.0</v>
      </c>
      <c r="S56" s="12">
        <v>0.0</v>
      </c>
    </row>
    <row r="57" ht="14.25" customHeight="1">
      <c r="A57" s="5" t="s">
        <v>7</v>
      </c>
      <c r="B57" s="1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12">
        <v>0.0</v>
      </c>
      <c r="I57" s="12">
        <v>0.0</v>
      </c>
      <c r="J57" s="12">
        <v>0.0</v>
      </c>
      <c r="K57" s="8">
        <v>0.0</v>
      </c>
      <c r="L57" s="12">
        <v>0.0</v>
      </c>
      <c r="M57" s="12">
        <v>0.0</v>
      </c>
      <c r="N57" s="12">
        <v>0.0</v>
      </c>
      <c r="O57" s="12">
        <v>0.0</v>
      </c>
      <c r="P57" s="12">
        <v>0.0</v>
      </c>
      <c r="Q57" s="12">
        <v>0.0</v>
      </c>
      <c r="R57" s="12">
        <v>0.0</v>
      </c>
      <c r="S57" s="12">
        <v>0.0</v>
      </c>
    </row>
    <row r="58" ht="14.25" customHeight="1">
      <c r="A58" s="5" t="s">
        <v>7</v>
      </c>
      <c r="B58" s="1" t="s">
        <v>99</v>
      </c>
      <c r="C58" s="1" t="str">
        <f>VLOOKUP(B58,Mapping!B:C,2,0)</f>
        <v>Lateral</v>
      </c>
      <c r="D58" s="1" t="str">
        <f>VLOOKUP(B58,Mapping!B:D,3,0)</f>
        <v>North</v>
      </c>
      <c r="E58" s="1" t="str">
        <f>VLOOKUP(B58,Mapping!B:E,4,0)</f>
        <v>North</v>
      </c>
      <c r="F58" s="1" t="str">
        <f>VLOOKUP(B58,Mapping!B:F,5,0)</f>
        <v>Anjli</v>
      </c>
      <c r="G58" s="6" t="str">
        <f>VLOOKUP(B58,Mapping!B:G,6,0)</f>
        <v>Anjli</v>
      </c>
      <c r="H58" s="12">
        <v>0.0</v>
      </c>
      <c r="I58" s="12">
        <v>0.0</v>
      </c>
      <c r="J58" s="12">
        <v>0.0</v>
      </c>
      <c r="K58" s="8">
        <v>0.0</v>
      </c>
      <c r="L58" s="12">
        <v>0.0</v>
      </c>
      <c r="M58" s="12">
        <v>0.0</v>
      </c>
      <c r="N58" s="12">
        <v>0.0</v>
      </c>
      <c r="O58" s="12">
        <v>0.0</v>
      </c>
      <c r="P58" s="12">
        <v>0.0</v>
      </c>
      <c r="Q58" s="12">
        <v>0.0</v>
      </c>
      <c r="R58" s="12">
        <v>0.0</v>
      </c>
      <c r="S58" s="12">
        <v>0.0</v>
      </c>
    </row>
    <row r="59" ht="14.25" customHeight="1">
      <c r="A59" s="5" t="s">
        <v>7</v>
      </c>
      <c r="B59" s="1" t="s">
        <v>100</v>
      </c>
      <c r="C59" s="1" t="str">
        <f>VLOOKUP(B59,Mapping!B:C,2,0)</f>
        <v>Lateral</v>
      </c>
      <c r="D59" s="1" t="str">
        <f>VLOOKUP(B59,Mapping!B:D,3,0)</f>
        <v>West</v>
      </c>
      <c r="E59" s="1" t="str">
        <f>VLOOKUP(B59,Mapping!B:E,4,0)</f>
        <v>West 1</v>
      </c>
      <c r="F59" s="1" t="str">
        <f>VLOOKUP(B59,Mapping!B:F,5,0)</f>
        <v>Anjli</v>
      </c>
      <c r="G59" s="6" t="str">
        <f>VLOOKUP(B59,Mapping!B:G,6,0)</f>
        <v>Anjli</v>
      </c>
      <c r="H59" s="12">
        <v>0.0</v>
      </c>
      <c r="I59" s="12">
        <v>0.0</v>
      </c>
      <c r="J59" s="12">
        <v>0.0</v>
      </c>
      <c r="K59" s="8">
        <v>0.0</v>
      </c>
      <c r="L59" s="12">
        <v>0.0</v>
      </c>
      <c r="M59" s="12">
        <v>0.0</v>
      </c>
      <c r="N59" s="12">
        <v>0.0</v>
      </c>
      <c r="O59" s="12">
        <v>0.0</v>
      </c>
      <c r="P59" s="12">
        <v>0.0</v>
      </c>
      <c r="Q59" s="12">
        <v>0.0</v>
      </c>
      <c r="R59" s="12">
        <v>0.0</v>
      </c>
      <c r="S59" s="12">
        <v>0.0</v>
      </c>
    </row>
    <row r="60" ht="14.25" customHeight="1">
      <c r="A60" s="5" t="s">
        <v>7</v>
      </c>
      <c r="B60" s="1" t="s">
        <v>101</v>
      </c>
      <c r="C60" s="1" t="str">
        <f>VLOOKUP(B60,Mapping!B:C,2,0)</f>
        <v>Lateral</v>
      </c>
      <c r="D60" s="1" t="str">
        <f>VLOOKUP(B60,Mapping!B:D,3,0)</f>
        <v>West</v>
      </c>
      <c r="E60" s="1" t="str">
        <f>VLOOKUP(B60,Mapping!B:E,4,0)</f>
        <v>West 1</v>
      </c>
      <c r="F60" s="1" t="str">
        <f>VLOOKUP(B60,Mapping!B:F,5,0)</f>
        <v>Anjli</v>
      </c>
      <c r="G60" s="6" t="str">
        <f>VLOOKUP(B60,Mapping!B:G,6,0)</f>
        <v>Anjli</v>
      </c>
      <c r="H60" s="12">
        <v>0.0</v>
      </c>
      <c r="I60" s="12">
        <v>0.0</v>
      </c>
      <c r="J60" s="12">
        <v>0.0</v>
      </c>
      <c r="K60" s="8">
        <v>0.0</v>
      </c>
      <c r="L60" s="12">
        <v>0.0</v>
      </c>
      <c r="M60" s="12">
        <v>0.0</v>
      </c>
      <c r="N60" s="12">
        <v>0.0</v>
      </c>
      <c r="O60" s="12">
        <v>0.0</v>
      </c>
      <c r="P60" s="12">
        <v>0.0</v>
      </c>
      <c r="Q60" s="12">
        <v>0.0</v>
      </c>
      <c r="R60" s="12">
        <v>0.0</v>
      </c>
      <c r="S60" s="12">
        <v>0.0</v>
      </c>
    </row>
    <row r="61" ht="14.25" customHeight="1">
      <c r="A61" s="5" t="s">
        <v>7</v>
      </c>
      <c r="B61" s="1" t="s">
        <v>102</v>
      </c>
      <c r="C61" s="1" t="str">
        <f>VLOOKUP(B61,Mapping!B:C,2,0)</f>
        <v>Lateral</v>
      </c>
      <c r="D61" s="1" t="str">
        <f>VLOOKUP(B61,Mapping!B:D,3,0)</f>
        <v>West</v>
      </c>
      <c r="E61" s="1" t="str">
        <f>VLOOKUP(B61,Mapping!B:E,4,0)</f>
        <v>West 1</v>
      </c>
      <c r="F61" s="1" t="str">
        <f>VLOOKUP(B61,Mapping!B:F,5,0)</f>
        <v>Anjli</v>
      </c>
      <c r="G61" s="6" t="str">
        <f>VLOOKUP(B61,Mapping!B:G,6,0)</f>
        <v>Anjli</v>
      </c>
      <c r="H61" s="12">
        <v>0.0</v>
      </c>
      <c r="I61" s="12">
        <v>0.0</v>
      </c>
      <c r="J61" s="12">
        <v>0.0</v>
      </c>
      <c r="K61" s="8">
        <v>0.0</v>
      </c>
      <c r="L61" s="12">
        <v>0.0</v>
      </c>
      <c r="M61" s="12">
        <v>0.0</v>
      </c>
      <c r="N61" s="12">
        <v>0.0</v>
      </c>
      <c r="O61" s="12">
        <v>0.0</v>
      </c>
      <c r="P61" s="12">
        <v>0.0</v>
      </c>
      <c r="Q61" s="12">
        <v>0.0</v>
      </c>
      <c r="R61" s="12">
        <v>0.0</v>
      </c>
      <c r="S61" s="12">
        <v>0.0</v>
      </c>
    </row>
    <row r="62" ht="14.25" customHeight="1">
      <c r="A62" s="5" t="s">
        <v>7</v>
      </c>
      <c r="B62" s="1" t="s">
        <v>105</v>
      </c>
      <c r="C62" s="1" t="str">
        <f>VLOOKUP(B62,Mapping!B:C,2,0)</f>
        <v>Lateral</v>
      </c>
      <c r="D62" s="1" t="str">
        <f>VLOOKUP(B62,Mapping!B:D,3,0)</f>
        <v>North</v>
      </c>
      <c r="E62" s="1" t="str">
        <f>VLOOKUP(B62,Mapping!B:E,4,0)</f>
        <v>North</v>
      </c>
      <c r="F62" s="1" t="str">
        <f>VLOOKUP(B62,Mapping!B:F,5,0)</f>
        <v>Anjli</v>
      </c>
      <c r="G62" s="6" t="str">
        <f>VLOOKUP(B62,Mapping!B:G,6,0)</f>
        <v>Anjli</v>
      </c>
      <c r="H62" s="12">
        <v>0.0</v>
      </c>
      <c r="I62" s="12">
        <v>0.0</v>
      </c>
      <c r="J62" s="12">
        <v>0.0</v>
      </c>
      <c r="K62" s="8">
        <v>0.0</v>
      </c>
      <c r="L62" s="12">
        <v>0.0</v>
      </c>
      <c r="M62" s="12">
        <v>0.0</v>
      </c>
      <c r="N62" s="12">
        <v>0.0</v>
      </c>
      <c r="O62" s="12">
        <v>0.0</v>
      </c>
      <c r="P62" s="12">
        <v>0.0</v>
      </c>
      <c r="Q62" s="12">
        <v>0.0</v>
      </c>
      <c r="R62" s="12">
        <v>0.0</v>
      </c>
      <c r="S62" s="12">
        <v>0.0</v>
      </c>
    </row>
    <row r="63" ht="14.25" customHeight="1">
      <c r="A63" s="5" t="s">
        <v>7</v>
      </c>
      <c r="B63" s="1" t="s">
        <v>106</v>
      </c>
      <c r="C63" s="1" t="str">
        <f>VLOOKUP(B63,Mapping!B:C,2,0)</f>
        <v>Lateral</v>
      </c>
      <c r="D63" s="1" t="str">
        <f>VLOOKUP(B63,Mapping!B:D,3,0)</f>
        <v>South</v>
      </c>
      <c r="E63" s="1" t="str">
        <f>VLOOKUP(B63,Mapping!B:E,4,0)</f>
        <v>South 1</v>
      </c>
      <c r="F63" s="1" t="str">
        <f>VLOOKUP(B63,Mapping!B:F,5,0)</f>
        <v>Sulabh</v>
      </c>
      <c r="G63" s="6" t="str">
        <f>VLOOKUP(B63,Mapping!B:G,6,0)</f>
        <v>Parul</v>
      </c>
      <c r="H63" s="12">
        <v>0.0</v>
      </c>
      <c r="I63" s="12">
        <v>0.0</v>
      </c>
      <c r="J63" s="12">
        <v>0.0</v>
      </c>
      <c r="K63" s="8">
        <v>0.0</v>
      </c>
      <c r="L63" s="12">
        <v>0.0</v>
      </c>
      <c r="M63" s="12">
        <v>0.0</v>
      </c>
      <c r="N63" s="12">
        <v>0.0</v>
      </c>
      <c r="O63" s="12">
        <v>0.0</v>
      </c>
      <c r="P63" s="12">
        <v>0.0</v>
      </c>
      <c r="Q63" s="12">
        <v>0.0</v>
      </c>
      <c r="R63" s="12">
        <v>0.0</v>
      </c>
      <c r="S63" s="12">
        <v>0.0</v>
      </c>
    </row>
    <row r="64" ht="14.25" customHeight="1">
      <c r="A64" s="5" t="s">
        <v>7</v>
      </c>
      <c r="B64" s="1" t="s">
        <v>108</v>
      </c>
      <c r="C64" s="1" t="str">
        <f>VLOOKUP(B64,Mapping!B:C,2,0)</f>
        <v>Lateral</v>
      </c>
      <c r="D64" s="1" t="str">
        <f>VLOOKUP(B64,Mapping!B:D,3,0)</f>
        <v>South</v>
      </c>
      <c r="E64" s="1" t="str">
        <f>VLOOKUP(B64,Mapping!B:E,4,0)</f>
        <v>South 1</v>
      </c>
      <c r="F64" s="1" t="str">
        <f>VLOOKUP(B64,Mapping!B:F,5,0)</f>
        <v>Sulabh</v>
      </c>
      <c r="G64" s="6" t="str">
        <f>VLOOKUP(B64,Mapping!B:G,6,0)</f>
        <v>Subu</v>
      </c>
      <c r="H64" s="12">
        <v>0.0</v>
      </c>
      <c r="I64" s="12">
        <v>0.0</v>
      </c>
      <c r="J64" s="12">
        <v>0.0</v>
      </c>
      <c r="K64" s="8">
        <v>0.0</v>
      </c>
      <c r="L64" s="12">
        <v>0.0</v>
      </c>
      <c r="M64" s="12">
        <v>0.0</v>
      </c>
      <c r="N64" s="12">
        <v>0.0</v>
      </c>
      <c r="O64" s="12">
        <v>0.0</v>
      </c>
      <c r="P64" s="12">
        <v>0.0</v>
      </c>
      <c r="Q64" s="12">
        <v>0.0</v>
      </c>
      <c r="R64" s="12">
        <v>0.0</v>
      </c>
      <c r="S64" s="12">
        <v>0.0</v>
      </c>
    </row>
    <row r="65" ht="14.25" customHeight="1">
      <c r="A65" s="5" t="s">
        <v>7</v>
      </c>
      <c r="B65" s="1" t="s">
        <v>103</v>
      </c>
      <c r="C65" s="1" t="str">
        <f>VLOOKUP(B65,Mapping!B:C,2,0)</f>
        <v>Lateral</v>
      </c>
      <c r="D65" s="1" t="str">
        <f>VLOOKUP(B65,Mapping!B:D,3,0)</f>
        <v>West</v>
      </c>
      <c r="E65" s="1" t="str">
        <f>VLOOKUP(B65,Mapping!B:E,4,0)</f>
        <v>West 1</v>
      </c>
      <c r="F65" s="1" t="str">
        <f>VLOOKUP(B65,Mapping!B:F,5,0)</f>
        <v>Anjli</v>
      </c>
      <c r="G65" s="6" t="str">
        <f>VLOOKUP(B65,Mapping!B:G,6,0)</f>
        <v>Anjli</v>
      </c>
      <c r="H65" s="12">
        <v>0.0</v>
      </c>
      <c r="I65" s="12">
        <v>0.0</v>
      </c>
      <c r="J65" s="12">
        <v>0.0</v>
      </c>
      <c r="K65" s="8">
        <v>0.0</v>
      </c>
      <c r="L65" s="12">
        <v>0.0</v>
      </c>
      <c r="M65" s="12">
        <v>0.0</v>
      </c>
      <c r="N65" s="12">
        <v>0.0</v>
      </c>
      <c r="O65" s="12">
        <v>0.0</v>
      </c>
      <c r="P65" s="12">
        <v>0.0</v>
      </c>
      <c r="Q65" s="12">
        <v>0.0</v>
      </c>
      <c r="R65" s="12">
        <v>0.0</v>
      </c>
      <c r="S65" s="12">
        <v>0.0</v>
      </c>
    </row>
    <row r="66" ht="14.25" customHeight="1">
      <c r="A66" s="5" t="s">
        <v>7</v>
      </c>
      <c r="B66" s="1" t="s">
        <v>109</v>
      </c>
      <c r="C66" s="1" t="str">
        <f>VLOOKUP(B66,Mapping!B:C,2,0)</f>
        <v>Lateral</v>
      </c>
      <c r="D66" s="1" t="str">
        <f>VLOOKUP(B66,Mapping!B:D,3,0)</f>
        <v>North</v>
      </c>
      <c r="E66" s="1" t="str">
        <f>VLOOKUP(B66,Mapping!B:E,4,0)</f>
        <v>North</v>
      </c>
      <c r="F66" s="1" t="str">
        <f>VLOOKUP(B66,Mapping!B:F,5,0)</f>
        <v>Ashish</v>
      </c>
      <c r="G66" s="6" t="str">
        <f>VLOOKUP(B66,Mapping!B:G,6,0)</f>
        <v>Ashish</v>
      </c>
      <c r="H66" s="12">
        <v>0.0</v>
      </c>
      <c r="I66" s="12">
        <v>0.0</v>
      </c>
      <c r="J66" s="12">
        <v>0.0</v>
      </c>
      <c r="K66" s="8">
        <v>0.0</v>
      </c>
      <c r="L66" s="12">
        <v>0.0</v>
      </c>
      <c r="M66" s="12">
        <v>0.0</v>
      </c>
      <c r="N66" s="12">
        <v>0.0</v>
      </c>
      <c r="O66" s="12">
        <v>0.0</v>
      </c>
      <c r="P66" s="12">
        <v>0.0</v>
      </c>
      <c r="Q66" s="12">
        <v>0.0</v>
      </c>
      <c r="R66" s="12">
        <v>0.0</v>
      </c>
      <c r="S66" s="12">
        <v>0.0</v>
      </c>
    </row>
    <row r="67" ht="14.25" customHeight="1">
      <c r="A67" s="5" t="s">
        <v>7</v>
      </c>
      <c r="B67" s="1" t="s">
        <v>111</v>
      </c>
      <c r="C67" s="1" t="str">
        <f>VLOOKUP(B67,Mapping!B:C,2,0)</f>
        <v>Lateral</v>
      </c>
      <c r="D67" s="1" t="str">
        <f>VLOOKUP(B67,Mapping!B:D,3,0)</f>
        <v>West</v>
      </c>
      <c r="E67" s="1" t="str">
        <f>VLOOKUP(B67,Mapping!B:E,4,0)</f>
        <v>West 1</v>
      </c>
      <c r="F67" s="1" t="str">
        <f>VLOOKUP(B67,Mapping!B:F,5,0)</f>
        <v>Anjli</v>
      </c>
      <c r="G67" s="6" t="str">
        <f>VLOOKUP(B67,Mapping!B:G,6,0)</f>
        <v>Anjli</v>
      </c>
      <c r="H67" s="12">
        <v>0.0</v>
      </c>
      <c r="I67" s="12">
        <v>0.0</v>
      </c>
      <c r="J67" s="12">
        <v>0.0</v>
      </c>
      <c r="K67" s="8">
        <v>0.0</v>
      </c>
      <c r="L67" s="12">
        <v>0.0</v>
      </c>
      <c r="M67" s="12">
        <v>0.0</v>
      </c>
      <c r="N67" s="12">
        <v>0.0</v>
      </c>
      <c r="O67" s="12">
        <v>0.0</v>
      </c>
      <c r="P67" s="12">
        <v>0.0</v>
      </c>
      <c r="Q67" s="12">
        <v>0.0</v>
      </c>
      <c r="R67" s="12">
        <v>0.0</v>
      </c>
      <c r="S67" s="12">
        <v>0.0</v>
      </c>
    </row>
    <row r="68" ht="14.25" customHeight="1"/>
    <row r="69" ht="14.25" customHeight="1"/>
    <row r="70" ht="14.25" customHeight="1"/>
    <row r="71" ht="14.25" customHeight="1"/>
    <row r="72" ht="14.25" customHeight="1">
      <c r="F72" s="7" t="s">
        <v>126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9.88"/>
    <col customWidth="1" min="3" max="3" width="17.5"/>
    <col customWidth="1" min="4" max="4" width="8.13"/>
    <col customWidth="1" min="5" max="5" width="9.63"/>
    <col customWidth="1" min="6" max="6" width="10.88"/>
    <col customWidth="1" min="7" max="7" width="12.25"/>
    <col customWidth="1" min="8" max="13" width="10.38"/>
    <col customWidth="1" hidden="1" min="14" max="14" width="10.38"/>
    <col customWidth="1" min="15" max="20" width="10.38"/>
    <col customWidth="1" min="21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45383.0</v>
      </c>
      <c r="I1" s="3">
        <f t="shared" ref="I1:M1" si="1">EDATE(H1,1)</f>
        <v>45413</v>
      </c>
      <c r="J1" s="3">
        <f t="shared" si="1"/>
        <v>45444</v>
      </c>
      <c r="K1" s="3">
        <f t="shared" si="1"/>
        <v>45474</v>
      </c>
      <c r="L1" s="3">
        <f t="shared" si="1"/>
        <v>45505</v>
      </c>
      <c r="M1" s="3">
        <f t="shared" si="1"/>
        <v>45536</v>
      </c>
      <c r="N1" s="3"/>
      <c r="O1" s="3">
        <f>EDATE(M1,1)</f>
        <v>45566</v>
      </c>
      <c r="P1" s="3">
        <f t="shared" ref="P1:T1" si="2">EDATE(O1,1)</f>
        <v>45597</v>
      </c>
      <c r="Q1" s="3">
        <f t="shared" si="2"/>
        <v>45627</v>
      </c>
      <c r="R1" s="3">
        <f t="shared" si="2"/>
        <v>45658</v>
      </c>
      <c r="S1" s="3">
        <f t="shared" si="2"/>
        <v>45689</v>
      </c>
      <c r="T1" s="3">
        <f t="shared" si="2"/>
        <v>45717</v>
      </c>
    </row>
    <row r="2" ht="14.25" customHeight="1">
      <c r="A2" s="5" t="s">
        <v>7</v>
      </c>
      <c r="B2" s="8" t="s">
        <v>8</v>
      </c>
      <c r="C2" s="1" t="str">
        <f>VLOOKUP(B2,Mapping!B:C,2,0)</f>
        <v>Lateral</v>
      </c>
      <c r="D2" s="1" t="str">
        <f>VLOOKUP(B2,Mapping!B:D,3,0)</f>
        <v>West</v>
      </c>
      <c r="E2" s="1" t="str">
        <f>VLOOKUP(B2,Mapping!B:E,4,0)</f>
        <v>West 2</v>
      </c>
      <c r="F2" s="1" t="str">
        <f>VLOOKUP(B2,Mapping!B:F,5,0)</f>
        <v>Anjli</v>
      </c>
      <c r="G2" s="6" t="str">
        <f>VLOOKUP(B2,Mapping!B:G,6,0)</f>
        <v>Shweta</v>
      </c>
      <c r="H2" s="9">
        <v>4049845.18726083</v>
      </c>
      <c r="I2" s="9">
        <v>4359726.961780105</v>
      </c>
      <c r="J2" s="9">
        <v>3119168.4228349323</v>
      </c>
      <c r="K2" s="9">
        <v>2398211.7794455234</v>
      </c>
      <c r="L2" s="9">
        <v>2277986.1560390764</v>
      </c>
      <c r="M2" s="9">
        <v>2651775.0217721886</v>
      </c>
      <c r="N2" s="9" t="str">
        <f t="shared" ref="N2:N57" si="3">M2+#REF!</f>
        <v>#REF!</v>
      </c>
      <c r="O2" s="9">
        <v>2216764.5796028897</v>
      </c>
      <c r="P2" s="9">
        <v>2065978.0692842356</v>
      </c>
      <c r="Q2" s="9">
        <v>2077029.2737542135</v>
      </c>
      <c r="R2" s="9">
        <v>1682990.286024227</v>
      </c>
      <c r="S2" s="9">
        <v>984910.6435110393</v>
      </c>
      <c r="T2" s="9">
        <v>168514.8159301497</v>
      </c>
    </row>
    <row r="3" ht="14.25" customHeight="1">
      <c r="A3" s="5" t="s">
        <v>7</v>
      </c>
      <c r="B3" s="8" t="s">
        <v>9</v>
      </c>
      <c r="C3" s="1" t="str">
        <f>VLOOKUP(B3,Mapping!B:C,2,0)</f>
        <v>Lateral</v>
      </c>
      <c r="D3" s="1" t="str">
        <f>VLOOKUP(B3,Mapping!B:D,3,0)</f>
        <v>West</v>
      </c>
      <c r="E3" s="1" t="str">
        <f>VLOOKUP(B3,Mapping!B:E,4,0)</f>
        <v>West 2</v>
      </c>
      <c r="F3" s="1" t="str">
        <f>VLOOKUP(B3,Mapping!B:F,5,0)</f>
        <v>Anjli</v>
      </c>
      <c r="G3" s="6" t="str">
        <f>VLOOKUP(B3,Mapping!B:G,6,0)</f>
        <v>Shweta</v>
      </c>
      <c r="H3" s="9">
        <v>549382.4225579053</v>
      </c>
      <c r="I3" s="9">
        <v>478228.1247818499</v>
      </c>
      <c r="J3" s="9">
        <v>526279.7353079943</v>
      </c>
      <c r="K3" s="9">
        <v>482307.9297192301</v>
      </c>
      <c r="L3" s="9">
        <v>525335.0603907637</v>
      </c>
      <c r="M3" s="9">
        <v>453276.8276802321</v>
      </c>
      <c r="N3" s="9" t="str">
        <f t="shared" si="3"/>
        <v>#REF!</v>
      </c>
      <c r="O3" s="9">
        <v>258855.9142599278</v>
      </c>
      <c r="P3" s="9">
        <v>285808.06237214076</v>
      </c>
      <c r="Q3" s="9">
        <v>279119.8143390726</v>
      </c>
      <c r="R3" s="9">
        <v>296660.55107575486</v>
      </c>
      <c r="S3" s="9">
        <v>375991.97145934304</v>
      </c>
      <c r="T3" s="9">
        <v>627751.9967925873</v>
      </c>
    </row>
    <row r="4" ht="14.25" customHeight="1">
      <c r="A4" s="5" t="s">
        <v>7</v>
      </c>
      <c r="B4" s="8" t="s">
        <v>10</v>
      </c>
      <c r="C4" s="1" t="str">
        <f>VLOOKUP(B4,Mapping!B:C,2,0)</f>
        <v>Lateral</v>
      </c>
      <c r="D4" s="1" t="str">
        <f>VLOOKUP(B4,Mapping!B:D,3,0)</f>
        <v>West</v>
      </c>
      <c r="E4" s="1" t="str">
        <f>VLOOKUP(B4,Mapping!B:E,4,0)</f>
        <v>West 2</v>
      </c>
      <c r="F4" s="1" t="str">
        <f>VLOOKUP(B4,Mapping!B:F,5,0)</f>
        <v>Anjli</v>
      </c>
      <c r="G4" s="6" t="str">
        <f>VLOOKUP(B4,Mapping!B:G,6,0)</f>
        <v>Shweta</v>
      </c>
      <c r="H4" s="9">
        <v>456970.16364551865</v>
      </c>
      <c r="I4" s="9">
        <v>401722.1151832461</v>
      </c>
      <c r="J4" s="9">
        <v>389519.50463534857</v>
      </c>
      <c r="K4" s="9">
        <v>233491.99558537878</v>
      </c>
      <c r="L4" s="9">
        <v>231729.03019538187</v>
      </c>
      <c r="M4" s="9">
        <v>274976.84404124063</v>
      </c>
      <c r="N4" s="9" t="str">
        <f t="shared" si="3"/>
        <v>#REF!</v>
      </c>
      <c r="O4" s="9">
        <v>182820.2418772563</v>
      </c>
      <c r="P4" s="9">
        <v>155954.25167013254</v>
      </c>
      <c r="Q4" s="9">
        <v>162307.14676141023</v>
      </c>
      <c r="R4" s="9">
        <v>157447.41330681613</v>
      </c>
      <c r="S4" s="9">
        <v>324060.97145934304</v>
      </c>
      <c r="T4" s="9">
        <v>343810.88524590165</v>
      </c>
    </row>
    <row r="5" ht="14.25" customHeight="1">
      <c r="A5" s="5" t="s">
        <v>7</v>
      </c>
      <c r="B5" s="8" t="s">
        <v>11</v>
      </c>
      <c r="C5" s="1" t="str">
        <f>VLOOKUP(B5,Mapping!B:C,2,0)</f>
        <v>Lateral</v>
      </c>
      <c r="D5" s="1" t="str">
        <f>VLOOKUP(B5,Mapping!B:D,3,0)</f>
        <v>West</v>
      </c>
      <c r="E5" s="1" t="str">
        <f>VLOOKUP(B5,Mapping!B:E,4,0)</f>
        <v>West 2</v>
      </c>
      <c r="F5" s="1" t="str">
        <f>VLOOKUP(B5,Mapping!B:F,5,0)</f>
        <v>Anjli</v>
      </c>
      <c r="G5" s="6" t="str">
        <f>VLOOKUP(B5,Mapping!B:G,6,0)</f>
        <v>Anjli</v>
      </c>
      <c r="H5" s="9">
        <v>54061.025176233634</v>
      </c>
      <c r="I5" s="9">
        <v>54732.01919720768</v>
      </c>
      <c r="J5" s="9">
        <v>53026.78834080718</v>
      </c>
      <c r="K5" s="9">
        <v>56096.748896344696</v>
      </c>
      <c r="L5" s="9">
        <v>55761.25754884547</v>
      </c>
      <c r="M5" s="9">
        <v>69827.29705062187</v>
      </c>
      <c r="N5" s="9" t="str">
        <f t="shared" si="3"/>
        <v>#REF!</v>
      </c>
      <c r="O5" s="9">
        <v>50175.31046931408</v>
      </c>
      <c r="P5" s="9">
        <v>62316.9979020979</v>
      </c>
      <c r="Q5" s="9">
        <v>1550.0</v>
      </c>
      <c r="R5" s="9">
        <v>0.0</v>
      </c>
      <c r="S5" s="9">
        <v>60034.7942918686</v>
      </c>
      <c r="T5" s="9">
        <v>69638.84461867427</v>
      </c>
    </row>
    <row r="6" ht="14.25" customHeight="1">
      <c r="A6" s="5" t="s">
        <v>7</v>
      </c>
      <c r="B6" s="8" t="s">
        <v>12</v>
      </c>
      <c r="C6" s="1" t="str">
        <f>VLOOKUP(B6,Mapping!B:C,2,0)</f>
        <v>Lateral</v>
      </c>
      <c r="D6" s="1" t="str">
        <f>VLOOKUP(B6,Mapping!B:D,3,0)</f>
        <v>West</v>
      </c>
      <c r="E6" s="1" t="str">
        <f>VLOOKUP(B6,Mapping!B:E,4,0)</f>
        <v>West 2</v>
      </c>
      <c r="F6" s="1" t="str">
        <f>VLOOKUP(B6,Mapping!B:F,5,0)</f>
        <v>Anjli</v>
      </c>
      <c r="G6" s="6" t="str">
        <f>VLOOKUP(B6,Mapping!B:G,6,0)</f>
        <v>Shweta</v>
      </c>
      <c r="H6" s="9">
        <v>1245326.2985397785</v>
      </c>
      <c r="I6" s="9">
        <v>1245934.297556719</v>
      </c>
      <c r="J6" s="9">
        <v>1271324.4295897186</v>
      </c>
      <c r="K6" s="9">
        <v>1273387.5442345047</v>
      </c>
      <c r="L6" s="9">
        <v>1222062.3048845471</v>
      </c>
      <c r="M6" s="9">
        <v>1501925.644544226</v>
      </c>
      <c r="N6" s="9" t="str">
        <f t="shared" si="3"/>
        <v>#REF!</v>
      </c>
      <c r="O6" s="9">
        <v>986314.7084837545</v>
      </c>
      <c r="P6" s="9">
        <v>324045.76117961225</v>
      </c>
      <c r="Q6" s="9">
        <v>345737.52901521366</v>
      </c>
      <c r="R6" s="9">
        <v>111349.6964382571</v>
      </c>
      <c r="S6" s="9">
        <v>104998.05600430802</v>
      </c>
      <c r="T6" s="9">
        <v>25095.0</v>
      </c>
    </row>
    <row r="7" ht="14.25" customHeight="1">
      <c r="A7" s="5" t="s">
        <v>7</v>
      </c>
      <c r="B7" s="8" t="s">
        <v>13</v>
      </c>
      <c r="C7" s="1" t="str">
        <f>VLOOKUP(B7,Mapping!B:C,2,0)</f>
        <v>Lateral</v>
      </c>
      <c r="D7" s="1" t="str">
        <f>VLOOKUP(B7,Mapping!B:D,3,0)</f>
        <v>West</v>
      </c>
      <c r="E7" s="1" t="str">
        <f>VLOOKUP(B7,Mapping!B:E,4,0)</f>
        <v>West 1</v>
      </c>
      <c r="F7" s="1" t="str">
        <f>VLOOKUP(B7,Mapping!B:F,5,0)</f>
        <v>Anjli</v>
      </c>
      <c r="G7" s="6" t="str">
        <f>VLOOKUP(B7,Mapping!B:G,6,0)</f>
        <v>Elton</v>
      </c>
      <c r="H7" s="9">
        <v>101191.03776435045</v>
      </c>
      <c r="I7" s="9">
        <v>102196.02879581152</v>
      </c>
      <c r="J7" s="9">
        <v>98809.68251121076</v>
      </c>
      <c r="K7" s="9">
        <v>100937.62334451704</v>
      </c>
      <c r="L7" s="9">
        <v>47666.6931616341</v>
      </c>
      <c r="M7" s="9">
        <v>33048.960114928326</v>
      </c>
      <c r="N7" s="9" t="str">
        <f t="shared" si="3"/>
        <v>#REF!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</row>
    <row r="8" ht="14.25" customHeight="1">
      <c r="A8" s="5" t="s">
        <v>7</v>
      </c>
      <c r="B8" s="8" t="s">
        <v>14</v>
      </c>
      <c r="C8" s="1" t="str">
        <f>VLOOKUP(B8,Mapping!B:C,2,0)</f>
        <v>Lateral</v>
      </c>
      <c r="D8" s="1" t="str">
        <f>VLOOKUP(B8,Mapping!B:D,3,0)</f>
        <v>West</v>
      </c>
      <c r="E8" s="1" t="str">
        <f>VLOOKUP(B8,Mapping!B:E,4,0)</f>
        <v>West 1</v>
      </c>
      <c r="F8" s="1" t="str">
        <f>VLOOKUP(B8,Mapping!B:F,5,0)</f>
        <v>Anjli</v>
      </c>
      <c r="G8" s="6" t="str">
        <f>VLOOKUP(B8,Mapping!B:G,6,0)</f>
        <v>Elton</v>
      </c>
      <c r="H8" s="9">
        <v>184226.04279959717</v>
      </c>
      <c r="I8" s="9">
        <v>250597.05759162304</v>
      </c>
      <c r="J8" s="9">
        <v>180145.69201793722</v>
      </c>
      <c r="K8" s="9">
        <v>220886.24668903407</v>
      </c>
      <c r="L8" s="9">
        <v>164176.51509769095</v>
      </c>
      <c r="M8" s="9">
        <v>166507.84045971328</v>
      </c>
      <c r="N8" s="9" t="str">
        <f t="shared" si="3"/>
        <v>#REF!</v>
      </c>
      <c r="O8" s="9">
        <v>149558.62093862816</v>
      </c>
      <c r="P8" s="9">
        <v>147089.996503497</v>
      </c>
      <c r="Q8" s="9">
        <v>158100.76450760683</v>
      </c>
      <c r="R8" s="9">
        <v>157044.27553787743</v>
      </c>
      <c r="S8" s="9">
        <v>55099.7942918686</v>
      </c>
      <c r="T8" s="9">
        <v>0.0</v>
      </c>
    </row>
    <row r="9" ht="14.25" customHeight="1">
      <c r="A9" s="5" t="s">
        <v>7</v>
      </c>
      <c r="B9" s="8" t="s">
        <v>15</v>
      </c>
      <c r="C9" s="1" t="str">
        <f>VLOOKUP(B9,Mapping!B:C,2,0)</f>
        <v>Lateral</v>
      </c>
      <c r="D9" s="1" t="str">
        <f>VLOOKUP(B9,Mapping!B:D,3,0)</f>
        <v>West</v>
      </c>
      <c r="E9" s="1" t="str">
        <f>VLOOKUP(B9,Mapping!B:E,4,0)</f>
        <v>West 2</v>
      </c>
      <c r="F9" s="1" t="str">
        <f>VLOOKUP(B9,Mapping!B:F,5,0)</f>
        <v>Anjli</v>
      </c>
      <c r="G9" s="6" t="str">
        <f>VLOOKUP(B9,Mapping!B:G,6,0)</f>
        <v>Shweta</v>
      </c>
      <c r="H9" s="9">
        <v>471189.1510574018</v>
      </c>
      <c r="I9" s="9">
        <v>510927.1151832461</v>
      </c>
      <c r="J9" s="9">
        <v>514981.50463534857</v>
      </c>
      <c r="K9" s="9">
        <v>584415.679498499</v>
      </c>
      <c r="L9" s="9">
        <v>633646.7535523978</v>
      </c>
      <c r="M9" s="9">
        <v>1144940.5456309668</v>
      </c>
      <c r="N9" s="9" t="str">
        <f t="shared" si="3"/>
        <v>#REF!</v>
      </c>
      <c r="O9" s="9">
        <v>678745.8326714801</v>
      </c>
      <c r="P9" s="9">
        <v>1080258.638139732</v>
      </c>
      <c r="Q9" s="9">
        <v>941944.445750205</v>
      </c>
      <c r="R9" s="9">
        <v>1002118.418549991</v>
      </c>
      <c r="S9" s="9">
        <v>978532.4846526656</v>
      </c>
      <c r="T9" s="9">
        <v>1394785.1051318604</v>
      </c>
    </row>
    <row r="10" ht="14.25" customHeight="1">
      <c r="A10" s="5" t="s">
        <v>7</v>
      </c>
      <c r="B10" s="8" t="s">
        <v>16</v>
      </c>
      <c r="C10" s="1" t="str">
        <f>VLOOKUP(B10,Mapping!B:C,2,0)</f>
        <v>Lateral</v>
      </c>
      <c r="D10" s="1" t="str">
        <f>VLOOKUP(B10,Mapping!B:D,3,0)</f>
        <v>West</v>
      </c>
      <c r="E10" s="1" t="str">
        <f>VLOOKUP(B10,Mapping!B:E,4,0)</f>
        <v>West 2</v>
      </c>
      <c r="F10" s="1" t="str">
        <f>VLOOKUP(B10,Mapping!B:F,5,0)</f>
        <v>Anjli</v>
      </c>
      <c r="G10" s="6" t="str">
        <f>VLOOKUP(B10,Mapping!B:G,6,0)</f>
        <v>Shweta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 t="str">
        <f t="shared" si="3"/>
        <v>#REF!</v>
      </c>
      <c r="O10" s="9">
        <v>0.0</v>
      </c>
      <c r="P10" s="9">
        <v>55725.15870896797</v>
      </c>
      <c r="Q10" s="9">
        <v>0.0</v>
      </c>
      <c r="R10" s="9">
        <v>59646.13776893871</v>
      </c>
      <c r="S10" s="9">
        <v>150642.5885837372</v>
      </c>
      <c r="T10" s="9">
        <v>352510.1250890948</v>
      </c>
    </row>
    <row r="11" ht="14.25" customHeight="1">
      <c r="A11" s="5" t="s">
        <v>7</v>
      </c>
      <c r="B11" s="8" t="s">
        <v>17</v>
      </c>
      <c r="C11" s="1" t="str">
        <f>VLOOKUP(B11,Mapping!B:C,2,0)</f>
        <v>Lateral</v>
      </c>
      <c r="D11" s="1" t="str">
        <f>VLOOKUP(B11,Mapping!B:D,3,0)</f>
        <v>North</v>
      </c>
      <c r="E11" s="1" t="str">
        <f>VLOOKUP(B11,Mapping!B:E,4,0)</f>
        <v>North</v>
      </c>
      <c r="F11" s="1" t="str">
        <f>VLOOKUP(B11,Mapping!B:F,5,0)</f>
        <v>Anjli</v>
      </c>
      <c r="G11" s="6" t="str">
        <f>VLOOKUP(B11,Mapping!B:G,6,0)</f>
        <v>Archana</v>
      </c>
      <c r="H11" s="9">
        <v>1450196.3524672708</v>
      </c>
      <c r="I11" s="9">
        <v>1362223.2687609075</v>
      </c>
      <c r="J11" s="9">
        <v>1408580.4938730167</v>
      </c>
      <c r="K11" s="9">
        <v>1552878.73123786</v>
      </c>
      <c r="L11" s="9">
        <v>1495747.1207815276</v>
      </c>
      <c r="M11" s="9">
        <v>1612641.2402301172</v>
      </c>
      <c r="N11" s="9" t="str">
        <f t="shared" si="3"/>
        <v>#REF!</v>
      </c>
      <c r="O11" s="9">
        <v>1340877.6570397113</v>
      </c>
      <c r="P11" s="9">
        <v>1345524.457812816</v>
      </c>
      <c r="Q11" s="9">
        <v>1374848.3515532478</v>
      </c>
      <c r="R11" s="9">
        <v>1365482.9287651419</v>
      </c>
      <c r="S11" s="9">
        <v>1363663.1200861605</v>
      </c>
      <c r="T11" s="9">
        <v>1499785.8246614398</v>
      </c>
    </row>
    <row r="12" ht="14.25" customHeight="1">
      <c r="A12" s="5" t="s">
        <v>7</v>
      </c>
      <c r="B12" s="8" t="s">
        <v>18</v>
      </c>
      <c r="C12" s="1" t="str">
        <f>VLOOKUP(B12,Mapping!B:C,2,0)</f>
        <v>Lateral</v>
      </c>
      <c r="D12" s="1" t="str">
        <f>VLOOKUP(B12,Mapping!B:D,3,0)</f>
        <v>North</v>
      </c>
      <c r="E12" s="1" t="str">
        <f>VLOOKUP(B12,Mapping!B:E,4,0)</f>
        <v>North</v>
      </c>
      <c r="F12" s="1" t="str">
        <f>VLOOKUP(B12,Mapping!B:F,5,0)</f>
        <v>Anjli</v>
      </c>
      <c r="G12" s="6" t="str">
        <f>VLOOKUP(B12,Mapping!B:G,6,0)</f>
        <v>Archana</v>
      </c>
      <c r="H12" s="9">
        <v>1207368.8688318226</v>
      </c>
      <c r="I12" s="9">
        <v>1122027.2543630018</v>
      </c>
      <c r="J12" s="9">
        <v>1255767.6751502566</v>
      </c>
      <c r="K12" s="9">
        <v>1168499.172876567</v>
      </c>
      <c r="L12" s="9">
        <v>1101269.654973357</v>
      </c>
      <c r="M12" s="9">
        <v>1312894.6227198257</v>
      </c>
      <c r="N12" s="9" t="str">
        <f t="shared" si="3"/>
        <v>#REF!</v>
      </c>
      <c r="O12" s="9">
        <v>1055269.6292418772</v>
      </c>
      <c r="P12" s="9">
        <v>903645.5216915266</v>
      </c>
      <c r="Q12" s="9">
        <v>879186.4901156964</v>
      </c>
      <c r="R12" s="9">
        <v>812914.4465738564</v>
      </c>
      <c r="S12" s="9">
        <v>741822.1017770597</v>
      </c>
      <c r="T12" s="9">
        <v>281108.5473984319</v>
      </c>
    </row>
    <row r="13" ht="14.25" customHeight="1">
      <c r="A13" s="5" t="s">
        <v>7</v>
      </c>
      <c r="B13" s="8" t="s">
        <v>19</v>
      </c>
      <c r="C13" s="1" t="str">
        <f>VLOOKUP(B13,Mapping!B:C,2,0)</f>
        <v>Lateral</v>
      </c>
      <c r="D13" s="1" t="str">
        <f>VLOOKUP(B13,Mapping!B:D,3,0)</f>
        <v>North</v>
      </c>
      <c r="E13" s="1" t="str">
        <f>VLOOKUP(B13,Mapping!B:E,4,0)</f>
        <v>North</v>
      </c>
      <c r="F13" s="1" t="str">
        <f>VLOOKUP(B13,Mapping!B:F,5,0)</f>
        <v>Anjli</v>
      </c>
      <c r="G13" s="6" t="str">
        <f>VLOOKUP(B13,Mapping!B:G,6,0)</f>
        <v>Archana</v>
      </c>
      <c r="H13" s="9">
        <v>25619.010070493456</v>
      </c>
      <c r="I13" s="9">
        <v>160595.03839441534</v>
      </c>
      <c r="J13" s="9">
        <v>417524.62421524664</v>
      </c>
      <c r="K13" s="9">
        <v>1242518.1061274942</v>
      </c>
      <c r="L13" s="9">
        <v>1718972.5373001776</v>
      </c>
      <c r="M13" s="9">
        <v>2354845.052885643</v>
      </c>
      <c r="N13" s="9" t="str">
        <f t="shared" si="3"/>
        <v>#REF!</v>
      </c>
      <c r="O13" s="9">
        <v>2226835.9350180505</v>
      </c>
      <c r="P13" s="9">
        <v>3344725.6789797004</v>
      </c>
      <c r="Q13" s="9">
        <v>3362897.157055662</v>
      </c>
      <c r="R13" s="9">
        <v>3521795.21243898</v>
      </c>
      <c r="S13" s="9">
        <v>3636320.6677436726</v>
      </c>
      <c r="T13" s="9">
        <v>5091759.930506058</v>
      </c>
    </row>
    <row r="14" ht="14.25" customHeight="1">
      <c r="A14" s="5" t="s">
        <v>7</v>
      </c>
      <c r="B14" s="8" t="s">
        <v>20</v>
      </c>
      <c r="C14" s="1" t="str">
        <f>VLOOKUP(B14,Mapping!B:C,2,0)</f>
        <v>Lateral</v>
      </c>
      <c r="D14" s="1" t="str">
        <f>VLOOKUP(B14,Mapping!B:D,3,0)</f>
        <v>North</v>
      </c>
      <c r="E14" s="1" t="str">
        <f>VLOOKUP(B14,Mapping!B:E,4,0)</f>
        <v>North</v>
      </c>
      <c r="F14" s="1" t="str">
        <f>VLOOKUP(B14,Mapping!B:F,5,0)</f>
        <v>Anjli</v>
      </c>
      <c r="G14" s="6" t="str">
        <f>VLOOKUP(B14,Mapping!B:G,6,0)</f>
        <v>Archana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67014.92022985665</v>
      </c>
      <c r="N14" s="9" t="str">
        <f t="shared" si="3"/>
        <v>#REF!</v>
      </c>
      <c r="O14" s="9">
        <v>0.0</v>
      </c>
      <c r="P14" s="9">
        <v>0.0</v>
      </c>
      <c r="Q14" s="9">
        <v>0.0</v>
      </c>
      <c r="R14" s="9">
        <v>0.0</v>
      </c>
      <c r="S14" s="9">
        <v>61927.7942918686</v>
      </c>
      <c r="T14" s="9">
        <v>72962.84461867427</v>
      </c>
    </row>
    <row r="15" ht="14.25" customHeight="1">
      <c r="A15" s="5" t="s">
        <v>7</v>
      </c>
      <c r="B15" s="8" t="s">
        <v>21</v>
      </c>
      <c r="C15" s="1" t="str">
        <f>VLOOKUP(B15,Mapping!B:C,2,0)</f>
        <v>Lateral</v>
      </c>
      <c r="D15" s="1" t="str">
        <f>VLOOKUP(B15,Mapping!B:D,3,0)</f>
        <v>North</v>
      </c>
      <c r="E15" s="1" t="str">
        <f>VLOOKUP(B15,Mapping!B:E,4,0)</f>
        <v>North</v>
      </c>
      <c r="F15" s="1" t="str">
        <f>VLOOKUP(B15,Mapping!B:F,5,0)</f>
        <v>Anjli</v>
      </c>
      <c r="G15" s="6" t="str">
        <f>VLOOKUP(B15,Mapping!B:G,6,0)</f>
        <v>Archana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10696.054373938008</v>
      </c>
      <c r="N15" s="9" t="str">
        <f t="shared" si="3"/>
        <v>#REF!</v>
      </c>
      <c r="O15" s="9">
        <v>91345.31046931408</v>
      </c>
      <c r="P15" s="9">
        <v>65349.80053784684</v>
      </c>
      <c r="Q15" s="9">
        <v>217778.95563450851</v>
      </c>
      <c r="R15" s="9">
        <v>162798.20665340807</v>
      </c>
      <c r="S15" s="9">
        <v>117840.6914378029</v>
      </c>
      <c r="T15" s="9">
        <v>229017.1115466857</v>
      </c>
    </row>
    <row r="16" ht="14.25" customHeight="1">
      <c r="A16" s="5" t="s">
        <v>7</v>
      </c>
      <c r="B16" s="8" t="s">
        <v>22</v>
      </c>
      <c r="C16" s="1" t="str">
        <f>VLOOKUP(B16,Mapping!B:C,2,0)</f>
        <v>Lateral</v>
      </c>
      <c r="D16" s="1" t="str">
        <f>VLOOKUP(B16,Mapping!B:D,3,0)</f>
        <v>North</v>
      </c>
      <c r="E16" s="1" t="str">
        <f>VLOOKUP(B16,Mapping!B:E,4,0)</f>
        <v>North</v>
      </c>
      <c r="F16" s="1" t="str">
        <f>VLOOKUP(B16,Mapping!B:F,5,0)</f>
        <v>Anjli</v>
      </c>
      <c r="G16" s="6" t="str">
        <f>VLOOKUP(B16,Mapping!B:G,6,0)</f>
        <v>Archana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 t="str">
        <f t="shared" si="3"/>
        <v>#REF!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161436.68923734853</v>
      </c>
    </row>
    <row r="17" ht="14.25" customHeight="1">
      <c r="A17" s="5" t="s">
        <v>7</v>
      </c>
      <c r="B17" s="8" t="s">
        <v>23</v>
      </c>
      <c r="C17" s="1" t="str">
        <f>VLOOKUP(B17,Mapping!B:C,2,0)</f>
        <v>Lateral</v>
      </c>
      <c r="D17" s="1" t="str">
        <f>VLOOKUP(B17,Mapping!B:D,3,0)</f>
        <v>West</v>
      </c>
      <c r="E17" s="1" t="str">
        <f>VLOOKUP(B17,Mapping!B:E,4,0)</f>
        <v>West 1</v>
      </c>
      <c r="F17" s="1" t="str">
        <f>VLOOKUP(B17,Mapping!B:F,5,0)</f>
        <v>Anjli</v>
      </c>
      <c r="G17" s="6" t="str">
        <f>VLOOKUP(B17,Mapping!B:G,6,0)</f>
        <v>Usha</v>
      </c>
      <c r="H17" s="9">
        <v>641524.1913393757</v>
      </c>
      <c r="I17" s="9">
        <v>620036.9426352531</v>
      </c>
      <c r="J17" s="9">
        <v>606822.8419627028</v>
      </c>
      <c r="K17" s="9">
        <v>472161.8054034964</v>
      </c>
      <c r="L17" s="9">
        <v>497777.8360390764</v>
      </c>
      <c r="M17" s="9">
        <v>572166.931990556</v>
      </c>
      <c r="N17" s="9" t="str">
        <f t="shared" si="3"/>
        <v>#REF!</v>
      </c>
      <c r="O17" s="9">
        <v>327661.79433212994</v>
      </c>
      <c r="P17" s="9">
        <v>295462.87745667674</v>
      </c>
      <c r="Q17" s="9">
        <v>541729.1023959187</v>
      </c>
      <c r="R17" s="9">
        <v>480445.7577291629</v>
      </c>
      <c r="S17" s="9">
        <v>407016.0743134087</v>
      </c>
      <c r="T17" s="9">
        <v>488883.3920171062</v>
      </c>
    </row>
    <row r="18" ht="14.25" customHeight="1">
      <c r="A18" s="5" t="s">
        <v>7</v>
      </c>
      <c r="B18" s="8" t="s">
        <v>24</v>
      </c>
      <c r="C18" s="1" t="str">
        <f>VLOOKUP(B18,Mapping!B:C,2,0)</f>
        <v>Lateral</v>
      </c>
      <c r="D18" s="1" t="str">
        <f>VLOOKUP(B18,Mapping!B:D,3,0)</f>
        <v>West</v>
      </c>
      <c r="E18" s="1" t="str">
        <f>VLOOKUP(B18,Mapping!B:E,4,0)</f>
        <v>West 1</v>
      </c>
      <c r="F18" s="1" t="str">
        <f>VLOOKUP(B18,Mapping!B:F,5,0)</f>
        <v>Anjli</v>
      </c>
      <c r="G18" s="6" t="str">
        <f>VLOOKUP(B18,Mapping!B:G,6,0)</f>
        <v>Elton</v>
      </c>
      <c r="H18" s="9">
        <v>201012.05790533737</v>
      </c>
      <c r="I18" s="9">
        <v>203382.04415357765</v>
      </c>
      <c r="J18" s="9">
        <v>118643.50263157563</v>
      </c>
      <c r="K18" s="9">
        <v>65522.12466890341</v>
      </c>
      <c r="L18" s="9">
        <v>0.0</v>
      </c>
      <c r="M18" s="9">
        <v>0.0</v>
      </c>
      <c r="N18" s="9" t="str">
        <f t="shared" si="3"/>
        <v>#REF!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</row>
    <row r="19" ht="14.25" customHeight="1">
      <c r="A19" s="5" t="s">
        <v>7</v>
      </c>
      <c r="B19" s="8" t="s">
        <v>25</v>
      </c>
      <c r="C19" s="1" t="str">
        <f>VLOOKUP(B19,Mapping!B:C,2,0)</f>
        <v>Lateral</v>
      </c>
      <c r="D19" s="1" t="str">
        <f>VLOOKUP(B19,Mapping!B:D,3,0)</f>
        <v>West</v>
      </c>
      <c r="E19" s="1" t="str">
        <f>VLOOKUP(B19,Mapping!B:E,4,0)</f>
        <v>West 1</v>
      </c>
      <c r="F19" s="1" t="str">
        <f>VLOOKUP(B19,Mapping!B:F,5,0)</f>
        <v>Anjli</v>
      </c>
      <c r="G19" s="6" t="str">
        <f>VLOOKUP(B19,Mapping!B:G,6,0)</f>
        <v>Usha</v>
      </c>
      <c r="H19" s="9">
        <v>1173992.3927492448</v>
      </c>
      <c r="I19" s="9">
        <v>1121379.0770157068</v>
      </c>
      <c r="J19" s="9">
        <v>1053047.5720075457</v>
      </c>
      <c r="K19" s="9">
        <v>897049.9238919301</v>
      </c>
      <c r="L19" s="9">
        <v>880495.7495381882</v>
      </c>
      <c r="M19" s="9">
        <v>1043137.140547073</v>
      </c>
      <c r="N19" s="9" t="str">
        <f t="shared" si="3"/>
        <v>#REF!</v>
      </c>
      <c r="O19" s="9">
        <v>861463.8990252707</v>
      </c>
      <c r="P19" s="9">
        <v>748354.2533362537</v>
      </c>
      <c r="Q19" s="9">
        <v>837737.3959187391</v>
      </c>
      <c r="R19" s="9">
        <v>861212.5843427952</v>
      </c>
      <c r="S19" s="9">
        <v>921763.4286483575</v>
      </c>
      <c r="T19" s="9">
        <v>940366.7266571631</v>
      </c>
    </row>
    <row r="20" ht="14.25" customHeight="1">
      <c r="A20" s="5" t="s">
        <v>7</v>
      </c>
      <c r="B20" s="8" t="s">
        <v>26</v>
      </c>
      <c r="C20" s="1" t="str">
        <f>VLOOKUP(B20,Mapping!B:C,2,0)</f>
        <v>Lateral</v>
      </c>
      <c r="D20" s="1" t="str">
        <f>VLOOKUP(B20,Mapping!B:D,3,0)</f>
        <v>West</v>
      </c>
      <c r="E20" s="1" t="str">
        <f>VLOOKUP(B20,Mapping!B:E,4,0)</f>
        <v>West 1</v>
      </c>
      <c r="F20" s="1" t="str">
        <f>VLOOKUP(B20,Mapping!B:F,5,0)</f>
        <v>Anjli</v>
      </c>
      <c r="G20" s="6" t="str">
        <f>VLOOKUP(B20,Mapping!B:G,6,0)</f>
        <v>Geetu</v>
      </c>
      <c r="H20" s="9">
        <v>1546547.526183283</v>
      </c>
      <c r="I20" s="9">
        <v>1384975.3532286212</v>
      </c>
      <c r="J20" s="9">
        <v>1352573.7851054135</v>
      </c>
      <c r="K20" s="9">
        <v>1438729.8541409147</v>
      </c>
      <c r="L20" s="9">
        <v>1479886.2676731793</v>
      </c>
      <c r="M20" s="9">
        <v>1508614.040091752</v>
      </c>
      <c r="N20" s="9" t="str">
        <f t="shared" si="3"/>
        <v>#REF!</v>
      </c>
      <c r="O20" s="9">
        <v>1252618.1815884477</v>
      </c>
      <c r="P20" s="9">
        <v>1134559.9790878356</v>
      </c>
      <c r="Q20" s="9">
        <v>1049565.7809055299</v>
      </c>
      <c r="R20" s="9">
        <v>818596.191466281</v>
      </c>
      <c r="S20" s="9">
        <v>831299.5223478728</v>
      </c>
      <c r="T20" s="9">
        <v>970211.6995723449</v>
      </c>
    </row>
    <row r="21" ht="14.25" customHeight="1">
      <c r="A21" s="5" t="s">
        <v>7</v>
      </c>
      <c r="B21" s="8" t="s">
        <v>27</v>
      </c>
      <c r="C21" s="1" t="str">
        <f>VLOOKUP(B21,Mapping!B:C,2,0)</f>
        <v>Lateral &amp; Leadership</v>
      </c>
      <c r="D21" s="1" t="str">
        <f>VLOOKUP(B21,Mapping!B:D,3,0)</f>
        <v>West</v>
      </c>
      <c r="E21" s="1" t="str">
        <f>VLOOKUP(B21,Mapping!B:E,4,0)</f>
        <v>West 1</v>
      </c>
      <c r="F21" s="1" t="str">
        <f>VLOOKUP(B21,Mapping!B:F,5,0)</f>
        <v>Anjli</v>
      </c>
      <c r="G21" s="6" t="str">
        <f>VLOOKUP(B21,Mapping!B:G,6,0)</f>
        <v>Dhriti</v>
      </c>
      <c r="H21" s="9">
        <v>5175858.744712991</v>
      </c>
      <c r="I21" s="9">
        <v>4971484.267015707</v>
      </c>
      <c r="J21" s="9">
        <v>4660542.2607371295</v>
      </c>
      <c r="K21" s="9">
        <v>4590092.43333922</v>
      </c>
      <c r="L21" s="9">
        <v>4662894.8392539965</v>
      </c>
      <c r="M21" s="9">
        <v>5587372.93786059</v>
      </c>
      <c r="N21" s="9" t="str">
        <f t="shared" si="3"/>
        <v>#REF!</v>
      </c>
      <c r="O21" s="9">
        <v>4355174.5595667865</v>
      </c>
      <c r="P21" s="9">
        <v>4346504.314010095</v>
      </c>
      <c r="Q21" s="9">
        <v>4457092.935228204</v>
      </c>
      <c r="R21" s="9">
        <v>4482616.403905261</v>
      </c>
      <c r="S21" s="9">
        <v>4940957.040387722</v>
      </c>
      <c r="T21" s="9">
        <v>5607150.633285816</v>
      </c>
    </row>
    <row r="22" ht="14.25" customHeight="1">
      <c r="A22" s="5" t="s">
        <v>7</v>
      </c>
      <c r="B22" s="8" t="s">
        <v>28</v>
      </c>
      <c r="C22" s="1" t="str">
        <f>VLOOKUP(B22,Mapping!B:C,2,0)</f>
        <v>Lateral</v>
      </c>
      <c r="D22" s="1" t="str">
        <f>VLOOKUP(B22,Mapping!B:D,3,0)</f>
        <v>West</v>
      </c>
      <c r="E22" s="1" t="str">
        <f>VLOOKUP(B22,Mapping!B:E,4,0)</f>
        <v>West 1</v>
      </c>
      <c r="F22" s="1" t="str">
        <f>VLOOKUP(B22,Mapping!B:F,5,0)</f>
        <v>Anjli</v>
      </c>
      <c r="G22" s="6" t="str">
        <f>VLOOKUP(B22,Mapping!B:G,6,0)</f>
        <v>Geetu</v>
      </c>
      <c r="H22" s="9">
        <v>1112775.387713998</v>
      </c>
      <c r="I22" s="9">
        <v>968977.2687609075</v>
      </c>
      <c r="J22" s="9">
        <v>895665.0230209988</v>
      </c>
      <c r="K22" s="9">
        <v>866706.735652481</v>
      </c>
      <c r="L22" s="9">
        <v>882037.3481349911</v>
      </c>
      <c r="M22" s="9">
        <v>998619.4795405476</v>
      </c>
      <c r="N22" s="9" t="str">
        <f t="shared" si="3"/>
        <v>#REF!</v>
      </c>
      <c r="O22" s="9">
        <v>696391.7256317689</v>
      </c>
      <c r="P22" s="9">
        <v>727418.1864171217</v>
      </c>
      <c r="Q22" s="9">
        <v>724728.5870456409</v>
      </c>
      <c r="R22" s="9">
        <v>738184.9223467727</v>
      </c>
      <c r="S22" s="9">
        <v>674404.5223478728</v>
      </c>
      <c r="T22" s="9">
        <v>809400.6995723449</v>
      </c>
    </row>
    <row r="23" ht="14.25" customHeight="1">
      <c r="A23" s="5" t="s">
        <v>7</v>
      </c>
      <c r="B23" s="8" t="s">
        <v>29</v>
      </c>
      <c r="C23" s="1" t="str">
        <f>VLOOKUP(B23,Mapping!B:C,2,0)</f>
        <v>Lateral</v>
      </c>
      <c r="D23" s="1" t="str">
        <f>VLOOKUP(B23,Mapping!B:D,3,0)</f>
        <v>West</v>
      </c>
      <c r="E23" s="1" t="str">
        <f>VLOOKUP(B23,Mapping!B:E,4,0)</f>
        <v>West 1</v>
      </c>
      <c r="F23" s="1" t="str">
        <f>VLOOKUP(B23,Mapping!B:F,5,0)</f>
        <v>Anjli</v>
      </c>
      <c r="G23" s="6" t="str">
        <f>VLOOKUP(B23,Mapping!B:G,6,0)</f>
        <v>Alifia</v>
      </c>
      <c r="H23" s="9">
        <v>3080564.954179255</v>
      </c>
      <c r="I23" s="9">
        <v>3305996.727574171</v>
      </c>
      <c r="J23" s="9">
        <v>3205752.0090232734</v>
      </c>
      <c r="K23" s="9">
        <v>3129588.580964153</v>
      </c>
      <c r="L23" s="9">
        <v>3111631.523268206</v>
      </c>
      <c r="M23" s="9">
        <v>3619366.973317493</v>
      </c>
      <c r="N23" s="9" t="str">
        <f t="shared" si="3"/>
        <v>#REF!</v>
      </c>
      <c r="O23" s="9">
        <v>2854462.0805054153</v>
      </c>
      <c r="P23" s="9">
        <v>2727125.1744963974</v>
      </c>
      <c r="Q23" s="9">
        <v>2710749.6143755126</v>
      </c>
      <c r="R23" s="9">
        <v>2756406.821912855</v>
      </c>
      <c r="S23" s="9">
        <v>2703695.211631664</v>
      </c>
      <c r="T23" s="9">
        <v>2968763.4062722735</v>
      </c>
    </row>
    <row r="24" ht="14.25" customHeight="1">
      <c r="A24" s="5" t="s">
        <v>7</v>
      </c>
      <c r="B24" s="8" t="s">
        <v>30</v>
      </c>
      <c r="C24" s="1" t="str">
        <f>VLOOKUP(B24,Mapping!B:C,2,0)</f>
        <v>Lateral</v>
      </c>
      <c r="D24" s="1" t="str">
        <f>VLOOKUP(B24,Mapping!B:D,3,0)</f>
        <v>West</v>
      </c>
      <c r="E24" s="1" t="str">
        <f>VLOOKUP(B24,Mapping!B:E,4,0)</f>
        <v>West 1</v>
      </c>
      <c r="F24" s="1" t="str">
        <f>VLOOKUP(B24,Mapping!B:F,5,0)</f>
        <v>Anjli</v>
      </c>
      <c r="G24" s="6" t="str">
        <f>VLOOKUP(B24,Mapping!B:G,6,0)</f>
        <v>Geetu</v>
      </c>
      <c r="H24" s="9">
        <v>1847454.1231117826</v>
      </c>
      <c r="I24" s="9">
        <v>1761951.4434554973</v>
      </c>
      <c r="J24" s="9">
        <v>1585416.3765569055</v>
      </c>
      <c r="K24" s="9">
        <v>1329666.3528165284</v>
      </c>
      <c r="L24" s="9">
        <v>1387196.5493783304</v>
      </c>
      <c r="M24" s="9">
        <v>987180.5060094751</v>
      </c>
      <c r="N24" s="9" t="str">
        <f t="shared" si="3"/>
        <v>#REF!</v>
      </c>
      <c r="O24" s="9">
        <v>1036156.6848375452</v>
      </c>
      <c r="P24" s="9">
        <v>615748.2504706576</v>
      </c>
      <c r="Q24" s="9">
        <v>569087.0580304273</v>
      </c>
      <c r="R24" s="9">
        <v>588091.4261435545</v>
      </c>
      <c r="S24" s="9">
        <v>601783.1577813678</v>
      </c>
      <c r="T24" s="9">
        <v>649609.5441910193</v>
      </c>
    </row>
    <row r="25" ht="14.25" customHeight="1">
      <c r="A25" s="5" t="s">
        <v>7</v>
      </c>
      <c r="B25" s="8" t="s">
        <v>31</v>
      </c>
      <c r="C25" s="1" t="str">
        <f>VLOOKUP(B25,Mapping!B:C,2,0)</f>
        <v>Lateral</v>
      </c>
      <c r="D25" s="1" t="str">
        <f>VLOOKUP(B25,Mapping!B:D,3,0)</f>
        <v>West</v>
      </c>
      <c r="E25" s="1" t="str">
        <f>VLOOKUP(B25,Mapping!B:E,4,0)</f>
        <v>West 1</v>
      </c>
      <c r="F25" s="1" t="str">
        <f>VLOOKUP(B25,Mapping!B:F,5,0)</f>
        <v>Anjli</v>
      </c>
      <c r="G25" s="6" t="str">
        <f>VLOOKUP(B25,Mapping!B:G,6,0)</f>
        <v>Geetu</v>
      </c>
      <c r="H25" s="9">
        <v>529338.1359516616</v>
      </c>
      <c r="I25" s="9">
        <v>515671.1171029668</v>
      </c>
      <c r="J25" s="9">
        <v>492456.512918344</v>
      </c>
      <c r="K25" s="9">
        <v>371455.24580610986</v>
      </c>
      <c r="L25" s="9">
        <v>219531.39840142097</v>
      </c>
      <c r="M25" s="9">
        <v>50741.512252842316</v>
      </c>
      <c r="N25" s="9" t="str">
        <f t="shared" si="3"/>
        <v>#REF!</v>
      </c>
      <c r="O25" s="9">
        <v>66158.06209386281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</row>
    <row r="26" ht="14.25" customHeight="1">
      <c r="A26" s="5" t="s">
        <v>7</v>
      </c>
      <c r="B26" s="8" t="s">
        <v>32</v>
      </c>
      <c r="C26" s="1" t="str">
        <f>VLOOKUP(B26,Mapping!B:C,2,0)</f>
        <v>Lateral</v>
      </c>
      <c r="D26" s="1" t="str">
        <f>VLOOKUP(B26,Mapping!B:D,3,0)</f>
        <v>West</v>
      </c>
      <c r="E26" s="1" t="str">
        <f>VLOOKUP(B26,Mapping!B:E,4,0)</f>
        <v>West 1</v>
      </c>
      <c r="F26" s="1" t="str">
        <f>VLOOKUP(B26,Mapping!B:F,5,0)</f>
        <v>Anjli</v>
      </c>
      <c r="G26" s="6" t="str">
        <f>VLOOKUP(B26,Mapping!B:G,6,0)</f>
        <v>Elton</v>
      </c>
      <c r="H26" s="9">
        <v>321854.07804632426</v>
      </c>
      <c r="I26" s="9">
        <v>380661.4660383944</v>
      </c>
      <c r="J26" s="9">
        <v>380656.77918762947</v>
      </c>
      <c r="K26" s="9">
        <v>361735.49620342575</v>
      </c>
      <c r="L26" s="9">
        <v>184017.06841918294</v>
      </c>
      <c r="M26" s="9">
        <v>172265.12513099358</v>
      </c>
      <c r="N26" s="9" t="str">
        <f t="shared" si="3"/>
        <v>#REF!</v>
      </c>
      <c r="O26" s="9">
        <v>93278.51602888087</v>
      </c>
      <c r="P26" s="9">
        <v>69050.99940559441</v>
      </c>
      <c r="Q26" s="9">
        <v>0.0</v>
      </c>
      <c r="R26" s="9">
        <v>0.0</v>
      </c>
      <c r="S26" s="9">
        <v>0.0</v>
      </c>
      <c r="T26" s="9">
        <v>0.0</v>
      </c>
    </row>
    <row r="27" ht="14.25" customHeight="1">
      <c r="A27" s="5" t="s">
        <v>7</v>
      </c>
      <c r="B27" s="8" t="s">
        <v>33</v>
      </c>
      <c r="C27" s="1" t="str">
        <f>VLOOKUP(B27,Mapping!B:C,2,0)</f>
        <v>Lateral</v>
      </c>
      <c r="D27" s="1" t="str">
        <f>VLOOKUP(B27,Mapping!B:D,3,0)</f>
        <v>West</v>
      </c>
      <c r="E27" s="1" t="str">
        <f>VLOOKUP(B27,Mapping!B:E,4,0)</f>
        <v>West 1</v>
      </c>
      <c r="F27" s="1" t="str">
        <f>VLOOKUP(B27,Mapping!B:F,5,0)</f>
        <v>Anjli</v>
      </c>
      <c r="G27" s="6" t="str">
        <f>VLOOKUP(B27,Mapping!B:G,6,0)</f>
        <v>Geetu</v>
      </c>
      <c r="H27" s="9">
        <v>0.0</v>
      </c>
      <c r="I27" s="9">
        <v>0.0</v>
      </c>
      <c r="J27" s="9">
        <v>129953.57668161436</v>
      </c>
      <c r="K27" s="9">
        <v>637242.7400671022</v>
      </c>
      <c r="L27" s="9">
        <v>729848.5754884547</v>
      </c>
      <c r="M27" s="9">
        <v>1072525.942964222</v>
      </c>
      <c r="N27" s="9" t="str">
        <f t="shared" si="3"/>
        <v>#REF!</v>
      </c>
      <c r="O27" s="9">
        <v>726653.7256317689</v>
      </c>
      <c r="P27" s="9">
        <v>763521.6547065758</v>
      </c>
      <c r="Q27" s="9">
        <v>748615.6812425982</v>
      </c>
      <c r="R27" s="9">
        <v>675148.0052431748</v>
      </c>
      <c r="S27" s="9">
        <v>1026582.8675282714</v>
      </c>
      <c r="T27" s="9">
        <v>1221856.6828225232</v>
      </c>
    </row>
    <row r="28" ht="14.25" customHeight="1">
      <c r="A28" s="5" t="s">
        <v>7</v>
      </c>
      <c r="B28" s="8" t="s">
        <v>34</v>
      </c>
      <c r="C28" s="1" t="str">
        <f>VLOOKUP(B28,Mapping!B:C,2,0)</f>
        <v>Lateral</v>
      </c>
      <c r="D28" s="1" t="str">
        <f>VLOOKUP(B28,Mapping!B:D,3,0)</f>
        <v>West</v>
      </c>
      <c r="E28" s="1" t="str">
        <f>VLOOKUP(B28,Mapping!B:E,4,0)</f>
        <v>West 1</v>
      </c>
      <c r="F28" s="1" t="str">
        <f>VLOOKUP(B28,Mapping!B:F,5,0)</f>
        <v>Anjli</v>
      </c>
      <c r="G28" s="6" t="str">
        <f>VLOOKUP(B28,Mapping!B:G,6,0)</f>
        <v>Geetu</v>
      </c>
      <c r="H28" s="9">
        <v>0.0</v>
      </c>
      <c r="I28" s="9">
        <v>0.0</v>
      </c>
      <c r="J28" s="9">
        <v>131011.68251121076</v>
      </c>
      <c r="K28" s="9">
        <v>209165.4977926894</v>
      </c>
      <c r="L28" s="9">
        <v>280763.7726465364</v>
      </c>
      <c r="M28" s="9">
        <v>391126.70810639556</v>
      </c>
      <c r="N28" s="9" t="str">
        <f t="shared" si="3"/>
        <v>#REF!</v>
      </c>
      <c r="O28" s="9">
        <v>217588.93140794223</v>
      </c>
      <c r="P28" s="9">
        <v>128584.80053784684</v>
      </c>
      <c r="Q28" s="9">
        <v>144253.00136649358</v>
      </c>
      <c r="R28" s="9">
        <v>126931.13776893872</v>
      </c>
      <c r="S28" s="9">
        <v>126575.7942918686</v>
      </c>
      <c r="T28" s="9">
        <v>176500.0135424091</v>
      </c>
    </row>
    <row r="29" ht="14.25" customHeight="1">
      <c r="A29" s="5" t="s">
        <v>7</v>
      </c>
      <c r="B29" s="8" t="s">
        <v>35</v>
      </c>
      <c r="C29" s="1" t="str">
        <f>VLOOKUP(B29,Mapping!B:C,2,0)</f>
        <v>Lateral</v>
      </c>
      <c r="D29" s="1" t="str">
        <f>VLOOKUP(B29,Mapping!B:D,3,0)</f>
        <v>West</v>
      </c>
      <c r="E29" s="1" t="str">
        <f>VLOOKUP(B29,Mapping!B:E,4,0)</f>
        <v>West 1</v>
      </c>
      <c r="F29" s="1" t="str">
        <f>VLOOKUP(B29,Mapping!B:F,5,0)</f>
        <v>Anjli</v>
      </c>
      <c r="G29" s="6" t="str">
        <f>VLOOKUP(B29,Mapping!B:G,6,0)</f>
        <v>Geetu</v>
      </c>
      <c r="H29" s="9">
        <v>0.0</v>
      </c>
      <c r="I29" s="9">
        <v>40818.01919720768</v>
      </c>
      <c r="J29" s="9">
        <v>210973.81686098655</v>
      </c>
      <c r="K29" s="9">
        <v>458212.99117075757</v>
      </c>
      <c r="L29" s="9">
        <v>581373.3179396093</v>
      </c>
      <c r="M29" s="9">
        <v>721412.7714341519</v>
      </c>
      <c r="N29" s="9" t="str">
        <f t="shared" si="3"/>
        <v>#REF!</v>
      </c>
      <c r="O29" s="9">
        <v>534749.7942238267</v>
      </c>
      <c r="P29" s="9">
        <v>480992.32473091024</v>
      </c>
      <c r="Q29" s="9">
        <v>514279.9140020042</v>
      </c>
      <c r="R29" s="9">
        <v>461843.6403905261</v>
      </c>
      <c r="S29" s="9">
        <v>518433.9337641357</v>
      </c>
      <c r="T29" s="9">
        <v>691770.0103349964</v>
      </c>
    </row>
    <row r="30" ht="14.25" customHeight="1">
      <c r="A30" s="5" t="s">
        <v>7</v>
      </c>
      <c r="B30" s="8" t="s">
        <v>36</v>
      </c>
      <c r="C30" s="1" t="str">
        <f>VLOOKUP(B30,Mapping!B:C,2,0)</f>
        <v>Lateral</v>
      </c>
      <c r="D30" s="1" t="str">
        <f>VLOOKUP(B30,Mapping!B:D,3,0)</f>
        <v>West</v>
      </c>
      <c r="E30" s="1" t="str">
        <f>VLOOKUP(B30,Mapping!B:E,4,0)</f>
        <v>West 1</v>
      </c>
      <c r="F30" s="1" t="str">
        <f>VLOOKUP(B30,Mapping!B:F,5,0)</f>
        <v>Anjli</v>
      </c>
      <c r="G30" s="6" t="str">
        <f>VLOOKUP(B30,Mapping!B:G,6,0)</f>
        <v>Geetu</v>
      </c>
      <c r="H30" s="9">
        <v>0.0</v>
      </c>
      <c r="I30" s="9">
        <v>0.0</v>
      </c>
      <c r="J30" s="9">
        <v>0.0</v>
      </c>
      <c r="K30" s="9">
        <v>0.0</v>
      </c>
      <c r="L30" s="9">
        <v>0.0</v>
      </c>
      <c r="M30" s="9">
        <v>185966.9763945583</v>
      </c>
      <c r="N30" s="9" t="str">
        <f t="shared" si="3"/>
        <v>#REF!</v>
      </c>
      <c r="O30" s="9">
        <v>241141.2418772563</v>
      </c>
      <c r="P30" s="9">
        <v>405072.6126780077</v>
      </c>
      <c r="Q30" s="9">
        <v>390239.76860708755</v>
      </c>
      <c r="R30" s="9">
        <v>489439.04727897304</v>
      </c>
      <c r="S30" s="9">
        <v>474618.3451803985</v>
      </c>
      <c r="T30" s="9">
        <v>560354.3210976479</v>
      </c>
    </row>
    <row r="31" ht="14.25" customHeight="1">
      <c r="A31" s="5" t="s">
        <v>7</v>
      </c>
      <c r="B31" s="8" t="s">
        <v>37</v>
      </c>
      <c r="C31" s="1" t="str">
        <f>VLOOKUP(B31,Mapping!B:C,2,0)</f>
        <v>Lateral</v>
      </c>
      <c r="D31" s="1" t="str">
        <f>VLOOKUP(B31,Mapping!B:D,3,0)</f>
        <v>West</v>
      </c>
      <c r="E31" s="1" t="str">
        <f>VLOOKUP(B31,Mapping!B:E,4,0)</f>
        <v>West 1</v>
      </c>
      <c r="F31" s="1" t="str">
        <f>VLOOKUP(B31,Mapping!B:F,5,0)</f>
        <v>Anjli</v>
      </c>
      <c r="G31" s="6" t="str">
        <f>VLOOKUP(B31,Mapping!B:G,6,0)</f>
        <v>Ankit</v>
      </c>
      <c r="H31" s="9">
        <v>0.0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 t="str">
        <f t="shared" si="3"/>
        <v>#REF!</v>
      </c>
      <c r="O31" s="9">
        <v>150478.2761732852</v>
      </c>
      <c r="P31" s="9">
        <v>865140.6959842364</v>
      </c>
      <c r="Q31" s="9">
        <v>1512276.7392730254</v>
      </c>
      <c r="R31" s="9">
        <v>1564589.286024227</v>
      </c>
      <c r="S31" s="9">
        <v>2440544.735056543</v>
      </c>
      <c r="T31" s="9">
        <v>3601418.7170349252</v>
      </c>
    </row>
    <row r="32" ht="14.25" customHeight="1">
      <c r="A32" s="5" t="s">
        <v>7</v>
      </c>
      <c r="B32" s="8" t="s">
        <v>38</v>
      </c>
      <c r="C32" s="1" t="str">
        <f>VLOOKUP(B32,Mapping!B:C,2,0)</f>
        <v>Lateral</v>
      </c>
      <c r="D32" s="1" t="str">
        <f>VLOOKUP(B32,Mapping!B:D,3,0)</f>
        <v>North</v>
      </c>
      <c r="E32" s="1" t="str">
        <f>VLOOKUP(B32,Mapping!B:E,4,0)</f>
        <v>North</v>
      </c>
      <c r="F32" s="1" t="str">
        <f>VLOOKUP(B32,Mapping!B:F,5,0)</f>
        <v>Anjli</v>
      </c>
      <c r="G32" s="6" t="str">
        <f>VLOOKUP(B32,Mapping!B:G,6,0)</f>
        <v>Archana</v>
      </c>
      <c r="H32" s="9">
        <v>0.0</v>
      </c>
      <c r="I32" s="9">
        <v>0.0</v>
      </c>
      <c r="J32" s="9">
        <v>0.0</v>
      </c>
      <c r="K32" s="9">
        <v>0.0</v>
      </c>
      <c r="L32" s="9">
        <v>0.0</v>
      </c>
      <c r="M32" s="9">
        <v>0.0</v>
      </c>
      <c r="N32" s="9" t="str">
        <f t="shared" si="3"/>
        <v>#REF!</v>
      </c>
      <c r="O32" s="9">
        <v>0.0</v>
      </c>
      <c r="P32" s="9">
        <v>0.0</v>
      </c>
      <c r="Q32" s="9">
        <v>0.0</v>
      </c>
      <c r="R32" s="9">
        <v>454557.82661363226</v>
      </c>
      <c r="S32" s="9">
        <v>587558.5600430802</v>
      </c>
      <c r="T32" s="9">
        <v>603561.7569493941</v>
      </c>
    </row>
    <row r="33" ht="14.25" customHeight="1">
      <c r="A33" s="5" t="s">
        <v>7</v>
      </c>
      <c r="B33" s="8" t="s">
        <v>39</v>
      </c>
      <c r="C33" s="1" t="str">
        <f>VLOOKUP(B33,Mapping!B:C,2,0)</f>
        <v>Lateral</v>
      </c>
      <c r="D33" s="1" t="str">
        <f>VLOOKUP(B33,Mapping!B:D,3,0)</f>
        <v>South</v>
      </c>
      <c r="E33" s="1" t="str">
        <f>VLOOKUP(B33,Mapping!B:E,4,0)</f>
        <v>South 1</v>
      </c>
      <c r="F33" s="1" t="str">
        <f>VLOOKUP(B33,Mapping!B:F,5,0)</f>
        <v>Sulabh</v>
      </c>
      <c r="G33" s="6" t="str">
        <f>VLOOKUP(B33,Mapping!B:G,6,0)</f>
        <v>Subu</v>
      </c>
      <c r="H33" s="9">
        <v>922594.4653575025</v>
      </c>
      <c r="I33" s="9">
        <v>1067639.2438045375</v>
      </c>
      <c r="J33" s="9">
        <v>1072760.792348353</v>
      </c>
      <c r="K33" s="9">
        <v>1116820.2343280946</v>
      </c>
      <c r="L33" s="9">
        <v>1251691.170071048</v>
      </c>
      <c r="M33" s="9">
        <v>1605837.3290354577</v>
      </c>
      <c r="N33" s="9" t="str">
        <f t="shared" si="3"/>
        <v>#REF!</v>
      </c>
      <c r="O33" s="9">
        <v>1121762.0083032493</v>
      </c>
      <c r="P33" s="9">
        <v>1094475.1893891497</v>
      </c>
      <c r="Q33" s="9">
        <v>961452.9167349914</v>
      </c>
      <c r="R33" s="9">
        <v>779278.1021515097</v>
      </c>
      <c r="S33" s="9">
        <v>824104.3543349488</v>
      </c>
      <c r="T33" s="9">
        <v>962066.6015680685</v>
      </c>
    </row>
    <row r="34" ht="14.25" customHeight="1">
      <c r="A34" s="5" t="s">
        <v>7</v>
      </c>
      <c r="B34" s="8" t="s">
        <v>40</v>
      </c>
      <c r="C34" s="1" t="str">
        <f>VLOOKUP(B34,Mapping!B:C,2,0)</f>
        <v>Lateral</v>
      </c>
      <c r="D34" s="1" t="str">
        <f>VLOOKUP(B34,Mapping!B:D,3,0)</f>
        <v>South</v>
      </c>
      <c r="E34" s="1" t="str">
        <f>VLOOKUP(B34,Mapping!B:E,4,0)</f>
        <v>South 2</v>
      </c>
      <c r="F34" s="1" t="str">
        <f>VLOOKUP(B34,Mapping!B:F,5,0)</f>
        <v>Sulabh</v>
      </c>
      <c r="G34" s="6" t="str">
        <f>VLOOKUP(B34,Mapping!B:G,6,0)</f>
        <v>Krishna</v>
      </c>
      <c r="H34" s="9">
        <v>527980.1283987915</v>
      </c>
      <c r="I34" s="9">
        <v>364905.05087260035</v>
      </c>
      <c r="J34" s="9">
        <v>382700.531151755</v>
      </c>
      <c r="K34" s="9">
        <v>422410.3704750133</v>
      </c>
      <c r="L34" s="9">
        <v>337684.7726465364</v>
      </c>
      <c r="M34" s="9">
        <v>0.0</v>
      </c>
      <c r="N34" s="9" t="str">
        <f t="shared" si="3"/>
        <v>#REF!</v>
      </c>
      <c r="O34" s="9">
        <v>0.0</v>
      </c>
      <c r="P34" s="9">
        <v>6188.748800358682</v>
      </c>
      <c r="Q34" s="9">
        <v>0.0</v>
      </c>
      <c r="R34" s="9">
        <v>0.0</v>
      </c>
      <c r="S34" s="9">
        <v>0.0</v>
      </c>
      <c r="T34" s="9">
        <v>0.0</v>
      </c>
    </row>
    <row r="35" ht="14.25" customHeight="1">
      <c r="A35" s="5" t="s">
        <v>7</v>
      </c>
      <c r="B35" s="8" t="s">
        <v>41</v>
      </c>
      <c r="C35" s="1" t="str">
        <f>VLOOKUP(B35,Mapping!B:C,2,0)</f>
        <v>Lateral</v>
      </c>
      <c r="D35" s="1" t="str">
        <f>VLOOKUP(B35,Mapping!B:D,3,0)</f>
        <v>West</v>
      </c>
      <c r="E35" s="1" t="str">
        <f>VLOOKUP(B35,Mapping!B:E,4,0)</f>
        <v>West 1</v>
      </c>
      <c r="F35" s="1" t="str">
        <f>VLOOKUP(B35,Mapping!B:F,5,0)</f>
        <v>Anjli</v>
      </c>
      <c r="G35" s="6" t="str">
        <f>VLOOKUP(B35,Mapping!B:G,6,0)</f>
        <v>Geetu</v>
      </c>
      <c r="H35" s="9">
        <v>373658.011530715</v>
      </c>
      <c r="I35" s="9">
        <v>379440.07966841187</v>
      </c>
      <c r="J35" s="9">
        <v>401807.70890960254</v>
      </c>
      <c r="K35" s="9">
        <v>367883.0579198305</v>
      </c>
      <c r="L35" s="9">
        <v>369321.9688277087</v>
      </c>
      <c r="M35" s="9">
        <v>399075.1912952656</v>
      </c>
      <c r="N35" s="9" t="str">
        <f t="shared" si="3"/>
        <v>#REF!</v>
      </c>
      <c r="O35" s="9">
        <v>347281.0384476534</v>
      </c>
      <c r="P35" s="9">
        <v>346189.1694310332</v>
      </c>
      <c r="Q35" s="9">
        <v>339011.76724059397</v>
      </c>
      <c r="R35" s="9">
        <v>296856.55107575486</v>
      </c>
      <c r="S35" s="9">
        <v>297466.1771674744</v>
      </c>
      <c r="T35" s="9">
        <v>314983.1250890948</v>
      </c>
    </row>
    <row r="36" ht="14.25" customHeight="1">
      <c r="A36" s="5" t="s">
        <v>7</v>
      </c>
      <c r="B36" s="8" t="s">
        <v>42</v>
      </c>
      <c r="C36" s="1" t="str">
        <f>VLOOKUP(B36,Mapping!B:C,2,0)</f>
        <v>Lateral</v>
      </c>
      <c r="D36" s="1" t="str">
        <f>VLOOKUP(B36,Mapping!B:D,3,0)</f>
        <v>South</v>
      </c>
      <c r="E36" s="1" t="str">
        <f>VLOOKUP(B36,Mapping!B:E,4,0)</f>
        <v>South 2</v>
      </c>
      <c r="F36" s="1" t="str">
        <f>VLOOKUP(B36,Mapping!B:F,5,0)</f>
        <v>Sulabh</v>
      </c>
      <c r="G36" s="6" t="str">
        <f>VLOOKUP(B36,Mapping!B:G,6,0)</f>
        <v>Sulabh</v>
      </c>
      <c r="H36" s="9">
        <v>609295.1787512589</v>
      </c>
      <c r="I36" s="9">
        <v>591264.1363001745</v>
      </c>
      <c r="J36" s="9">
        <v>462002.50463534857</v>
      </c>
      <c r="K36" s="9">
        <v>422297.74448172346</v>
      </c>
      <c r="L36" s="9">
        <v>422236.28774422733</v>
      </c>
      <c r="M36" s="9">
        <v>400.0</v>
      </c>
      <c r="N36" s="9" t="str">
        <f t="shared" si="3"/>
        <v>#REF!</v>
      </c>
      <c r="O36" s="9">
        <v>800.0</v>
      </c>
      <c r="P36" s="9">
        <v>8113.833326161358</v>
      </c>
      <c r="Q36" s="9">
        <v>89276.38225380341</v>
      </c>
      <c r="R36" s="9">
        <v>88701.13776893872</v>
      </c>
      <c r="S36" s="9">
        <v>89736.7942918686</v>
      </c>
      <c r="T36" s="9">
        <v>0.0</v>
      </c>
    </row>
    <row r="37" ht="14.25" customHeight="1">
      <c r="A37" s="5" t="s">
        <v>7</v>
      </c>
      <c r="B37" s="8" t="s">
        <v>43</v>
      </c>
      <c r="C37" s="1" t="str">
        <f>VLOOKUP(B37,Mapping!B:C,2,0)</f>
        <v>Lateral</v>
      </c>
      <c r="D37" s="1" t="str">
        <f>VLOOKUP(B37,Mapping!B:D,3,0)</f>
        <v>North</v>
      </c>
      <c r="E37" s="1" t="str">
        <f>VLOOKUP(B37,Mapping!B:E,4,0)</f>
        <v>North</v>
      </c>
      <c r="F37" s="1" t="str">
        <f>VLOOKUP(B37,Mapping!B:F,5,0)</f>
        <v>Anjli</v>
      </c>
      <c r="G37" s="6" t="str">
        <f>VLOOKUP(B37,Mapping!B:G,6,0)</f>
        <v>Archana</v>
      </c>
      <c r="H37" s="9">
        <v>904845.212940584</v>
      </c>
      <c r="I37" s="9">
        <v>903071.2140488656</v>
      </c>
      <c r="J37" s="9">
        <v>788875.5312937543</v>
      </c>
      <c r="K37" s="9">
        <v>696858.802401554</v>
      </c>
      <c r="L37" s="9">
        <v>717663.2565719361</v>
      </c>
      <c r="M37" s="9">
        <v>914277.8368065299</v>
      </c>
      <c r="N37" s="9" t="str">
        <f t="shared" si="3"/>
        <v>#REF!</v>
      </c>
      <c r="O37" s="9">
        <v>839847.7427797834</v>
      </c>
      <c r="P37" s="9">
        <v>855393.9917626608</v>
      </c>
      <c r="Q37" s="9">
        <v>885269.3003552883</v>
      </c>
      <c r="R37" s="9">
        <v>784184.5154583259</v>
      </c>
      <c r="S37" s="9">
        <v>859441.5315024232</v>
      </c>
      <c r="T37" s="9">
        <v>982262.1354240912</v>
      </c>
    </row>
    <row r="38" ht="14.25" customHeight="1">
      <c r="A38" s="5" t="s">
        <v>7</v>
      </c>
      <c r="B38" s="8" t="s">
        <v>44</v>
      </c>
      <c r="C38" s="1" t="str">
        <f>VLOOKUP(B38,Mapping!B:C,2,0)</f>
        <v>Lateral</v>
      </c>
      <c r="D38" s="1" t="str">
        <f>VLOOKUP(B38,Mapping!B:D,3,0)</f>
        <v>North</v>
      </c>
      <c r="E38" s="1" t="str">
        <f>VLOOKUP(B38,Mapping!B:E,4,0)</f>
        <v>North</v>
      </c>
      <c r="F38" s="1" t="str">
        <f>VLOOKUP(B38,Mapping!B:F,5,0)</f>
        <v>Anjli</v>
      </c>
      <c r="G38" s="6" t="str">
        <f>VLOOKUP(B38,Mapping!B:G,6,0)</f>
        <v>Anjli</v>
      </c>
      <c r="H38" s="9">
        <v>0.0</v>
      </c>
      <c r="I38" s="9">
        <v>131047.01919720767</v>
      </c>
      <c r="J38" s="9">
        <v>997723.4166816144</v>
      </c>
      <c r="K38" s="9">
        <v>1014048.7979869327</v>
      </c>
      <c r="L38" s="9">
        <v>943755.3420959148</v>
      </c>
      <c r="M38" s="9">
        <v>98968.10427582801</v>
      </c>
      <c r="N38" s="9" t="str">
        <f t="shared" si="3"/>
        <v>#REF!</v>
      </c>
      <c r="O38" s="9">
        <v>0.0</v>
      </c>
      <c r="P38" s="9">
        <v>0.0</v>
      </c>
      <c r="Q38" s="9">
        <v>0.0</v>
      </c>
      <c r="R38" s="9">
        <v>0.0</v>
      </c>
      <c r="S38" s="9">
        <v>0.0</v>
      </c>
      <c r="T38" s="9">
        <v>0.0</v>
      </c>
    </row>
    <row r="39" ht="14.25" customHeight="1">
      <c r="A39" s="5" t="s">
        <v>7</v>
      </c>
      <c r="B39" s="8" t="s">
        <v>45</v>
      </c>
      <c r="C39" s="1" t="str">
        <f>VLOOKUP(B39,Mapping!B:C,2,0)</f>
        <v>Lateral</v>
      </c>
      <c r="D39" s="1" t="str">
        <f>VLOOKUP(B39,Mapping!B:D,3,0)</f>
        <v>South</v>
      </c>
      <c r="E39" s="1" t="str">
        <f>VLOOKUP(B39,Mapping!B:E,4,0)</f>
        <v>South 2</v>
      </c>
      <c r="F39" s="1" t="str">
        <f>VLOOKUP(B39,Mapping!B:F,5,0)</f>
        <v>Sulabh</v>
      </c>
      <c r="G39" s="6" t="str">
        <f>VLOOKUP(B39,Mapping!B:G,6,0)</f>
        <v>Krishna</v>
      </c>
      <c r="H39" s="9">
        <v>217765.07804632428</v>
      </c>
      <c r="I39" s="9">
        <v>195789.05759162304</v>
      </c>
      <c r="J39" s="9">
        <v>195696.36502242152</v>
      </c>
      <c r="K39" s="9">
        <v>211814.24668903407</v>
      </c>
      <c r="L39" s="9">
        <v>210315.7726465364</v>
      </c>
      <c r="M39" s="9">
        <v>233069.84225047694</v>
      </c>
      <c r="N39" s="9" t="str">
        <f t="shared" si="3"/>
        <v>#REF!</v>
      </c>
      <c r="O39" s="9">
        <v>192167.93140794223</v>
      </c>
      <c r="P39" s="9">
        <v>203942.30622695628</v>
      </c>
      <c r="Q39" s="9">
        <v>204967.14676141023</v>
      </c>
      <c r="R39" s="9">
        <v>206888.41330681613</v>
      </c>
      <c r="S39" s="9">
        <v>220311.9623047927</v>
      </c>
      <c r="T39" s="9">
        <v>248099.61831789024</v>
      </c>
    </row>
    <row r="40" ht="14.25" customHeight="1">
      <c r="A40" s="5" t="s">
        <v>7</v>
      </c>
      <c r="B40" s="8" t="s">
        <v>46</v>
      </c>
      <c r="C40" s="1" t="str">
        <f>VLOOKUP(B40,Mapping!B:C,2,0)</f>
        <v>Lateral</v>
      </c>
      <c r="D40" s="1" t="str">
        <f>VLOOKUP(B40,Mapping!B:D,3,0)</f>
        <v>South</v>
      </c>
      <c r="E40" s="1" t="str">
        <f>VLOOKUP(B40,Mapping!B:E,4,0)</f>
        <v>South 2</v>
      </c>
      <c r="F40" s="1" t="str">
        <f>VLOOKUP(B40,Mapping!B:F,5,0)</f>
        <v>Sulabh</v>
      </c>
      <c r="G40" s="6" t="str">
        <f>VLOOKUP(B40,Mapping!B:G,6,0)</f>
        <v>Krishna</v>
      </c>
      <c r="H40" s="9">
        <v>139527.05035246728</v>
      </c>
      <c r="I40" s="9">
        <v>141002.03839441534</v>
      </c>
      <c r="J40" s="9">
        <v>140043.57668161436</v>
      </c>
      <c r="K40" s="9">
        <v>151130.4977926894</v>
      </c>
      <c r="L40" s="9">
        <v>152011.51509769095</v>
      </c>
      <c r="M40" s="9">
        <v>163915.36830877874</v>
      </c>
      <c r="N40" s="9" t="str">
        <f t="shared" si="3"/>
        <v>#REF!</v>
      </c>
      <c r="O40" s="9">
        <v>138119.62093862816</v>
      </c>
      <c r="P40" s="9">
        <v>139888.06717800768</v>
      </c>
      <c r="Q40" s="9">
        <v>146397.76450760683</v>
      </c>
      <c r="R40" s="9">
        <v>146744.27553787743</v>
      </c>
      <c r="S40" s="9">
        <v>145074.5885837372</v>
      </c>
      <c r="T40" s="9">
        <v>164733.68923734853</v>
      </c>
    </row>
    <row r="41" ht="14.25" customHeight="1">
      <c r="A41" s="5" t="s">
        <v>7</v>
      </c>
      <c r="B41" s="8" t="s">
        <v>47</v>
      </c>
      <c r="C41" s="1" t="str">
        <f>VLOOKUP(B41,Mapping!B:C,2,0)</f>
        <v>Lateral</v>
      </c>
      <c r="D41" s="1" t="str">
        <f>VLOOKUP(B41,Mapping!B:D,3,0)</f>
        <v>South</v>
      </c>
      <c r="E41" s="1" t="str">
        <f>VLOOKUP(B41,Mapping!B:E,4,0)</f>
        <v>South 2</v>
      </c>
      <c r="F41" s="1" t="str">
        <f>VLOOKUP(B41,Mapping!B:F,5,0)</f>
        <v>Sulabh</v>
      </c>
      <c r="G41" s="6" t="str">
        <f>VLOOKUP(B41,Mapping!B:G,6,0)</f>
        <v>Krishna</v>
      </c>
      <c r="H41" s="9">
        <v>428659.1510574018</v>
      </c>
      <c r="I41" s="9">
        <v>724.0</v>
      </c>
      <c r="J41" s="9">
        <v>0.0</v>
      </c>
      <c r="K41" s="9">
        <v>24152.0</v>
      </c>
      <c r="L41" s="9">
        <v>102995.0</v>
      </c>
      <c r="M41" s="9">
        <v>60284.0</v>
      </c>
      <c r="N41" s="9" t="str">
        <f t="shared" si="3"/>
        <v>#REF!</v>
      </c>
      <c r="O41" s="9">
        <v>0.0</v>
      </c>
      <c r="P41" s="9">
        <v>0.0</v>
      </c>
      <c r="Q41" s="9">
        <v>100.0</v>
      </c>
      <c r="R41" s="9">
        <v>0.0</v>
      </c>
      <c r="S41" s="9">
        <v>0.0</v>
      </c>
      <c r="T41" s="9">
        <v>-1364.0</v>
      </c>
    </row>
    <row r="42" ht="14.25" customHeight="1">
      <c r="A42" s="5" t="s">
        <v>7</v>
      </c>
      <c r="B42" s="8" t="s">
        <v>48</v>
      </c>
      <c r="C42" s="1" t="str">
        <f>VLOOKUP(B42,Mapping!B:C,2,0)</f>
        <v>Lateral</v>
      </c>
      <c r="D42" s="1" t="str">
        <f>VLOOKUP(B42,Mapping!B:D,3,0)</f>
        <v>South</v>
      </c>
      <c r="E42" s="1" t="str">
        <f>VLOOKUP(B42,Mapping!B:E,4,0)</f>
        <v>South 2</v>
      </c>
      <c r="F42" s="1" t="str">
        <f>VLOOKUP(B42,Mapping!B:F,5,0)</f>
        <v>Sulabh</v>
      </c>
      <c r="G42" s="6" t="str">
        <f>VLOOKUP(B42,Mapping!B:G,6,0)</f>
        <v>Subu</v>
      </c>
      <c r="H42" s="9">
        <v>725584.1888217523</v>
      </c>
      <c r="I42" s="9">
        <v>996260.1727748691</v>
      </c>
      <c r="J42" s="9">
        <v>861741.376532921</v>
      </c>
      <c r="K42" s="9">
        <v>796543.86561893</v>
      </c>
      <c r="L42" s="9">
        <v>1022063.3179396093</v>
      </c>
      <c r="M42" s="9">
        <v>1080541.8801820274</v>
      </c>
      <c r="N42" s="9" t="str">
        <f t="shared" si="3"/>
        <v>#REF!</v>
      </c>
      <c r="O42" s="9">
        <v>1288085.346570397</v>
      </c>
      <c r="P42" s="9">
        <v>1018663.0301355462</v>
      </c>
      <c r="Q42" s="9">
        <v>952000.2047918375</v>
      </c>
      <c r="R42" s="9">
        <v>869266.4465738564</v>
      </c>
      <c r="S42" s="9">
        <v>725058.886914378</v>
      </c>
      <c r="T42" s="9">
        <v>870290.5306486101</v>
      </c>
    </row>
    <row r="43" ht="14.25" customHeight="1">
      <c r="A43" s="5" t="s">
        <v>7</v>
      </c>
      <c r="B43" s="8" t="s">
        <v>49</v>
      </c>
      <c r="C43" s="1" t="str">
        <f>VLOOKUP(B43,Mapping!B:C,2,0)</f>
        <v>Lateral</v>
      </c>
      <c r="D43" s="1" t="str">
        <f>VLOOKUP(B43,Mapping!B:D,3,0)</f>
        <v>South</v>
      </c>
      <c r="E43" s="1" t="str">
        <f>VLOOKUP(B43,Mapping!B:E,4,0)</f>
        <v>South 2</v>
      </c>
      <c r="F43" s="1" t="str">
        <f>VLOOKUP(B43,Mapping!B:F,5,0)</f>
        <v>Sulabh</v>
      </c>
      <c r="G43" s="6" t="str">
        <f>VLOOKUP(B43,Mapping!B:G,6,0)</f>
        <v>Krishna</v>
      </c>
      <c r="H43" s="9">
        <v>387117.1258811682</v>
      </c>
      <c r="I43" s="9">
        <v>416871.0959860384</v>
      </c>
      <c r="J43" s="9">
        <v>493218.3385060151</v>
      </c>
      <c r="K43" s="9">
        <v>497911.2422744129</v>
      </c>
      <c r="L43" s="9">
        <v>615947.8028419183</v>
      </c>
      <c r="M43" s="9">
        <v>633719.7678526246</v>
      </c>
      <c r="N43" s="9" t="str">
        <f t="shared" si="3"/>
        <v>#REF!</v>
      </c>
      <c r="O43" s="9">
        <v>102142.62093862816</v>
      </c>
      <c r="P43" s="9">
        <v>115773.52344261225</v>
      </c>
      <c r="Q43" s="9">
        <v>132181.7645076068</v>
      </c>
      <c r="R43" s="9">
        <v>131125.2755378774</v>
      </c>
      <c r="S43" s="9">
        <v>144941.16801292408</v>
      </c>
      <c r="T43" s="9">
        <v>300472.6183178902</v>
      </c>
    </row>
    <row r="44" ht="14.25" customHeight="1">
      <c r="A44" s="5" t="s">
        <v>7</v>
      </c>
      <c r="B44" s="8" t="s">
        <v>50</v>
      </c>
      <c r="C44" s="1" t="str">
        <f>VLOOKUP(B44,Mapping!B:C,2,0)</f>
        <v>Lateral</v>
      </c>
      <c r="D44" s="1" t="str">
        <f>VLOOKUP(B44,Mapping!B:D,3,0)</f>
        <v>South</v>
      </c>
      <c r="E44" s="1" t="str">
        <f>VLOOKUP(B44,Mapping!B:E,4,0)</f>
        <v>South 2</v>
      </c>
      <c r="F44" s="1" t="str">
        <f>VLOOKUP(B44,Mapping!B:F,5,0)</f>
        <v>Sulabh</v>
      </c>
      <c r="G44" s="6" t="str">
        <f>VLOOKUP(B44,Mapping!B:G,6,0)</f>
        <v>Krishna</v>
      </c>
      <c r="H44" s="9">
        <v>176921.05035246728</v>
      </c>
      <c r="I44" s="9">
        <v>356298.0959860384</v>
      </c>
      <c r="J44" s="9">
        <v>428341.94170403585</v>
      </c>
      <c r="K44" s="9">
        <v>408326.74448172346</v>
      </c>
      <c r="L44" s="9">
        <v>393870.0301953819</v>
      </c>
      <c r="M44" s="9">
        <v>432746.8984151786</v>
      </c>
      <c r="N44" s="9" t="str">
        <f t="shared" si="3"/>
        <v>#REF!</v>
      </c>
      <c r="O44" s="9">
        <v>253984.93140794223</v>
      </c>
      <c r="P44" s="9">
        <v>290716.134184841</v>
      </c>
      <c r="Q44" s="9">
        <v>266784.14676141023</v>
      </c>
      <c r="R44" s="9">
        <v>265152.41330681613</v>
      </c>
      <c r="S44" s="9">
        <v>1529.0</v>
      </c>
      <c r="T44" s="9">
        <v>84624.84461867427</v>
      </c>
    </row>
    <row r="45" ht="14.25" customHeight="1">
      <c r="A45" s="5" t="s">
        <v>7</v>
      </c>
      <c r="B45" s="8" t="s">
        <v>51</v>
      </c>
      <c r="C45" s="1" t="str">
        <f>VLOOKUP(B45,Mapping!B:C,2,0)</f>
        <v>Lateral</v>
      </c>
      <c r="D45" s="1" t="str">
        <f>VLOOKUP(B45,Mapping!B:D,3,0)</f>
        <v>South</v>
      </c>
      <c r="E45" s="1" t="str">
        <f>VLOOKUP(B45,Mapping!B:E,4,0)</f>
        <v>South 2</v>
      </c>
      <c r="F45" s="1" t="str">
        <f>VLOOKUP(B45,Mapping!B:F,5,0)</f>
        <v>Sulabh</v>
      </c>
      <c r="G45" s="6" t="str">
        <f>VLOOKUP(B45,Mapping!B:G,6,0)</f>
        <v>Krishna</v>
      </c>
      <c r="H45" s="9">
        <v>0.0</v>
      </c>
      <c r="I45" s="9">
        <v>0.0</v>
      </c>
      <c r="J45" s="9">
        <v>0.0</v>
      </c>
      <c r="K45" s="9">
        <v>0.0</v>
      </c>
      <c r="L45" s="9">
        <v>0.0</v>
      </c>
      <c r="M45" s="9">
        <v>0.0</v>
      </c>
      <c r="N45" s="9" t="str">
        <f t="shared" si="3"/>
        <v>#REF!</v>
      </c>
      <c r="O45" s="9">
        <v>0.0</v>
      </c>
      <c r="P45" s="9">
        <v>0.0</v>
      </c>
      <c r="Q45" s="9">
        <v>0.0</v>
      </c>
      <c r="R45" s="9">
        <v>0.0</v>
      </c>
      <c r="S45" s="9">
        <v>0.0</v>
      </c>
      <c r="T45" s="9">
        <v>0.0</v>
      </c>
    </row>
    <row r="46" ht="14.25" customHeight="1">
      <c r="A46" s="5" t="s">
        <v>7</v>
      </c>
      <c r="B46" s="8" t="s">
        <v>52</v>
      </c>
      <c r="C46" s="1" t="str">
        <f>VLOOKUP(B46,Mapping!B:C,2,0)</f>
        <v>Lateral</v>
      </c>
      <c r="D46" s="1" t="str">
        <f>VLOOKUP(B46,Mapping!B:D,3,0)</f>
        <v>South</v>
      </c>
      <c r="E46" s="1" t="str">
        <f>VLOOKUP(B46,Mapping!B:E,4,0)</f>
        <v>South 2</v>
      </c>
      <c r="F46" s="1" t="str">
        <f>VLOOKUP(B46,Mapping!B:F,5,0)</f>
        <v>Sulabh</v>
      </c>
      <c r="G46" s="6" t="str">
        <f>VLOOKUP(B46,Mapping!B:G,6,0)</f>
        <v>Krishna</v>
      </c>
      <c r="H46" s="9">
        <v>0.0</v>
      </c>
      <c r="I46" s="9">
        <v>0.0</v>
      </c>
      <c r="J46" s="9">
        <v>0.0</v>
      </c>
      <c r="K46" s="9">
        <v>0.0</v>
      </c>
      <c r="L46" s="9">
        <v>0.0</v>
      </c>
      <c r="M46" s="9">
        <v>0.0</v>
      </c>
      <c r="N46" s="9" t="str">
        <f t="shared" si="3"/>
        <v>#REF!</v>
      </c>
      <c r="O46" s="9">
        <v>0.0</v>
      </c>
      <c r="P46" s="9">
        <v>151974.33130430072</v>
      </c>
      <c r="Q46" s="9">
        <v>335153.29352282046</v>
      </c>
      <c r="R46" s="9">
        <v>606192.9159284035</v>
      </c>
      <c r="S46" s="9">
        <v>1004777.1109316101</v>
      </c>
      <c r="T46" s="9">
        <v>972079.5306486101</v>
      </c>
    </row>
    <row r="47" ht="14.25" customHeight="1">
      <c r="A47" s="5" t="s">
        <v>7</v>
      </c>
      <c r="B47" s="8" t="s">
        <v>53</v>
      </c>
      <c r="C47" s="1" t="str">
        <f>VLOOKUP(B47,Mapping!B:C,2,0)</f>
        <v>Lateral</v>
      </c>
      <c r="D47" s="1" t="str">
        <f>VLOOKUP(B47,Mapping!B:D,3,0)</f>
        <v>South</v>
      </c>
      <c r="E47" s="1" t="str">
        <f>VLOOKUP(B47,Mapping!B:E,4,0)</f>
        <v>South 2</v>
      </c>
      <c r="F47" s="1" t="str">
        <f>VLOOKUP(B47,Mapping!B:F,5,0)</f>
        <v>Sulabh</v>
      </c>
      <c r="G47" s="6" t="str">
        <f>VLOOKUP(B47,Mapping!B:G,6,0)</f>
        <v>Krishna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 t="str">
        <f t="shared" si="3"/>
        <v>#REF!</v>
      </c>
      <c r="O47" s="9">
        <v>0.0</v>
      </c>
      <c r="P47" s="9">
        <v>0.0</v>
      </c>
      <c r="Q47" s="9">
        <v>95462.14676141023</v>
      </c>
      <c r="R47" s="9">
        <v>339317.5026215874</v>
      </c>
      <c r="S47" s="9">
        <v>330683.3451803985</v>
      </c>
      <c r="T47" s="9">
        <v>446334.9967925873</v>
      </c>
    </row>
    <row r="48" ht="14.25" customHeight="1">
      <c r="A48" s="5" t="s">
        <v>7</v>
      </c>
      <c r="B48" s="8" t="s">
        <v>54</v>
      </c>
      <c r="C48" s="1" t="str">
        <f>VLOOKUP(B48,Mapping!B:C,2,0)</f>
        <v>Lateral</v>
      </c>
      <c r="D48" s="1" t="str">
        <f>VLOOKUP(B48,Mapping!B:D,3,0)</f>
        <v>South</v>
      </c>
      <c r="E48" s="1" t="str">
        <f>VLOOKUP(B48,Mapping!B:E,4,0)</f>
        <v>South 2</v>
      </c>
      <c r="F48" s="1" t="str">
        <f>VLOOKUP(B48,Mapping!B:F,5,0)</f>
        <v>Sulabh</v>
      </c>
      <c r="G48" s="6" t="str">
        <f>VLOOKUP(B48,Mapping!B:G,6,0)</f>
        <v>Satya</v>
      </c>
      <c r="H48" s="9">
        <v>0.0</v>
      </c>
      <c r="I48" s="9">
        <v>0.0</v>
      </c>
      <c r="J48" s="9">
        <v>0.0</v>
      </c>
      <c r="K48" s="9">
        <v>0.0</v>
      </c>
      <c r="L48" s="9">
        <v>0.0</v>
      </c>
      <c r="M48" s="9">
        <v>0.0</v>
      </c>
      <c r="N48" s="9" t="str">
        <f t="shared" si="3"/>
        <v>#REF!</v>
      </c>
      <c r="O48" s="9">
        <v>0.0</v>
      </c>
      <c r="P48" s="9">
        <v>0.0</v>
      </c>
      <c r="Q48" s="9">
        <v>0.0</v>
      </c>
      <c r="R48" s="9">
        <v>0.0</v>
      </c>
      <c r="S48" s="9">
        <v>0.0</v>
      </c>
      <c r="T48" s="9">
        <v>135051.68923734853</v>
      </c>
    </row>
    <row r="49" ht="14.25" customHeight="1">
      <c r="A49" s="5" t="s">
        <v>7</v>
      </c>
      <c r="B49" s="8" t="s">
        <v>55</v>
      </c>
      <c r="C49" s="1" t="str">
        <f>VLOOKUP(B49,Mapping!B:C,2,0)</f>
        <v>Lateral &amp; Leadership</v>
      </c>
      <c r="D49" s="1" t="str">
        <f>VLOOKUP(B49,Mapping!B:D,3,0)</f>
        <v>Bapi</v>
      </c>
      <c r="E49" s="1" t="str">
        <f>VLOOKUP(B49,Mapping!B:E,4,0)</f>
        <v>South 1</v>
      </c>
      <c r="F49" s="1" t="str">
        <f>VLOOKUP(B49,Mapping!B:F,5,0)</f>
        <v>Bapi</v>
      </c>
      <c r="G49" s="6" t="str">
        <f>VLOOKUP(B49,Mapping!B:G,6,0)</f>
        <v>Bapi</v>
      </c>
      <c r="H49" s="9">
        <v>6829445.978851964</v>
      </c>
      <c r="I49" s="9">
        <v>7187148.589528795</v>
      </c>
      <c r="J49" s="9">
        <v>7279717.171409775</v>
      </c>
      <c r="K49" s="9">
        <v>7282643.659720996</v>
      </c>
      <c r="L49" s="9">
        <v>7082671.585790409</v>
      </c>
      <c r="M49" s="9">
        <v>8038277.705550457</v>
      </c>
      <c r="N49" s="9" t="str">
        <f t="shared" si="3"/>
        <v>#REF!</v>
      </c>
      <c r="O49" s="9">
        <v>6750872.471480144</v>
      </c>
      <c r="P49" s="9">
        <v>6442655.299391638</v>
      </c>
      <c r="Q49" s="9">
        <v>6226212.616470803</v>
      </c>
      <c r="R49" s="9">
        <v>6423570.850479118</v>
      </c>
      <c r="S49" s="9">
        <v>6290455.291868606</v>
      </c>
      <c r="T49" s="9">
        <v>6789297.067533856</v>
      </c>
    </row>
    <row r="50" ht="14.25" customHeight="1">
      <c r="A50" s="5" t="s">
        <v>7</v>
      </c>
      <c r="B50" s="8" t="s">
        <v>56</v>
      </c>
      <c r="C50" s="1" t="str">
        <f>VLOOKUP(B50,Mapping!B:C,2,0)</f>
        <v>Lateral</v>
      </c>
      <c r="D50" s="1" t="str">
        <f>VLOOKUP(B50,Mapping!B:D,3,0)</f>
        <v>South</v>
      </c>
      <c r="E50" s="1" t="str">
        <f>VLOOKUP(B50,Mapping!B:E,4,0)</f>
        <v>South 1</v>
      </c>
      <c r="F50" s="1" t="str">
        <f>VLOOKUP(B50,Mapping!B:F,5,0)</f>
        <v>Sulabh</v>
      </c>
      <c r="G50" s="6" t="str">
        <f>VLOOKUP(B50,Mapping!B:G,6,0)</f>
        <v>Kunal</v>
      </c>
      <c r="H50" s="9">
        <v>1347729.3826787514</v>
      </c>
      <c r="I50" s="9">
        <v>1350651.287958115</v>
      </c>
      <c r="J50" s="9">
        <v>1482692.8624148306</v>
      </c>
      <c r="K50" s="9">
        <v>1353547.9832244394</v>
      </c>
      <c r="L50" s="9">
        <v>1330054.8571936057</v>
      </c>
      <c r="M50" s="9">
        <v>1414982.7061577362</v>
      </c>
      <c r="N50" s="9" t="str">
        <f t="shared" si="3"/>
        <v>#REF!</v>
      </c>
      <c r="O50" s="9">
        <v>1163463.0981949458</v>
      </c>
      <c r="P50" s="9">
        <v>1257683.4750328292</v>
      </c>
      <c r="Q50" s="9">
        <v>1192253.6368771067</v>
      </c>
      <c r="R50" s="9">
        <v>1190912.4874344603</v>
      </c>
      <c r="S50" s="9">
        <v>1554474.353257943</v>
      </c>
      <c r="T50" s="9">
        <v>1642074.1051318601</v>
      </c>
    </row>
    <row r="51" ht="14.25" customHeight="1">
      <c r="A51" s="5" t="s">
        <v>7</v>
      </c>
      <c r="B51" s="8" t="s">
        <v>57</v>
      </c>
      <c r="C51" s="1" t="str">
        <f>VLOOKUP(B51,Mapping!B:C,2,0)</f>
        <v>Lateral</v>
      </c>
      <c r="D51" s="1" t="str">
        <f>VLOOKUP(B51,Mapping!B:D,3,0)</f>
        <v>South</v>
      </c>
      <c r="E51" s="1" t="str">
        <f>VLOOKUP(B51,Mapping!B:E,4,0)</f>
        <v>South 2</v>
      </c>
      <c r="F51" s="1" t="str">
        <f>VLOOKUP(B51,Mapping!B:F,5,0)</f>
        <v>Sulabh</v>
      </c>
      <c r="G51" s="6" t="str">
        <f>VLOOKUP(B51,Mapping!B:G,6,0)</f>
        <v>Abhilash</v>
      </c>
      <c r="H51" s="9">
        <v>698289.2014098691</v>
      </c>
      <c r="I51" s="9">
        <v>680529.1535776614</v>
      </c>
      <c r="J51" s="9">
        <v>502299.7162945414</v>
      </c>
      <c r="K51" s="9">
        <v>410687.9955853788</v>
      </c>
      <c r="L51" s="9">
        <v>330504.7726465364</v>
      </c>
      <c r="M51" s="9">
        <v>330937.97836109984</v>
      </c>
      <c r="N51" s="9" t="str">
        <f t="shared" si="3"/>
        <v>#REF!</v>
      </c>
      <c r="O51" s="9">
        <v>60514.31046931408</v>
      </c>
      <c r="P51" s="9">
        <v>59279.99825174825</v>
      </c>
      <c r="Q51" s="9">
        <v>64785.38225380341</v>
      </c>
      <c r="R51" s="9">
        <v>64257.13776893871</v>
      </c>
      <c r="S51" s="9">
        <v>126857.5885837372</v>
      </c>
      <c r="T51" s="9">
        <v>0.0</v>
      </c>
    </row>
    <row r="52" ht="14.25" customHeight="1">
      <c r="A52" s="5" t="s">
        <v>7</v>
      </c>
      <c r="B52" s="8" t="s">
        <v>58</v>
      </c>
      <c r="C52" s="1" t="str">
        <f>VLOOKUP(B52,Mapping!B:C,2,0)</f>
        <v>Lateral</v>
      </c>
      <c r="D52" s="1" t="str">
        <f>VLOOKUP(B52,Mapping!B:D,3,0)</f>
        <v>Mahak</v>
      </c>
      <c r="E52" s="1" t="str">
        <f>VLOOKUP(B52,Mapping!B:E,4,0)</f>
        <v>South 1</v>
      </c>
      <c r="F52" s="1" t="str">
        <f>VLOOKUP(B52,Mapping!B:F,5,0)</f>
        <v>Mahak</v>
      </c>
      <c r="G52" s="6" t="str">
        <f>VLOOKUP(B52,Mapping!B:G,6,0)</f>
        <v>Mahak</v>
      </c>
      <c r="H52" s="9">
        <v>9101210.089627393</v>
      </c>
      <c r="I52" s="9">
        <v>8788721.487783596</v>
      </c>
      <c r="J52" s="9">
        <v>7524444.182314361</v>
      </c>
      <c r="K52" s="9">
        <v>7500964.058449585</v>
      </c>
      <c r="L52" s="9">
        <v>7649807.587744228</v>
      </c>
      <c r="M52" s="9">
        <v>8513777.032497544</v>
      </c>
      <c r="N52" s="9" t="str">
        <f t="shared" si="3"/>
        <v>#REF!</v>
      </c>
      <c r="O52" s="9">
        <v>7514945.015523465</v>
      </c>
      <c r="P52" s="9">
        <v>7924013.739471276</v>
      </c>
      <c r="Q52" s="9">
        <v>8504300.522273846</v>
      </c>
      <c r="R52" s="9">
        <v>8580818.057132525</v>
      </c>
      <c r="S52" s="9">
        <v>7985954.423263328</v>
      </c>
      <c r="T52" s="9">
        <v>6633596.210976479</v>
      </c>
    </row>
    <row r="53" ht="14.25" customHeight="1">
      <c r="A53" s="5" t="s">
        <v>7</v>
      </c>
      <c r="B53" s="8" t="s">
        <v>59</v>
      </c>
      <c r="C53" s="1" t="str">
        <f>VLOOKUP(B53,Mapping!B:C,2,0)</f>
        <v>Lateral</v>
      </c>
      <c r="D53" s="1" t="str">
        <f>VLOOKUP(B53,Mapping!B:D,3,0)</f>
        <v>South</v>
      </c>
      <c r="E53" s="1" t="str">
        <f>VLOOKUP(B53,Mapping!B:E,4,0)</f>
        <v>South 1</v>
      </c>
      <c r="F53" s="1" t="str">
        <f>VLOOKUP(B53,Mapping!B:F,5,0)</f>
        <v>Sulabh</v>
      </c>
      <c r="G53" s="6" t="str">
        <f>VLOOKUP(B53,Mapping!B:G,6,0)</f>
        <v>Satya</v>
      </c>
      <c r="H53" s="9">
        <v>296992.08811681776</v>
      </c>
      <c r="I53" s="9">
        <v>300166.06719022687</v>
      </c>
      <c r="J53" s="9">
        <v>266922.2591928251</v>
      </c>
      <c r="K53" s="9">
        <v>291610.12113720644</v>
      </c>
      <c r="L53" s="9">
        <v>266302.7726465364</v>
      </c>
      <c r="M53" s="9">
        <v>317934.00537229097</v>
      </c>
      <c r="N53" s="9" t="str">
        <f t="shared" si="3"/>
        <v>#REF!</v>
      </c>
      <c r="O53" s="9">
        <v>344322.2418772563</v>
      </c>
      <c r="P53" s="9">
        <v>356438.1162075311</v>
      </c>
      <c r="Q53" s="9">
        <v>361538.52901521366</v>
      </c>
      <c r="R53" s="9">
        <v>360485.55107575486</v>
      </c>
      <c r="S53" s="9">
        <v>357032.1771674744</v>
      </c>
      <c r="T53" s="9">
        <v>404873.37847469706</v>
      </c>
    </row>
    <row r="54" ht="14.25" customHeight="1">
      <c r="A54" s="5" t="s">
        <v>7</v>
      </c>
      <c r="B54" s="8" t="s">
        <v>60</v>
      </c>
      <c r="C54" s="1" t="str">
        <f>VLOOKUP(B54,Mapping!B:C,2,0)</f>
        <v>Lateral</v>
      </c>
      <c r="D54" s="1" t="str">
        <f>VLOOKUP(B54,Mapping!B:D,3,0)</f>
        <v>South</v>
      </c>
      <c r="E54" s="1" t="str">
        <f>VLOOKUP(B54,Mapping!B:E,4,0)</f>
        <v>South 1</v>
      </c>
      <c r="F54" s="1" t="str">
        <f>VLOOKUP(B54,Mapping!B:F,5,0)</f>
        <v>Sulabh</v>
      </c>
      <c r="G54" s="6" t="str">
        <f>VLOOKUP(B54,Mapping!B:G,6,0)</f>
        <v>Satya</v>
      </c>
      <c r="H54" s="9">
        <v>237776.05035246728</v>
      </c>
      <c r="I54" s="9">
        <v>240770.03839441534</v>
      </c>
      <c r="J54" s="9">
        <v>246398.35127211985</v>
      </c>
      <c r="K54" s="9">
        <v>205683.4977926894</v>
      </c>
      <c r="L54" s="9">
        <v>85076.25754884547</v>
      </c>
      <c r="M54" s="9">
        <v>94652.96101031014</v>
      </c>
      <c r="N54" s="9" t="str">
        <f t="shared" si="3"/>
        <v>#REF!</v>
      </c>
      <c r="O54" s="9">
        <v>78156.31046931408</v>
      </c>
      <c r="P54" s="9">
        <v>80679.45288053746</v>
      </c>
      <c r="Q54" s="9">
        <v>91519.38225380341</v>
      </c>
      <c r="R54" s="9">
        <v>81899.13776893872</v>
      </c>
      <c r="S54" s="9">
        <v>46622.7942918686</v>
      </c>
      <c r="T54" s="9">
        <v>367655.5338560228</v>
      </c>
    </row>
    <row r="55" ht="14.25" customHeight="1">
      <c r="A55" s="5" t="s">
        <v>7</v>
      </c>
      <c r="B55" s="8" t="s">
        <v>61</v>
      </c>
      <c r="C55" s="1" t="str">
        <f>VLOOKUP(B55,Mapping!B:C,2,0)</f>
        <v>Lateral</v>
      </c>
      <c r="D55" s="1" t="str">
        <f>VLOOKUP(B55,Mapping!B:D,3,0)</f>
        <v>South</v>
      </c>
      <c r="E55" s="1" t="str">
        <f>VLOOKUP(B55,Mapping!B:E,4,0)</f>
        <v>South 2</v>
      </c>
      <c r="F55" s="1" t="str">
        <f>VLOOKUP(B55,Mapping!B:F,5,0)</f>
        <v>Sulabh</v>
      </c>
      <c r="G55" s="6" t="str">
        <f>VLOOKUP(B55,Mapping!B:G,6,0)</f>
        <v>Subu</v>
      </c>
      <c r="H55" s="9">
        <v>1062968.415407855</v>
      </c>
      <c r="I55" s="9">
        <v>645850.1631762653</v>
      </c>
      <c r="J55" s="9">
        <v>591007.081316963</v>
      </c>
      <c r="K55" s="9">
        <v>626788.7400671022</v>
      </c>
      <c r="L55" s="9">
        <v>1055323.5996447601</v>
      </c>
      <c r="M55" s="9">
        <v>1243541.368111387</v>
      </c>
      <c r="N55" s="9" t="str">
        <f t="shared" si="3"/>
        <v>#REF!</v>
      </c>
      <c r="O55" s="9">
        <v>991404.0981949458</v>
      </c>
      <c r="P55" s="9">
        <v>1025596.0721606195</v>
      </c>
      <c r="Q55" s="9">
        <v>1102860.5897786282</v>
      </c>
      <c r="R55" s="9">
        <v>992792.6047730971</v>
      </c>
      <c r="S55" s="9">
        <v>70143.57942918685</v>
      </c>
      <c r="T55" s="9">
        <v>-3313.0</v>
      </c>
    </row>
    <row r="56" ht="14.25" customHeight="1">
      <c r="A56" s="5" t="s">
        <v>7</v>
      </c>
      <c r="B56" s="8" t="s">
        <v>62</v>
      </c>
      <c r="C56" s="1" t="str">
        <f>VLOOKUP(B56,Mapping!B:C,2,0)</f>
        <v>Lateral</v>
      </c>
      <c r="D56" s="1" t="str">
        <f>VLOOKUP(B56,Mapping!B:D,3,0)</f>
        <v>South</v>
      </c>
      <c r="E56" s="1" t="str">
        <f>VLOOKUP(B56,Mapping!B:E,4,0)</f>
        <v>South 2</v>
      </c>
      <c r="F56" s="1" t="str">
        <f>VLOOKUP(B56,Mapping!B:F,5,0)</f>
        <v>Sulabh</v>
      </c>
      <c r="G56" s="6" t="str">
        <f>VLOOKUP(B56,Mapping!B:G,6,0)</f>
        <v>Satya</v>
      </c>
      <c r="H56" s="9">
        <v>63138.0</v>
      </c>
      <c r="I56" s="9">
        <v>62979.0</v>
      </c>
      <c r="J56" s="9">
        <v>60101.0</v>
      </c>
      <c r="K56" s="9">
        <v>69717.0</v>
      </c>
      <c r="L56" s="9">
        <v>71287.0</v>
      </c>
      <c r="M56" s="9">
        <v>5500.0</v>
      </c>
      <c r="N56" s="9" t="str">
        <f t="shared" si="3"/>
        <v>#REF!</v>
      </c>
      <c r="O56" s="9">
        <v>0.0</v>
      </c>
      <c r="P56" s="9">
        <v>20140.0</v>
      </c>
      <c r="Q56" s="9">
        <v>0.0</v>
      </c>
      <c r="R56" s="9">
        <v>0.0</v>
      </c>
      <c r="S56" s="9">
        <v>0.0</v>
      </c>
      <c r="T56" s="9">
        <v>0.0</v>
      </c>
    </row>
    <row r="57" ht="14.25" customHeight="1">
      <c r="A57" s="5" t="s">
        <v>7</v>
      </c>
      <c r="B57" s="8" t="s">
        <v>63</v>
      </c>
      <c r="C57" s="1" t="str">
        <f>VLOOKUP(B57,Mapping!B:C,2,0)</f>
        <v>Lateral</v>
      </c>
      <c r="D57" s="1" t="str">
        <f>VLOOKUP(B57,Mapping!B:D,3,0)</f>
        <v>Common</v>
      </c>
      <c r="E57" s="1" t="str">
        <f>VLOOKUP(B57,Mapping!B:E,4,0)</f>
        <v>North</v>
      </c>
      <c r="F57" s="1" t="str">
        <f>VLOOKUP(B57,Mapping!B:F,5,0)</f>
        <v>Common</v>
      </c>
      <c r="G57" s="6" t="str">
        <f>VLOOKUP(B57,Mapping!B:G,6,0)</f>
        <v>Common</v>
      </c>
      <c r="H57" s="9">
        <v>660914.0</v>
      </c>
      <c r="I57" s="9">
        <v>244053.0</v>
      </c>
      <c r="J57" s="9">
        <v>56202.0</v>
      </c>
      <c r="K57" s="9">
        <v>247997.0</v>
      </c>
      <c r="L57" s="9">
        <v>768321.0</v>
      </c>
      <c r="M57" s="9">
        <v>49100.0</v>
      </c>
      <c r="N57" s="9" t="str">
        <f t="shared" si="3"/>
        <v>#REF!</v>
      </c>
      <c r="O57" s="9">
        <v>2097513.0</v>
      </c>
      <c r="P57" s="9">
        <v>1251160.0</v>
      </c>
      <c r="Q57" s="9">
        <v>1663834.0</v>
      </c>
      <c r="R57" s="9">
        <v>2275673.0</v>
      </c>
      <c r="S57" s="9">
        <v>521211.0</v>
      </c>
      <c r="T57" s="9">
        <v>316385.0</v>
      </c>
    </row>
    <row r="58" ht="14.25" customHeight="1"/>
    <row r="59" ht="14.25" customHeight="1"/>
    <row r="60" ht="14.25" customHeight="1">
      <c r="G60" s="7" t="s">
        <v>127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2025-12-22T07:19:54Z</dcterms:created>
  <dc:creator>Baljeet Singh</dc:creator>
</cp:coreProperties>
</file>