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eoplestronghrservices-my.sharepoint.com/personal/baljeet_singh_taggd_in/Documents/Desktop/"/>
    </mc:Choice>
  </mc:AlternateContent>
  <xr:revisionPtr revIDLastSave="325" documentId="13_ncr:1_{759133C6-3A7C-4806-B01C-9B4D4CA6EFD7}" xr6:coauthVersionLast="47" xr6:coauthVersionMax="47" xr10:uidLastSave="{F9245E98-ACAB-41B4-B197-1D8944BBA249}"/>
  <bookViews>
    <workbookView xWindow="-110" yWindow="-110" windowWidth="19420" windowHeight="11500" tabRatio="820" xr2:uid="{00000000-000D-0000-FFFF-FFFF00000000}"/>
  </bookViews>
  <sheets>
    <sheet name="Revenue_Budget" sheetId="1" r:id="rId1"/>
    <sheet name="Rev_Forecast" sheetId="2" r:id="rId2"/>
    <sheet name="Revenue_Actual" sheetId="7" r:id="rId3"/>
    <sheet name="CM_Budget" sheetId="3" r:id="rId4"/>
    <sheet name="Target Rev Productivity" sheetId="4" r:id="rId5"/>
    <sheet name="CM_Forecast" sheetId="5" r:id="rId6"/>
    <sheet name="Mapping" sheetId="30" r:id="rId7"/>
    <sheet name="CM Actual" sheetId="9" r:id="rId8"/>
    <sheet name="Rev_Productivity_Actual" sheetId="32" r:id="rId9"/>
    <sheet name="Taggd_Source_Joiner" sheetId="14" r:id="rId10"/>
    <sheet name="Non Taggd_Source_Joiner" sheetId="15" r:id="rId11"/>
    <sheet name="Revenue_Adjustment" sheetId="17" r:id="rId12"/>
    <sheet name="Headcount_Overall" sheetId="19" r:id="rId13"/>
    <sheet name="Headcount_WL1" sheetId="20" r:id="rId14"/>
    <sheet name="Headcount_Approved" sheetId="21" r:id="rId15"/>
    <sheet name="PPC_Actual" sheetId="22" r:id="rId16"/>
    <sheet name="Unbilled" sheetId="23" r:id="rId17"/>
    <sheet name="Target_Collection" sheetId="25" r:id="rId18"/>
    <sheet name="Actual_Collection" sheetId="24" r:id="rId19"/>
    <sheet name="Bad Debt" sheetId="31" r:id="rId20"/>
  </sheets>
  <definedNames>
    <definedName name="_xlnm._FilterDatabase" localSheetId="18" hidden="1">Actual_Collection!$A$1:$AE$79</definedName>
    <definedName name="_xlnm._FilterDatabase" localSheetId="19" hidden="1">'Bad Debt'!$B$1:$S$79</definedName>
    <definedName name="_xlnm._FilterDatabase" localSheetId="7" hidden="1">'CM Actual'!$A$1:$T$87</definedName>
    <definedName name="_xlnm._FilterDatabase" localSheetId="3" hidden="1">CM_Budget!$B$1:$G$77</definedName>
    <definedName name="_xlnm._FilterDatabase" localSheetId="5" hidden="1">CM_Forecast!$B$1:$G$76</definedName>
    <definedName name="_xlnm._FilterDatabase" localSheetId="14" hidden="1">Headcount_Approved!$B$1:$S$76</definedName>
    <definedName name="_xlnm._FilterDatabase" localSheetId="12" hidden="1">Headcount_Overall!$A$2:$T$87</definedName>
    <definedName name="_xlnm._FilterDatabase" localSheetId="13" hidden="1">Headcount_WL1!$A$1:$T$85</definedName>
    <definedName name="_xlnm._FilterDatabase" localSheetId="6" hidden="1">Mapping!$A$1:$F$79</definedName>
    <definedName name="_xlnm._FilterDatabase" localSheetId="10" hidden="1">'Non Taggd_Source_Joiner'!$B$1:$S$76</definedName>
    <definedName name="_xlnm._FilterDatabase" localSheetId="15" hidden="1">PPC_Actual!$A$2:$T$86</definedName>
    <definedName name="_xlnm._FilterDatabase" localSheetId="1" hidden="1">Rev_Forecast!$A$2:$U$85</definedName>
    <definedName name="_xlnm._FilterDatabase" localSheetId="8" hidden="1">Rev_Productivity_Actual!$A$1:$S$76</definedName>
    <definedName name="_xlnm._FilterDatabase" localSheetId="2" hidden="1">Revenue_Actual!$A$1:$T$1</definedName>
    <definedName name="_xlnm._FilterDatabase" localSheetId="11" hidden="1">Revenue_Adjustment!$A$1:$T$77</definedName>
    <definedName name="_xlnm._FilterDatabase" localSheetId="0" hidden="1">Revenue_Budget!$A$2:$Y$80</definedName>
    <definedName name="_xlnm._FilterDatabase" localSheetId="9" hidden="1">Taggd_Source_Joiner!$B$1:$S$76</definedName>
    <definedName name="_xlnm._FilterDatabase" localSheetId="4" hidden="1">'Target Rev Productivity'!$B$1:$S$77</definedName>
    <definedName name="_xlnm._FilterDatabase" localSheetId="17" hidden="1">Target_Collection!$A$1:$S$81</definedName>
    <definedName name="_xlnm._FilterDatabase" localSheetId="16" hidden="1">Unbilled!$A$1:$T$76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4" i="2" l="1"/>
  <c r="M84" i="2"/>
  <c r="K84" i="2"/>
  <c r="L44" i="2"/>
  <c r="M44" i="2"/>
  <c r="K44" i="2"/>
  <c r="L81" i="2"/>
  <c r="M81" i="2"/>
  <c r="K81" i="2"/>
  <c r="L79" i="2"/>
  <c r="M79" i="2"/>
  <c r="K79" i="2"/>
  <c r="L73" i="2"/>
  <c r="M73" i="2"/>
  <c r="K73" i="2"/>
  <c r="T4" i="2" l="1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3" i="2"/>
  <c r="T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T59" i="7"/>
  <c r="T60" i="7"/>
  <c r="T61" i="7"/>
  <c r="T62" i="7"/>
  <c r="T63" i="7"/>
  <c r="T64" i="7"/>
  <c r="T65" i="7"/>
  <c r="T66" i="7"/>
  <c r="T67" i="7"/>
  <c r="T68" i="7"/>
  <c r="T69" i="7"/>
  <c r="T70" i="7"/>
  <c r="T71" i="7"/>
  <c r="T72" i="7"/>
  <c r="T73" i="7"/>
  <c r="T74" i="7"/>
  <c r="T75" i="7"/>
  <c r="T76" i="7"/>
  <c r="T77" i="7"/>
  <c r="T78" i="7"/>
  <c r="T79" i="7"/>
  <c r="T80" i="7"/>
  <c r="T81" i="7"/>
  <c r="T82" i="7"/>
  <c r="T83" i="7"/>
  <c r="T84" i="7"/>
  <c r="T2" i="7"/>
  <c r="I84" i="7"/>
  <c r="J1" i="2"/>
  <c r="K1" i="2"/>
  <c r="L1" i="2"/>
  <c r="M1" i="2"/>
  <c r="N1" i="2"/>
  <c r="O1" i="2"/>
  <c r="P1" i="2"/>
  <c r="Q1" i="2"/>
  <c r="R1" i="2"/>
  <c r="S1" i="2"/>
  <c r="H1" i="2"/>
  <c r="I85" i="2"/>
  <c r="I1" i="2" s="1"/>
  <c r="T85" i="2" l="1"/>
  <c r="T1" i="2" s="1"/>
  <c r="G77" i="7"/>
  <c r="F77" i="7"/>
  <c r="E77" i="7"/>
  <c r="D77" i="7"/>
  <c r="C77" i="7"/>
  <c r="G76" i="7"/>
  <c r="F76" i="7"/>
  <c r="E76" i="7"/>
  <c r="D76" i="7"/>
  <c r="C76" i="7"/>
  <c r="G75" i="7"/>
  <c r="F75" i="7"/>
  <c r="E75" i="7"/>
  <c r="D75" i="7"/>
  <c r="C75" i="7"/>
  <c r="G74" i="7"/>
  <c r="F74" i="7"/>
  <c r="E74" i="7"/>
  <c r="D74" i="7"/>
  <c r="C74" i="7"/>
  <c r="G73" i="7"/>
  <c r="F73" i="7"/>
  <c r="E73" i="7"/>
  <c r="D73" i="7"/>
  <c r="C73" i="7"/>
  <c r="G72" i="7"/>
  <c r="F72" i="7"/>
  <c r="E72" i="7"/>
  <c r="D72" i="7"/>
  <c r="C72" i="7"/>
  <c r="G71" i="7"/>
  <c r="F71" i="7"/>
  <c r="E71" i="7"/>
  <c r="D71" i="7"/>
  <c r="C71" i="7"/>
  <c r="G70" i="7"/>
  <c r="F70" i="7"/>
  <c r="E70" i="7"/>
  <c r="D70" i="7"/>
  <c r="C70" i="7"/>
  <c r="G69" i="7"/>
  <c r="F69" i="7"/>
  <c r="E69" i="7"/>
  <c r="D69" i="7"/>
  <c r="C69" i="7"/>
  <c r="G68" i="7"/>
  <c r="F68" i="7"/>
  <c r="E68" i="7"/>
  <c r="D68" i="7"/>
  <c r="C68" i="7"/>
  <c r="G67" i="7"/>
  <c r="F67" i="7"/>
  <c r="E67" i="7"/>
  <c r="D67" i="7"/>
  <c r="C67" i="7"/>
  <c r="G66" i="7"/>
  <c r="F66" i="7"/>
  <c r="E66" i="7"/>
  <c r="D66" i="7"/>
  <c r="C66" i="7"/>
  <c r="G65" i="7"/>
  <c r="F65" i="7"/>
  <c r="E65" i="7"/>
  <c r="D65" i="7"/>
  <c r="C65" i="7"/>
  <c r="G64" i="7"/>
  <c r="F64" i="7"/>
  <c r="E64" i="7"/>
  <c r="D64" i="7"/>
  <c r="C64" i="7"/>
  <c r="G63" i="7"/>
  <c r="F63" i="7"/>
  <c r="E63" i="7"/>
  <c r="D63" i="7"/>
  <c r="C63" i="7"/>
  <c r="G62" i="7"/>
  <c r="F62" i="7"/>
  <c r="E62" i="7"/>
  <c r="D62" i="7"/>
  <c r="C62" i="7"/>
  <c r="G61" i="7"/>
  <c r="F61" i="7"/>
  <c r="E61" i="7"/>
  <c r="D61" i="7"/>
  <c r="C61" i="7"/>
  <c r="G60" i="7"/>
  <c r="F60" i="7"/>
  <c r="E60" i="7"/>
  <c r="D60" i="7"/>
  <c r="C60" i="7"/>
  <c r="G59" i="7"/>
  <c r="F59" i="7"/>
  <c r="E59" i="7"/>
  <c r="D59" i="7"/>
  <c r="C59" i="7"/>
  <c r="G58" i="7"/>
  <c r="F58" i="7"/>
  <c r="E58" i="7"/>
  <c r="D58" i="7"/>
  <c r="C58" i="7"/>
  <c r="G57" i="7"/>
  <c r="F57" i="7"/>
  <c r="E57" i="7"/>
  <c r="D57" i="7"/>
  <c r="C57" i="7"/>
  <c r="G56" i="7"/>
  <c r="F56" i="7"/>
  <c r="E56" i="7"/>
  <c r="D56" i="7"/>
  <c r="C56" i="7"/>
  <c r="G55" i="7"/>
  <c r="F55" i="7"/>
  <c r="E55" i="7"/>
  <c r="D55" i="7"/>
  <c r="C55" i="7"/>
  <c r="G54" i="7"/>
  <c r="F54" i="7"/>
  <c r="E54" i="7"/>
  <c r="D54" i="7"/>
  <c r="C54" i="7"/>
  <c r="G53" i="7"/>
  <c r="F53" i="7"/>
  <c r="E53" i="7"/>
  <c r="D53" i="7"/>
  <c r="C53" i="7"/>
  <c r="G52" i="7"/>
  <c r="F52" i="7"/>
  <c r="E52" i="7"/>
  <c r="D52" i="7"/>
  <c r="C52" i="7"/>
  <c r="G51" i="7"/>
  <c r="F51" i="7"/>
  <c r="E51" i="7"/>
  <c r="D51" i="7"/>
  <c r="C51" i="7"/>
  <c r="G50" i="7"/>
  <c r="F50" i="7"/>
  <c r="E50" i="7"/>
  <c r="D50" i="7"/>
  <c r="C50" i="7"/>
  <c r="G49" i="7"/>
  <c r="F49" i="7"/>
  <c r="E49" i="7"/>
  <c r="D49" i="7"/>
  <c r="C49" i="7"/>
  <c r="G48" i="7"/>
  <c r="F48" i="7"/>
  <c r="E48" i="7"/>
  <c r="D48" i="7"/>
  <c r="C48" i="7"/>
  <c r="G47" i="7"/>
  <c r="F47" i="7"/>
  <c r="E47" i="7"/>
  <c r="D47" i="7"/>
  <c r="C47" i="7"/>
  <c r="G46" i="7"/>
  <c r="F46" i="7"/>
  <c r="E46" i="7"/>
  <c r="D46" i="7"/>
  <c r="C46" i="7"/>
  <c r="G45" i="7"/>
  <c r="F45" i="7"/>
  <c r="E45" i="7"/>
  <c r="D45" i="7"/>
  <c r="C45" i="7"/>
  <c r="G44" i="7"/>
  <c r="F44" i="7"/>
  <c r="E44" i="7"/>
  <c r="D44" i="7"/>
  <c r="C44" i="7"/>
  <c r="G43" i="7"/>
  <c r="F43" i="7"/>
  <c r="E43" i="7"/>
  <c r="D43" i="7"/>
  <c r="C43" i="7"/>
  <c r="G42" i="7"/>
  <c r="F42" i="7"/>
  <c r="E42" i="7"/>
  <c r="D42" i="7"/>
  <c r="C42" i="7"/>
  <c r="G41" i="7"/>
  <c r="F41" i="7"/>
  <c r="E41" i="7"/>
  <c r="D41" i="7"/>
  <c r="C41" i="7"/>
  <c r="G40" i="7"/>
  <c r="F40" i="7"/>
  <c r="E40" i="7"/>
  <c r="D40" i="7"/>
  <c r="C40" i="7"/>
  <c r="G39" i="7"/>
  <c r="F39" i="7"/>
  <c r="E39" i="7"/>
  <c r="D39" i="7"/>
  <c r="C39" i="7"/>
  <c r="G38" i="7"/>
  <c r="F38" i="7"/>
  <c r="E38" i="7"/>
  <c r="D38" i="7"/>
  <c r="C38" i="7"/>
  <c r="G37" i="7"/>
  <c r="F37" i="7"/>
  <c r="E37" i="7"/>
  <c r="D37" i="7"/>
  <c r="C37" i="7"/>
  <c r="G36" i="7"/>
  <c r="F36" i="7"/>
  <c r="E36" i="7"/>
  <c r="D36" i="7"/>
  <c r="C36" i="7"/>
  <c r="G35" i="7"/>
  <c r="F35" i="7"/>
  <c r="E35" i="7"/>
  <c r="D35" i="7"/>
  <c r="C35" i="7"/>
  <c r="G34" i="7"/>
  <c r="F34" i="7"/>
  <c r="E34" i="7"/>
  <c r="D34" i="7"/>
  <c r="C34" i="7"/>
  <c r="G33" i="7"/>
  <c r="F33" i="7"/>
  <c r="E33" i="7"/>
  <c r="D33" i="7"/>
  <c r="C33" i="7"/>
  <c r="G32" i="7"/>
  <c r="F32" i="7"/>
  <c r="E32" i="7"/>
  <c r="D32" i="7"/>
  <c r="C32" i="7"/>
  <c r="G31" i="7"/>
  <c r="F31" i="7"/>
  <c r="E31" i="7"/>
  <c r="D31" i="7"/>
  <c r="C31" i="7"/>
  <c r="G30" i="7"/>
  <c r="F30" i="7"/>
  <c r="E30" i="7"/>
  <c r="D30" i="7"/>
  <c r="C30" i="7"/>
  <c r="G29" i="7"/>
  <c r="F29" i="7"/>
  <c r="E29" i="7"/>
  <c r="D29" i="7"/>
  <c r="C29" i="7"/>
  <c r="G28" i="7"/>
  <c r="F28" i="7"/>
  <c r="E28" i="7"/>
  <c r="D28" i="7"/>
  <c r="C28" i="7"/>
  <c r="G27" i="7"/>
  <c r="F27" i="7"/>
  <c r="E27" i="7"/>
  <c r="D27" i="7"/>
  <c r="C27" i="7"/>
  <c r="G26" i="7"/>
  <c r="F26" i="7"/>
  <c r="E26" i="7"/>
  <c r="D26" i="7"/>
  <c r="C26" i="7"/>
  <c r="G25" i="7"/>
  <c r="F25" i="7"/>
  <c r="E25" i="7"/>
  <c r="D25" i="7"/>
  <c r="C25" i="7"/>
  <c r="G24" i="7"/>
  <c r="F24" i="7"/>
  <c r="E24" i="7"/>
  <c r="D24" i="7"/>
  <c r="C24" i="7"/>
  <c r="G23" i="7"/>
  <c r="F23" i="7"/>
  <c r="E23" i="7"/>
  <c r="D23" i="7"/>
  <c r="C23" i="7"/>
  <c r="G22" i="7"/>
  <c r="F22" i="7"/>
  <c r="E22" i="7"/>
  <c r="D22" i="7"/>
  <c r="C22" i="7"/>
  <c r="G21" i="7"/>
  <c r="F21" i="7"/>
  <c r="E21" i="7"/>
  <c r="D21" i="7"/>
  <c r="C21" i="7"/>
  <c r="G20" i="7"/>
  <c r="F20" i="7"/>
  <c r="E20" i="7"/>
  <c r="D20" i="7"/>
  <c r="C20" i="7"/>
  <c r="G19" i="7"/>
  <c r="F19" i="7"/>
  <c r="E19" i="7"/>
  <c r="D19" i="7"/>
  <c r="C19" i="7"/>
  <c r="G18" i="7"/>
  <c r="F18" i="7"/>
  <c r="E18" i="7"/>
  <c r="D18" i="7"/>
  <c r="C18" i="7"/>
  <c r="G17" i="7"/>
  <c r="F17" i="7"/>
  <c r="E17" i="7"/>
  <c r="D17" i="7"/>
  <c r="C17" i="7"/>
  <c r="G16" i="7"/>
  <c r="F16" i="7"/>
  <c r="E16" i="7"/>
  <c r="D16" i="7"/>
  <c r="C16" i="7"/>
  <c r="G15" i="7"/>
  <c r="F15" i="7"/>
  <c r="E15" i="7"/>
  <c r="D15" i="7"/>
  <c r="C15" i="7"/>
  <c r="G14" i="7"/>
  <c r="F14" i="7"/>
  <c r="E14" i="7"/>
  <c r="D14" i="7"/>
  <c r="C14" i="7"/>
  <c r="G13" i="7"/>
  <c r="F13" i="7"/>
  <c r="E13" i="7"/>
  <c r="D13" i="7"/>
  <c r="C13" i="7"/>
  <c r="G12" i="7"/>
  <c r="F12" i="7"/>
  <c r="E12" i="7"/>
  <c r="D12" i="7"/>
  <c r="C12" i="7"/>
  <c r="G11" i="7"/>
  <c r="F11" i="7"/>
  <c r="E11" i="7"/>
  <c r="D11" i="7"/>
  <c r="C11" i="7"/>
  <c r="G10" i="7"/>
  <c r="F10" i="7"/>
  <c r="E10" i="7"/>
  <c r="D10" i="7"/>
  <c r="C10" i="7"/>
  <c r="G9" i="7"/>
  <c r="F9" i="7"/>
  <c r="E9" i="7"/>
  <c r="D9" i="7"/>
  <c r="C9" i="7"/>
  <c r="G8" i="7"/>
  <c r="F8" i="7"/>
  <c r="E8" i="7"/>
  <c r="D8" i="7"/>
  <c r="C8" i="7"/>
  <c r="G5" i="7"/>
  <c r="F5" i="7"/>
  <c r="E5" i="7"/>
  <c r="D5" i="7"/>
  <c r="C5" i="7"/>
  <c r="G4" i="7"/>
  <c r="F4" i="7"/>
  <c r="E4" i="7"/>
  <c r="D4" i="7"/>
  <c r="C4" i="7"/>
  <c r="G3" i="7"/>
  <c r="F3" i="7"/>
  <c r="E3" i="7"/>
  <c r="D3" i="7"/>
  <c r="C3" i="7"/>
  <c r="G2" i="7"/>
  <c r="F2" i="7"/>
  <c r="E2" i="7"/>
  <c r="D2" i="7"/>
  <c r="C2" i="7"/>
  <c r="A1" i="7"/>
  <c r="B1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68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9" i="1"/>
  <c r="T70" i="1"/>
  <c r="T71" i="1"/>
  <c r="T72" i="1"/>
  <c r="T73" i="1"/>
  <c r="T74" i="1"/>
  <c r="T75" i="1"/>
  <c r="T76" i="1"/>
  <c r="T77" i="1"/>
  <c r="T78" i="1"/>
  <c r="T79" i="1"/>
  <c r="T80" i="1"/>
  <c r="T3" i="23" l="1"/>
  <c r="T4" i="23"/>
  <c r="T5" i="23"/>
  <c r="T6" i="23"/>
  <c r="T7" i="23"/>
  <c r="T8" i="23"/>
  <c r="T9" i="23"/>
  <c r="T10" i="23"/>
  <c r="T11" i="23"/>
  <c r="T12" i="23"/>
  <c r="T13" i="23"/>
  <c r="T14" i="23"/>
  <c r="T15" i="23"/>
  <c r="T16" i="23"/>
  <c r="T17" i="23"/>
  <c r="T18" i="23"/>
  <c r="T19" i="23"/>
  <c r="T20" i="23"/>
  <c r="T21" i="23"/>
  <c r="T22" i="23"/>
  <c r="T23" i="23"/>
  <c r="T24" i="23"/>
  <c r="T25" i="23"/>
  <c r="T26" i="23"/>
  <c r="T27" i="23"/>
  <c r="T28" i="23"/>
  <c r="T29" i="23"/>
  <c r="T30" i="23"/>
  <c r="T31" i="23"/>
  <c r="T32" i="23"/>
  <c r="T33" i="23"/>
  <c r="T34" i="23"/>
  <c r="T35" i="23"/>
  <c r="T36" i="23"/>
  <c r="T37" i="23"/>
  <c r="T38" i="23"/>
  <c r="T39" i="23"/>
  <c r="T40" i="23"/>
  <c r="T41" i="23"/>
  <c r="T42" i="23"/>
  <c r="T43" i="23"/>
  <c r="T44" i="23"/>
  <c r="T45" i="23"/>
  <c r="T46" i="23"/>
  <c r="T47" i="23"/>
  <c r="T48" i="23"/>
  <c r="T49" i="23"/>
  <c r="T50" i="23"/>
  <c r="T51" i="23"/>
  <c r="T52" i="23"/>
  <c r="T53" i="23"/>
  <c r="T54" i="23"/>
  <c r="T55" i="23"/>
  <c r="T56" i="23"/>
  <c r="T57" i="23"/>
  <c r="T58" i="23"/>
  <c r="T59" i="23"/>
  <c r="T60" i="23"/>
  <c r="T61" i="23"/>
  <c r="T62" i="23"/>
  <c r="T63" i="23"/>
  <c r="T64" i="23"/>
  <c r="T65" i="23"/>
  <c r="T66" i="23"/>
  <c r="T67" i="23"/>
  <c r="T68" i="23"/>
  <c r="T69" i="23"/>
  <c r="T70" i="23"/>
  <c r="T71" i="23"/>
  <c r="T72" i="23"/>
  <c r="T73" i="23"/>
  <c r="T74" i="23"/>
  <c r="T75" i="23"/>
  <c r="T76" i="23"/>
  <c r="T2" i="23"/>
  <c r="A1" i="4" l="1"/>
  <c r="I1" i="1"/>
  <c r="J1" i="1"/>
  <c r="K1" i="1"/>
  <c r="L1" i="1"/>
  <c r="M1" i="1"/>
  <c r="N1" i="1"/>
  <c r="O1" i="1"/>
  <c r="P1" i="1"/>
  <c r="Q1" i="1"/>
  <c r="R1" i="1"/>
  <c r="S1" i="1"/>
  <c r="H1" i="1"/>
  <c r="R73" i="23" l="1"/>
  <c r="R72" i="23"/>
  <c r="R67" i="23"/>
  <c r="R22" i="23"/>
  <c r="R21" i="23"/>
  <c r="R6" i="23"/>
  <c r="R5" i="23"/>
  <c r="Q21" i="23"/>
  <c r="Q7" i="23"/>
  <c r="Q6" i="23"/>
  <c r="P73" i="23"/>
  <c r="P72" i="23"/>
  <c r="P55" i="23"/>
  <c r="P21" i="23"/>
  <c r="P7" i="23"/>
  <c r="P6" i="23"/>
  <c r="O72" i="23"/>
  <c r="O55" i="23"/>
  <c r="O21" i="23"/>
  <c r="O6" i="23"/>
  <c r="N72" i="23"/>
  <c r="N21" i="23"/>
  <c r="N6" i="23"/>
  <c r="M72" i="23"/>
  <c r="M55" i="23"/>
  <c r="M21" i="23"/>
  <c r="M6" i="23"/>
  <c r="L52" i="23"/>
  <c r="Y68" i="1"/>
  <c r="X68" i="1"/>
  <c r="W68" i="1"/>
  <c r="V68" i="1"/>
  <c r="T3" i="1"/>
  <c r="S1" i="19"/>
  <c r="R1" i="19"/>
  <c r="P1" i="19"/>
  <c r="O1" i="19"/>
  <c r="N1" i="19"/>
  <c r="M1" i="19"/>
  <c r="L1" i="19"/>
  <c r="K1" i="19"/>
  <c r="J1" i="19"/>
  <c r="I1" i="19"/>
  <c r="H1" i="19"/>
  <c r="T1" i="1" l="1"/>
  <c r="Q1" i="19"/>
  <c r="T3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5" i="9"/>
  <c r="T56" i="9"/>
  <c r="T57" i="9"/>
  <c r="T58" i="9"/>
  <c r="T59" i="9"/>
  <c r="T60" i="9"/>
  <c r="T61" i="9"/>
  <c r="T62" i="9"/>
  <c r="T63" i="9"/>
  <c r="T64" i="9"/>
  <c r="T65" i="9"/>
  <c r="T66" i="9"/>
  <c r="T67" i="9"/>
  <c r="T68" i="9"/>
  <c r="T69" i="9"/>
  <c r="T70" i="9"/>
  <c r="T71" i="9"/>
  <c r="T72" i="9"/>
  <c r="T73" i="9"/>
  <c r="T74" i="9"/>
  <c r="T75" i="9"/>
  <c r="T76" i="9"/>
  <c r="T77" i="9"/>
  <c r="T78" i="9"/>
  <c r="T79" i="9"/>
  <c r="T80" i="9"/>
  <c r="T81" i="9"/>
  <c r="T82" i="9"/>
  <c r="T83" i="9"/>
  <c r="T84" i="9"/>
  <c r="T85" i="9"/>
  <c r="T86" i="9"/>
  <c r="T87" i="9"/>
  <c r="T2" i="9"/>
  <c r="T4" i="9"/>
  <c r="G76" i="32" l="1"/>
  <c r="F76" i="32"/>
  <c r="E76" i="32"/>
  <c r="D76" i="32"/>
  <c r="C76" i="32"/>
  <c r="G75" i="32"/>
  <c r="F75" i="32"/>
  <c r="E75" i="32"/>
  <c r="D75" i="32"/>
  <c r="C75" i="32"/>
  <c r="G74" i="32"/>
  <c r="F74" i="32"/>
  <c r="E74" i="32"/>
  <c r="D74" i="32"/>
  <c r="C74" i="32"/>
  <c r="G73" i="32"/>
  <c r="F73" i="32"/>
  <c r="E73" i="32"/>
  <c r="D73" i="32"/>
  <c r="C73" i="32"/>
  <c r="G72" i="32"/>
  <c r="F72" i="32"/>
  <c r="E72" i="32"/>
  <c r="D72" i="32"/>
  <c r="C72" i="32"/>
  <c r="G71" i="32"/>
  <c r="F71" i="32"/>
  <c r="E71" i="32"/>
  <c r="D71" i="32"/>
  <c r="C71" i="32"/>
  <c r="G70" i="32"/>
  <c r="F70" i="32"/>
  <c r="E70" i="32"/>
  <c r="D70" i="32"/>
  <c r="C70" i="32"/>
  <c r="G69" i="32"/>
  <c r="F69" i="32"/>
  <c r="E69" i="32"/>
  <c r="D69" i="32"/>
  <c r="C69" i="32"/>
  <c r="G68" i="32"/>
  <c r="F68" i="32"/>
  <c r="E68" i="32"/>
  <c r="D68" i="32"/>
  <c r="C68" i="32"/>
  <c r="G67" i="32"/>
  <c r="F67" i="32"/>
  <c r="E67" i="32"/>
  <c r="D67" i="32"/>
  <c r="C67" i="32"/>
  <c r="G66" i="32"/>
  <c r="F66" i="32"/>
  <c r="E66" i="32"/>
  <c r="D66" i="32"/>
  <c r="C66" i="32"/>
  <c r="G65" i="32"/>
  <c r="F65" i="32"/>
  <c r="E65" i="32"/>
  <c r="D65" i="32"/>
  <c r="C65" i="32"/>
  <c r="G64" i="32"/>
  <c r="F64" i="32"/>
  <c r="E64" i="32"/>
  <c r="D64" i="32"/>
  <c r="C64" i="32"/>
  <c r="G63" i="32"/>
  <c r="F63" i="32"/>
  <c r="E63" i="32"/>
  <c r="D63" i="32"/>
  <c r="C63" i="32"/>
  <c r="G62" i="32"/>
  <c r="F62" i="32"/>
  <c r="E62" i="32"/>
  <c r="D62" i="32"/>
  <c r="C62" i="32"/>
  <c r="G61" i="32"/>
  <c r="F61" i="32"/>
  <c r="E61" i="32"/>
  <c r="D61" i="32"/>
  <c r="C61" i="32"/>
  <c r="G60" i="32"/>
  <c r="F60" i="32"/>
  <c r="E60" i="32"/>
  <c r="D60" i="32"/>
  <c r="C60" i="32"/>
  <c r="G59" i="32"/>
  <c r="F59" i="32"/>
  <c r="E59" i="32"/>
  <c r="D59" i="32"/>
  <c r="C59" i="32"/>
  <c r="G58" i="32"/>
  <c r="F58" i="32"/>
  <c r="E58" i="32"/>
  <c r="D58" i="32"/>
  <c r="C58" i="32"/>
  <c r="G57" i="32"/>
  <c r="F57" i="32"/>
  <c r="E57" i="32"/>
  <c r="D57" i="32"/>
  <c r="C57" i="32"/>
  <c r="G56" i="32"/>
  <c r="F56" i="32"/>
  <c r="E56" i="32"/>
  <c r="D56" i="32"/>
  <c r="C56" i="32"/>
  <c r="G55" i="32"/>
  <c r="F55" i="32"/>
  <c r="E55" i="32"/>
  <c r="D55" i="32"/>
  <c r="C55" i="32"/>
  <c r="G54" i="32"/>
  <c r="F54" i="32"/>
  <c r="E54" i="32"/>
  <c r="D54" i="32"/>
  <c r="C54" i="32"/>
  <c r="G53" i="32"/>
  <c r="F53" i="32"/>
  <c r="E53" i="32"/>
  <c r="D53" i="32"/>
  <c r="C53" i="32"/>
  <c r="G52" i="32"/>
  <c r="F52" i="32"/>
  <c r="E52" i="32"/>
  <c r="D52" i="32"/>
  <c r="C52" i="32"/>
  <c r="G51" i="32"/>
  <c r="F51" i="32"/>
  <c r="E51" i="32"/>
  <c r="D51" i="32"/>
  <c r="C51" i="32"/>
  <c r="G50" i="32"/>
  <c r="F50" i="32"/>
  <c r="E50" i="32"/>
  <c r="D50" i="32"/>
  <c r="C50" i="32"/>
  <c r="G49" i="32"/>
  <c r="F49" i="32"/>
  <c r="E49" i="32"/>
  <c r="D49" i="32"/>
  <c r="C49" i="32"/>
  <c r="G48" i="32"/>
  <c r="F48" i="32"/>
  <c r="E48" i="32"/>
  <c r="D48" i="32"/>
  <c r="C48" i="32"/>
  <c r="G47" i="32"/>
  <c r="F47" i="32"/>
  <c r="E47" i="32"/>
  <c r="D47" i="32"/>
  <c r="C47" i="32"/>
  <c r="G46" i="32"/>
  <c r="F46" i="32"/>
  <c r="E46" i="32"/>
  <c r="D46" i="32"/>
  <c r="C46" i="32"/>
  <c r="G45" i="32"/>
  <c r="F45" i="32"/>
  <c r="E45" i="32"/>
  <c r="D45" i="32"/>
  <c r="C45" i="32"/>
  <c r="G44" i="32"/>
  <c r="F44" i="32"/>
  <c r="E44" i="32"/>
  <c r="D44" i="32"/>
  <c r="C44" i="32"/>
  <c r="G43" i="32"/>
  <c r="F43" i="32"/>
  <c r="E43" i="32"/>
  <c r="D43" i="32"/>
  <c r="C43" i="32"/>
  <c r="G42" i="32"/>
  <c r="F42" i="32"/>
  <c r="E42" i="32"/>
  <c r="D42" i="32"/>
  <c r="C42" i="32"/>
  <c r="G41" i="32"/>
  <c r="F41" i="32"/>
  <c r="E41" i="32"/>
  <c r="D41" i="32"/>
  <c r="C41" i="32"/>
  <c r="G40" i="32"/>
  <c r="F40" i="32"/>
  <c r="E40" i="32"/>
  <c r="D40" i="32"/>
  <c r="C40" i="32"/>
  <c r="G39" i="32"/>
  <c r="F39" i="32"/>
  <c r="E39" i="32"/>
  <c r="D39" i="32"/>
  <c r="C39" i="32"/>
  <c r="G38" i="32"/>
  <c r="F38" i="32"/>
  <c r="E38" i="32"/>
  <c r="D38" i="32"/>
  <c r="C38" i="32"/>
  <c r="G37" i="32"/>
  <c r="F37" i="32"/>
  <c r="E37" i="32"/>
  <c r="D37" i="32"/>
  <c r="C37" i="32"/>
  <c r="G36" i="32"/>
  <c r="F36" i="32"/>
  <c r="E36" i="32"/>
  <c r="D36" i="32"/>
  <c r="C36" i="32"/>
  <c r="G35" i="32"/>
  <c r="F35" i="32"/>
  <c r="E35" i="32"/>
  <c r="D35" i="32"/>
  <c r="C35" i="32"/>
  <c r="G34" i="32"/>
  <c r="F34" i="32"/>
  <c r="E34" i="32"/>
  <c r="D34" i="32"/>
  <c r="C34" i="32"/>
  <c r="G33" i="32"/>
  <c r="F33" i="32"/>
  <c r="E33" i="32"/>
  <c r="D33" i="32"/>
  <c r="C33" i="32"/>
  <c r="G32" i="32"/>
  <c r="F32" i="32"/>
  <c r="E32" i="32"/>
  <c r="D32" i="32"/>
  <c r="C32" i="32"/>
  <c r="G31" i="32"/>
  <c r="F31" i="32"/>
  <c r="E31" i="32"/>
  <c r="D31" i="32"/>
  <c r="C31" i="32"/>
  <c r="G30" i="32"/>
  <c r="F30" i="32"/>
  <c r="E30" i="32"/>
  <c r="D30" i="32"/>
  <c r="C30" i="32"/>
  <c r="G29" i="32"/>
  <c r="F29" i="32"/>
  <c r="E29" i="32"/>
  <c r="D29" i="32"/>
  <c r="C29" i="32"/>
  <c r="G28" i="32"/>
  <c r="F28" i="32"/>
  <c r="E28" i="32"/>
  <c r="D28" i="32"/>
  <c r="C28" i="32"/>
  <c r="G27" i="32"/>
  <c r="F27" i="32"/>
  <c r="E27" i="32"/>
  <c r="D27" i="32"/>
  <c r="C27" i="32"/>
  <c r="G26" i="32"/>
  <c r="F26" i="32"/>
  <c r="E26" i="32"/>
  <c r="D26" i="32"/>
  <c r="C26" i="32"/>
  <c r="G25" i="32"/>
  <c r="F25" i="32"/>
  <c r="E25" i="32"/>
  <c r="D25" i="32"/>
  <c r="C25" i="32"/>
  <c r="G24" i="32"/>
  <c r="F24" i="32"/>
  <c r="E24" i="32"/>
  <c r="D24" i="32"/>
  <c r="C24" i="32"/>
  <c r="G23" i="32"/>
  <c r="F23" i="32"/>
  <c r="E23" i="32"/>
  <c r="D23" i="32"/>
  <c r="C23" i="32"/>
  <c r="G22" i="32"/>
  <c r="F22" i="32"/>
  <c r="E22" i="32"/>
  <c r="D22" i="32"/>
  <c r="C22" i="32"/>
  <c r="G21" i="32"/>
  <c r="F21" i="32"/>
  <c r="E21" i="32"/>
  <c r="D21" i="32"/>
  <c r="C21" i="32"/>
  <c r="G20" i="32"/>
  <c r="F20" i="32"/>
  <c r="E20" i="32"/>
  <c r="D20" i="32"/>
  <c r="C20" i="32"/>
  <c r="G19" i="32"/>
  <c r="F19" i="32"/>
  <c r="E19" i="32"/>
  <c r="D19" i="32"/>
  <c r="C19" i="32"/>
  <c r="G18" i="32"/>
  <c r="F18" i="32"/>
  <c r="E18" i="32"/>
  <c r="D18" i="32"/>
  <c r="C18" i="32"/>
  <c r="G17" i="32"/>
  <c r="F17" i="32"/>
  <c r="E17" i="32"/>
  <c r="D17" i="32"/>
  <c r="C17" i="32"/>
  <c r="G16" i="32"/>
  <c r="F16" i="32"/>
  <c r="E16" i="32"/>
  <c r="D16" i="32"/>
  <c r="C16" i="32"/>
  <c r="G15" i="32"/>
  <c r="F15" i="32"/>
  <c r="E15" i="32"/>
  <c r="D15" i="32"/>
  <c r="C15" i="32"/>
  <c r="G14" i="32"/>
  <c r="F14" i="32"/>
  <c r="E14" i="32"/>
  <c r="D14" i="32"/>
  <c r="C14" i="32"/>
  <c r="G13" i="32"/>
  <c r="F13" i="32"/>
  <c r="E13" i="32"/>
  <c r="D13" i="32"/>
  <c r="C13" i="32"/>
  <c r="G12" i="32"/>
  <c r="F12" i="32"/>
  <c r="E12" i="32"/>
  <c r="D12" i="32"/>
  <c r="C12" i="32"/>
  <c r="G11" i="32"/>
  <c r="F11" i="32"/>
  <c r="E11" i="32"/>
  <c r="D11" i="32"/>
  <c r="C11" i="32"/>
  <c r="G10" i="32"/>
  <c r="F10" i="32"/>
  <c r="E10" i="32"/>
  <c r="D10" i="32"/>
  <c r="C10" i="32"/>
  <c r="G9" i="32"/>
  <c r="F9" i="32"/>
  <c r="E9" i="32"/>
  <c r="D9" i="32"/>
  <c r="C9" i="32"/>
  <c r="G8" i="32"/>
  <c r="F8" i="32"/>
  <c r="E8" i="32"/>
  <c r="D8" i="32"/>
  <c r="C8" i="32"/>
  <c r="G7" i="32"/>
  <c r="F7" i="32"/>
  <c r="E7" i="32"/>
  <c r="D7" i="32"/>
  <c r="C7" i="32"/>
  <c r="G6" i="32"/>
  <c r="F6" i="32"/>
  <c r="E6" i="32"/>
  <c r="D6" i="32"/>
  <c r="C6" i="32"/>
  <c r="G5" i="32"/>
  <c r="F5" i="32"/>
  <c r="E5" i="32"/>
  <c r="D5" i="32"/>
  <c r="C5" i="32"/>
  <c r="G4" i="32"/>
  <c r="F4" i="32"/>
  <c r="E4" i="32"/>
  <c r="D4" i="32"/>
  <c r="C4" i="32"/>
  <c r="G3" i="32"/>
  <c r="F3" i="32"/>
  <c r="E3" i="32"/>
  <c r="D3" i="32"/>
  <c r="C3" i="32"/>
  <c r="G2" i="32"/>
  <c r="F2" i="32"/>
  <c r="E2" i="32"/>
  <c r="D2" i="32"/>
  <c r="C2" i="32"/>
  <c r="H1" i="32"/>
  <c r="G1" i="32"/>
  <c r="F1" i="32"/>
  <c r="E1" i="32"/>
  <c r="D1" i="32"/>
  <c r="C1" i="32"/>
  <c r="B1" i="32"/>
  <c r="A1" i="32"/>
  <c r="C3" i="31" l="1"/>
  <c r="D3" i="31"/>
  <c r="E3" i="31"/>
  <c r="F3" i="31"/>
  <c r="G3" i="31"/>
  <c r="C4" i="31"/>
  <c r="D4" i="31"/>
  <c r="E4" i="31"/>
  <c r="F4" i="31"/>
  <c r="G4" i="31"/>
  <c r="C5" i="31"/>
  <c r="D5" i="31"/>
  <c r="E5" i="31"/>
  <c r="F5" i="31"/>
  <c r="G5" i="31"/>
  <c r="C6" i="31"/>
  <c r="D6" i="31"/>
  <c r="E6" i="31"/>
  <c r="F6" i="31"/>
  <c r="G6" i="31"/>
  <c r="C7" i="31"/>
  <c r="D7" i="31"/>
  <c r="E7" i="31"/>
  <c r="F7" i="31"/>
  <c r="G7" i="31"/>
  <c r="C8" i="31"/>
  <c r="D8" i="31"/>
  <c r="E8" i="31"/>
  <c r="F8" i="31"/>
  <c r="G8" i="31"/>
  <c r="C9" i="31"/>
  <c r="D9" i="31"/>
  <c r="E9" i="31"/>
  <c r="F9" i="31"/>
  <c r="G9" i="31"/>
  <c r="C10" i="31"/>
  <c r="D10" i="31"/>
  <c r="E10" i="31"/>
  <c r="F10" i="31"/>
  <c r="G10" i="31"/>
  <c r="C11" i="31"/>
  <c r="D11" i="31"/>
  <c r="E11" i="31"/>
  <c r="F11" i="31"/>
  <c r="G11" i="31"/>
  <c r="C12" i="31"/>
  <c r="D12" i="31"/>
  <c r="E12" i="31"/>
  <c r="F12" i="31"/>
  <c r="G12" i="31"/>
  <c r="C13" i="31"/>
  <c r="D13" i="31"/>
  <c r="E13" i="31"/>
  <c r="F13" i="31"/>
  <c r="G13" i="31"/>
  <c r="C14" i="31"/>
  <c r="D14" i="31"/>
  <c r="E14" i="31"/>
  <c r="F14" i="31"/>
  <c r="G14" i="31"/>
  <c r="C15" i="31"/>
  <c r="D15" i="31"/>
  <c r="E15" i="31"/>
  <c r="F15" i="31"/>
  <c r="G15" i="31"/>
  <c r="C16" i="31"/>
  <c r="D16" i="31"/>
  <c r="E16" i="31"/>
  <c r="F16" i="31"/>
  <c r="G16" i="31"/>
  <c r="C17" i="31"/>
  <c r="D17" i="31"/>
  <c r="E17" i="31"/>
  <c r="F17" i="31"/>
  <c r="G17" i="31"/>
  <c r="C18" i="31"/>
  <c r="D18" i="31"/>
  <c r="E18" i="31"/>
  <c r="F18" i="31"/>
  <c r="G18" i="31"/>
  <c r="C19" i="31"/>
  <c r="D19" i="31"/>
  <c r="E19" i="31"/>
  <c r="F19" i="31"/>
  <c r="G19" i="31"/>
  <c r="C20" i="31"/>
  <c r="D20" i="31"/>
  <c r="E20" i="31"/>
  <c r="F20" i="31"/>
  <c r="G20" i="31"/>
  <c r="C21" i="31"/>
  <c r="D21" i="31"/>
  <c r="E21" i="31"/>
  <c r="F21" i="31"/>
  <c r="G21" i="31"/>
  <c r="C22" i="31"/>
  <c r="D22" i="31"/>
  <c r="E22" i="31"/>
  <c r="F22" i="31"/>
  <c r="G22" i="31"/>
  <c r="C23" i="31"/>
  <c r="D23" i="31"/>
  <c r="E23" i="31"/>
  <c r="F23" i="31"/>
  <c r="G23" i="31"/>
  <c r="C24" i="31"/>
  <c r="D24" i="31"/>
  <c r="E24" i="31"/>
  <c r="F24" i="31"/>
  <c r="G24" i="31"/>
  <c r="C25" i="31"/>
  <c r="D25" i="31"/>
  <c r="E25" i="31"/>
  <c r="F25" i="31"/>
  <c r="G25" i="31"/>
  <c r="C26" i="31"/>
  <c r="D26" i="31"/>
  <c r="E26" i="31"/>
  <c r="F26" i="31"/>
  <c r="G26" i="31"/>
  <c r="C27" i="31"/>
  <c r="D27" i="31"/>
  <c r="E27" i="31"/>
  <c r="F27" i="31"/>
  <c r="G27" i="31"/>
  <c r="C28" i="31"/>
  <c r="D28" i="31"/>
  <c r="E28" i="31"/>
  <c r="F28" i="31"/>
  <c r="G28" i="31"/>
  <c r="C29" i="31"/>
  <c r="D29" i="31"/>
  <c r="E29" i="31"/>
  <c r="F29" i="31"/>
  <c r="G29" i="31"/>
  <c r="C30" i="31"/>
  <c r="D30" i="31"/>
  <c r="E30" i="31"/>
  <c r="F30" i="31"/>
  <c r="G30" i="31"/>
  <c r="C31" i="31"/>
  <c r="D31" i="31"/>
  <c r="E31" i="31"/>
  <c r="F31" i="31"/>
  <c r="G31" i="31"/>
  <c r="C32" i="31"/>
  <c r="D32" i="31"/>
  <c r="E32" i="31"/>
  <c r="F32" i="31"/>
  <c r="G32" i="31"/>
  <c r="C33" i="31"/>
  <c r="D33" i="31"/>
  <c r="E33" i="31"/>
  <c r="F33" i="31"/>
  <c r="G33" i="31"/>
  <c r="C34" i="31"/>
  <c r="D34" i="31"/>
  <c r="E34" i="31"/>
  <c r="F34" i="31"/>
  <c r="G34" i="31"/>
  <c r="C35" i="31"/>
  <c r="D35" i="31"/>
  <c r="E35" i="31"/>
  <c r="F35" i="31"/>
  <c r="G35" i="31"/>
  <c r="C36" i="31"/>
  <c r="D36" i="31"/>
  <c r="E36" i="31"/>
  <c r="F36" i="31"/>
  <c r="G36" i="31"/>
  <c r="C37" i="31"/>
  <c r="D37" i="31"/>
  <c r="E37" i="31"/>
  <c r="F37" i="31"/>
  <c r="G37" i="31"/>
  <c r="C38" i="31"/>
  <c r="D38" i="31"/>
  <c r="E38" i="31"/>
  <c r="F38" i="31"/>
  <c r="G38" i="31"/>
  <c r="C39" i="31"/>
  <c r="D39" i="31"/>
  <c r="E39" i="31"/>
  <c r="F39" i="31"/>
  <c r="G39" i="31"/>
  <c r="C40" i="31"/>
  <c r="D40" i="31"/>
  <c r="E40" i="31"/>
  <c r="F40" i="31"/>
  <c r="G40" i="31"/>
  <c r="C41" i="31"/>
  <c r="D41" i="31"/>
  <c r="E41" i="31"/>
  <c r="F41" i="31"/>
  <c r="G41" i="31"/>
  <c r="C42" i="31"/>
  <c r="D42" i="31"/>
  <c r="E42" i="31"/>
  <c r="F42" i="31"/>
  <c r="G42" i="31"/>
  <c r="C43" i="31"/>
  <c r="D43" i="31"/>
  <c r="E43" i="31"/>
  <c r="F43" i="31"/>
  <c r="G43" i="31"/>
  <c r="C44" i="31"/>
  <c r="D44" i="31"/>
  <c r="E44" i="31"/>
  <c r="F44" i="31"/>
  <c r="G44" i="31"/>
  <c r="C45" i="31"/>
  <c r="D45" i="31"/>
  <c r="E45" i="31"/>
  <c r="F45" i="31"/>
  <c r="G45" i="31"/>
  <c r="C46" i="31"/>
  <c r="D46" i="31"/>
  <c r="E46" i="31"/>
  <c r="F46" i="31"/>
  <c r="G46" i="31"/>
  <c r="C47" i="31"/>
  <c r="D47" i="31"/>
  <c r="E47" i="31"/>
  <c r="F47" i="31"/>
  <c r="G47" i="31"/>
  <c r="C48" i="31"/>
  <c r="D48" i="31"/>
  <c r="E48" i="31"/>
  <c r="F48" i="31"/>
  <c r="G48" i="31"/>
  <c r="C49" i="31"/>
  <c r="D49" i="31"/>
  <c r="E49" i="31"/>
  <c r="F49" i="31"/>
  <c r="G49" i="31"/>
  <c r="C50" i="31"/>
  <c r="D50" i="31"/>
  <c r="E50" i="31"/>
  <c r="F50" i="31"/>
  <c r="G50" i="31"/>
  <c r="C51" i="31"/>
  <c r="D51" i="31"/>
  <c r="E51" i="31"/>
  <c r="F51" i="31"/>
  <c r="G51" i="31"/>
  <c r="C52" i="31"/>
  <c r="D52" i="31"/>
  <c r="E52" i="31"/>
  <c r="F52" i="31"/>
  <c r="G52" i="31"/>
  <c r="C53" i="31"/>
  <c r="D53" i="31"/>
  <c r="E53" i="31"/>
  <c r="F53" i="31"/>
  <c r="G53" i="31"/>
  <c r="C54" i="31"/>
  <c r="D54" i="31"/>
  <c r="E54" i="31"/>
  <c r="F54" i="31"/>
  <c r="G54" i="31"/>
  <c r="C55" i="31"/>
  <c r="D55" i="31"/>
  <c r="E55" i="31"/>
  <c r="F55" i="31"/>
  <c r="G55" i="31"/>
  <c r="C56" i="31"/>
  <c r="D56" i="31"/>
  <c r="E56" i="31"/>
  <c r="F56" i="31"/>
  <c r="G56" i="31"/>
  <c r="C57" i="31"/>
  <c r="D57" i="31"/>
  <c r="E57" i="31"/>
  <c r="F57" i="31"/>
  <c r="G57" i="31"/>
  <c r="C58" i="31"/>
  <c r="D58" i="31"/>
  <c r="E58" i="31"/>
  <c r="F58" i="31"/>
  <c r="G58" i="31"/>
  <c r="C59" i="31"/>
  <c r="D59" i="31"/>
  <c r="E59" i="31"/>
  <c r="F59" i="31"/>
  <c r="G59" i="31"/>
  <c r="C60" i="31"/>
  <c r="D60" i="31"/>
  <c r="E60" i="31"/>
  <c r="F60" i="31"/>
  <c r="G60" i="31"/>
  <c r="C61" i="31"/>
  <c r="D61" i="31"/>
  <c r="E61" i="31"/>
  <c r="F61" i="31"/>
  <c r="G61" i="31"/>
  <c r="C62" i="31"/>
  <c r="D62" i="31"/>
  <c r="E62" i="31"/>
  <c r="F62" i="31"/>
  <c r="G62" i="31"/>
  <c r="C63" i="31"/>
  <c r="D63" i="31"/>
  <c r="E63" i="31"/>
  <c r="F63" i="31"/>
  <c r="G63" i="31"/>
  <c r="C64" i="31"/>
  <c r="D64" i="31"/>
  <c r="E64" i="31"/>
  <c r="F64" i="31"/>
  <c r="G64" i="31"/>
  <c r="C65" i="31"/>
  <c r="D65" i="31"/>
  <c r="E65" i="31"/>
  <c r="F65" i="31"/>
  <c r="G65" i="31"/>
  <c r="C66" i="31"/>
  <c r="D66" i="31"/>
  <c r="E66" i="31"/>
  <c r="F66" i="31"/>
  <c r="G66" i="31"/>
  <c r="C67" i="31"/>
  <c r="D67" i="31"/>
  <c r="E67" i="31"/>
  <c r="F67" i="31"/>
  <c r="G67" i="31"/>
  <c r="C68" i="31"/>
  <c r="D68" i="31"/>
  <c r="E68" i="31"/>
  <c r="F68" i="31"/>
  <c r="G68" i="31"/>
  <c r="C69" i="31"/>
  <c r="D69" i="31"/>
  <c r="E69" i="31"/>
  <c r="F69" i="31"/>
  <c r="G69" i="31"/>
  <c r="C70" i="31"/>
  <c r="D70" i="31"/>
  <c r="E70" i="31"/>
  <c r="F70" i="31"/>
  <c r="G70" i="31"/>
  <c r="C71" i="31"/>
  <c r="D71" i="31"/>
  <c r="E71" i="31"/>
  <c r="F71" i="31"/>
  <c r="G71" i="31"/>
  <c r="C72" i="31"/>
  <c r="D72" i="31"/>
  <c r="E72" i="31"/>
  <c r="F72" i="31"/>
  <c r="G72" i="31"/>
  <c r="C73" i="31"/>
  <c r="D73" i="31"/>
  <c r="E73" i="31"/>
  <c r="F73" i="31"/>
  <c r="G73" i="31"/>
  <c r="C74" i="31"/>
  <c r="D74" i="31"/>
  <c r="E74" i="31"/>
  <c r="F74" i="31"/>
  <c r="G74" i="31"/>
  <c r="C75" i="31"/>
  <c r="D75" i="31"/>
  <c r="E75" i="31"/>
  <c r="F75" i="31"/>
  <c r="G75" i="31"/>
  <c r="C76" i="31"/>
  <c r="D76" i="31"/>
  <c r="E76" i="31"/>
  <c r="F76" i="31"/>
  <c r="G76" i="31"/>
  <c r="C77" i="31"/>
  <c r="D77" i="31"/>
  <c r="E77" i="31"/>
  <c r="F77" i="31"/>
  <c r="G77" i="31"/>
  <c r="C78" i="31"/>
  <c r="D78" i="31"/>
  <c r="E78" i="31"/>
  <c r="F78" i="31"/>
  <c r="G78" i="31"/>
  <c r="C79" i="31"/>
  <c r="D79" i="31"/>
  <c r="E79" i="31"/>
  <c r="F79" i="31"/>
  <c r="G79" i="31"/>
  <c r="G2" i="31"/>
  <c r="F2" i="31"/>
  <c r="E2" i="31"/>
  <c r="D2" i="31"/>
  <c r="C2" i="31"/>
  <c r="H1" i="31"/>
  <c r="G1" i="31"/>
  <c r="F1" i="31"/>
  <c r="E1" i="31"/>
  <c r="D1" i="31"/>
  <c r="C1" i="31"/>
  <c r="B1" i="31"/>
  <c r="A1" i="31"/>
  <c r="H1" i="24"/>
  <c r="G1" i="24"/>
  <c r="F1" i="24"/>
  <c r="E1" i="24"/>
  <c r="D1" i="24"/>
  <c r="C1" i="24"/>
  <c r="B1" i="24"/>
  <c r="A1" i="24"/>
  <c r="C3" i="24"/>
  <c r="D3" i="24"/>
  <c r="E3" i="24"/>
  <c r="F3" i="24"/>
  <c r="G3" i="24"/>
  <c r="C4" i="24"/>
  <c r="D4" i="24"/>
  <c r="E4" i="24"/>
  <c r="F4" i="24"/>
  <c r="G4" i="24"/>
  <c r="C5" i="24"/>
  <c r="D5" i="24"/>
  <c r="E5" i="24"/>
  <c r="F5" i="24"/>
  <c r="G5" i="24"/>
  <c r="C6" i="24"/>
  <c r="D6" i="24"/>
  <c r="E6" i="24"/>
  <c r="F6" i="24"/>
  <c r="G6" i="24"/>
  <c r="C7" i="24"/>
  <c r="D7" i="24"/>
  <c r="E7" i="24"/>
  <c r="F7" i="24"/>
  <c r="G7" i="24"/>
  <c r="C8" i="24"/>
  <c r="D8" i="24"/>
  <c r="E8" i="24"/>
  <c r="F8" i="24"/>
  <c r="G8" i="24"/>
  <c r="C9" i="24"/>
  <c r="D9" i="24"/>
  <c r="E9" i="24"/>
  <c r="F9" i="24"/>
  <c r="G9" i="24"/>
  <c r="C10" i="24"/>
  <c r="D10" i="24"/>
  <c r="E10" i="24"/>
  <c r="F10" i="24"/>
  <c r="G10" i="24"/>
  <c r="C11" i="24"/>
  <c r="D11" i="24"/>
  <c r="E11" i="24"/>
  <c r="F11" i="24"/>
  <c r="G11" i="24"/>
  <c r="C12" i="24"/>
  <c r="D12" i="24"/>
  <c r="E12" i="24"/>
  <c r="F12" i="24"/>
  <c r="G12" i="24"/>
  <c r="C13" i="24"/>
  <c r="D13" i="24"/>
  <c r="E13" i="24"/>
  <c r="F13" i="24"/>
  <c r="G13" i="24"/>
  <c r="C14" i="24"/>
  <c r="D14" i="24"/>
  <c r="E14" i="24"/>
  <c r="F14" i="24"/>
  <c r="G14" i="24"/>
  <c r="C15" i="24"/>
  <c r="D15" i="24"/>
  <c r="E15" i="24"/>
  <c r="F15" i="24"/>
  <c r="G15" i="24"/>
  <c r="C16" i="24"/>
  <c r="D16" i="24"/>
  <c r="E16" i="24"/>
  <c r="F16" i="24"/>
  <c r="G16" i="24"/>
  <c r="C17" i="24"/>
  <c r="D17" i="24"/>
  <c r="E17" i="24"/>
  <c r="F17" i="24"/>
  <c r="G17" i="24"/>
  <c r="C18" i="24"/>
  <c r="D18" i="24"/>
  <c r="E18" i="24"/>
  <c r="F18" i="24"/>
  <c r="G18" i="24"/>
  <c r="C19" i="24"/>
  <c r="D19" i="24"/>
  <c r="E19" i="24"/>
  <c r="F19" i="24"/>
  <c r="G19" i="24"/>
  <c r="C20" i="24"/>
  <c r="D20" i="24"/>
  <c r="E20" i="24"/>
  <c r="F20" i="24"/>
  <c r="G20" i="24"/>
  <c r="C21" i="24"/>
  <c r="D21" i="24"/>
  <c r="E21" i="24"/>
  <c r="F21" i="24"/>
  <c r="G21" i="24"/>
  <c r="C22" i="24"/>
  <c r="D22" i="24"/>
  <c r="E22" i="24"/>
  <c r="F22" i="24"/>
  <c r="G22" i="24"/>
  <c r="C23" i="24"/>
  <c r="D23" i="24"/>
  <c r="E23" i="24"/>
  <c r="F23" i="24"/>
  <c r="G23" i="24"/>
  <c r="C24" i="24"/>
  <c r="D24" i="24"/>
  <c r="E24" i="24"/>
  <c r="F24" i="24"/>
  <c r="G24" i="24"/>
  <c r="C25" i="24"/>
  <c r="D25" i="24"/>
  <c r="E25" i="24"/>
  <c r="F25" i="24"/>
  <c r="G25" i="24"/>
  <c r="C26" i="24"/>
  <c r="D26" i="24"/>
  <c r="E26" i="24"/>
  <c r="F26" i="24"/>
  <c r="G26" i="24"/>
  <c r="C27" i="24"/>
  <c r="D27" i="24"/>
  <c r="E27" i="24"/>
  <c r="F27" i="24"/>
  <c r="G27" i="24"/>
  <c r="C28" i="24"/>
  <c r="D28" i="24"/>
  <c r="E28" i="24"/>
  <c r="F28" i="24"/>
  <c r="G28" i="24"/>
  <c r="C29" i="24"/>
  <c r="D29" i="24"/>
  <c r="E29" i="24"/>
  <c r="F29" i="24"/>
  <c r="G29" i="24"/>
  <c r="C30" i="24"/>
  <c r="D30" i="24"/>
  <c r="E30" i="24"/>
  <c r="F30" i="24"/>
  <c r="G30" i="24"/>
  <c r="C31" i="24"/>
  <c r="D31" i="24"/>
  <c r="E31" i="24"/>
  <c r="F31" i="24"/>
  <c r="G31" i="24"/>
  <c r="C32" i="24"/>
  <c r="D32" i="24"/>
  <c r="E32" i="24"/>
  <c r="F32" i="24"/>
  <c r="G32" i="24"/>
  <c r="C33" i="24"/>
  <c r="D33" i="24"/>
  <c r="E33" i="24"/>
  <c r="F33" i="24"/>
  <c r="G33" i="24"/>
  <c r="C34" i="24"/>
  <c r="D34" i="24"/>
  <c r="E34" i="24"/>
  <c r="F34" i="24"/>
  <c r="G34" i="24"/>
  <c r="C35" i="24"/>
  <c r="D35" i="24"/>
  <c r="E35" i="24"/>
  <c r="F35" i="24"/>
  <c r="G35" i="24"/>
  <c r="C36" i="24"/>
  <c r="D36" i="24"/>
  <c r="E36" i="24"/>
  <c r="F36" i="24"/>
  <c r="G36" i="24"/>
  <c r="C37" i="24"/>
  <c r="D37" i="24"/>
  <c r="E37" i="24"/>
  <c r="F37" i="24"/>
  <c r="G37" i="24"/>
  <c r="C38" i="24"/>
  <c r="D38" i="24"/>
  <c r="E38" i="24"/>
  <c r="F38" i="24"/>
  <c r="G38" i="24"/>
  <c r="C39" i="24"/>
  <c r="D39" i="24"/>
  <c r="E39" i="24"/>
  <c r="F39" i="24"/>
  <c r="G39" i="24"/>
  <c r="C40" i="24"/>
  <c r="D40" i="24"/>
  <c r="E40" i="24"/>
  <c r="F40" i="24"/>
  <c r="G40" i="24"/>
  <c r="C41" i="24"/>
  <c r="D41" i="24"/>
  <c r="E41" i="24"/>
  <c r="F41" i="24"/>
  <c r="G41" i="24"/>
  <c r="C42" i="24"/>
  <c r="D42" i="24"/>
  <c r="E42" i="24"/>
  <c r="F42" i="24"/>
  <c r="G42" i="24"/>
  <c r="C43" i="24"/>
  <c r="D43" i="24"/>
  <c r="E43" i="24"/>
  <c r="F43" i="24"/>
  <c r="G43" i="24"/>
  <c r="C44" i="24"/>
  <c r="D44" i="24"/>
  <c r="E44" i="24"/>
  <c r="F44" i="24"/>
  <c r="G44" i="24"/>
  <c r="C45" i="24"/>
  <c r="D45" i="24"/>
  <c r="E45" i="24"/>
  <c r="F45" i="24"/>
  <c r="G45" i="24"/>
  <c r="C46" i="24"/>
  <c r="D46" i="24"/>
  <c r="E46" i="24"/>
  <c r="F46" i="24"/>
  <c r="G46" i="24"/>
  <c r="C47" i="24"/>
  <c r="D47" i="24"/>
  <c r="E47" i="24"/>
  <c r="F47" i="24"/>
  <c r="G47" i="24"/>
  <c r="C48" i="24"/>
  <c r="D48" i="24"/>
  <c r="E48" i="24"/>
  <c r="F48" i="24"/>
  <c r="G48" i="24"/>
  <c r="C49" i="24"/>
  <c r="D49" i="24"/>
  <c r="E49" i="24"/>
  <c r="F49" i="24"/>
  <c r="G49" i="24"/>
  <c r="C50" i="24"/>
  <c r="D50" i="24"/>
  <c r="E50" i="24"/>
  <c r="F50" i="24"/>
  <c r="G50" i="24"/>
  <c r="C51" i="24"/>
  <c r="D51" i="24"/>
  <c r="E51" i="24"/>
  <c r="F51" i="24"/>
  <c r="G51" i="24"/>
  <c r="C52" i="24"/>
  <c r="D52" i="24"/>
  <c r="E52" i="24"/>
  <c r="F52" i="24"/>
  <c r="G52" i="24"/>
  <c r="C53" i="24"/>
  <c r="D53" i="24"/>
  <c r="E53" i="24"/>
  <c r="F53" i="24"/>
  <c r="G53" i="24"/>
  <c r="C54" i="24"/>
  <c r="D54" i="24"/>
  <c r="E54" i="24"/>
  <c r="F54" i="24"/>
  <c r="G54" i="24"/>
  <c r="C55" i="24"/>
  <c r="D55" i="24"/>
  <c r="E55" i="24"/>
  <c r="F55" i="24"/>
  <c r="G55" i="24"/>
  <c r="C56" i="24"/>
  <c r="D56" i="24"/>
  <c r="E56" i="24"/>
  <c r="F56" i="24"/>
  <c r="G56" i="24"/>
  <c r="C57" i="24"/>
  <c r="D57" i="24"/>
  <c r="E57" i="24"/>
  <c r="F57" i="24"/>
  <c r="G57" i="24"/>
  <c r="C58" i="24"/>
  <c r="D58" i="24"/>
  <c r="E58" i="24"/>
  <c r="F58" i="24"/>
  <c r="G58" i="24"/>
  <c r="C59" i="24"/>
  <c r="D59" i="24"/>
  <c r="E59" i="24"/>
  <c r="F59" i="24"/>
  <c r="G59" i="24"/>
  <c r="C60" i="24"/>
  <c r="D60" i="24"/>
  <c r="E60" i="24"/>
  <c r="F60" i="24"/>
  <c r="G60" i="24"/>
  <c r="C61" i="24"/>
  <c r="D61" i="24"/>
  <c r="E61" i="24"/>
  <c r="F61" i="24"/>
  <c r="G61" i="24"/>
  <c r="C62" i="24"/>
  <c r="D62" i="24"/>
  <c r="E62" i="24"/>
  <c r="F62" i="24"/>
  <c r="G62" i="24"/>
  <c r="C63" i="24"/>
  <c r="D63" i="24"/>
  <c r="E63" i="24"/>
  <c r="F63" i="24"/>
  <c r="G63" i="24"/>
  <c r="C64" i="24"/>
  <c r="D64" i="24"/>
  <c r="E64" i="24"/>
  <c r="F64" i="24"/>
  <c r="G64" i="24"/>
  <c r="C65" i="24"/>
  <c r="D65" i="24"/>
  <c r="E65" i="24"/>
  <c r="F65" i="24"/>
  <c r="G65" i="24"/>
  <c r="C66" i="24"/>
  <c r="D66" i="24"/>
  <c r="E66" i="24"/>
  <c r="F66" i="24"/>
  <c r="G66" i="24"/>
  <c r="C67" i="24"/>
  <c r="D67" i="24"/>
  <c r="E67" i="24"/>
  <c r="F67" i="24"/>
  <c r="G67" i="24"/>
  <c r="C68" i="24"/>
  <c r="D68" i="24"/>
  <c r="E68" i="24"/>
  <c r="F68" i="24"/>
  <c r="G68" i="24"/>
  <c r="C69" i="24"/>
  <c r="D69" i="24"/>
  <c r="E69" i="24"/>
  <c r="F69" i="24"/>
  <c r="G69" i="24"/>
  <c r="C70" i="24"/>
  <c r="D70" i="24"/>
  <c r="E70" i="24"/>
  <c r="F70" i="24"/>
  <c r="G70" i="24"/>
  <c r="C71" i="24"/>
  <c r="D71" i="24"/>
  <c r="E71" i="24"/>
  <c r="F71" i="24"/>
  <c r="G71" i="24"/>
  <c r="C72" i="24"/>
  <c r="D72" i="24"/>
  <c r="E72" i="24"/>
  <c r="F72" i="24"/>
  <c r="G72" i="24"/>
  <c r="C73" i="24"/>
  <c r="D73" i="24"/>
  <c r="E73" i="24"/>
  <c r="F73" i="24"/>
  <c r="G73" i="24"/>
  <c r="C74" i="24"/>
  <c r="D74" i="24"/>
  <c r="E74" i="24"/>
  <c r="F74" i="24"/>
  <c r="G74" i="24"/>
  <c r="C75" i="24"/>
  <c r="D75" i="24"/>
  <c r="E75" i="24"/>
  <c r="F75" i="24"/>
  <c r="G75" i="24"/>
  <c r="C76" i="24"/>
  <c r="D76" i="24"/>
  <c r="E76" i="24"/>
  <c r="F76" i="24"/>
  <c r="G76" i="24"/>
  <c r="C77" i="24"/>
  <c r="D77" i="24"/>
  <c r="E77" i="24"/>
  <c r="F77" i="24"/>
  <c r="G77" i="24"/>
  <c r="C78" i="24"/>
  <c r="D78" i="24"/>
  <c r="E78" i="24"/>
  <c r="F78" i="24"/>
  <c r="G78" i="24"/>
  <c r="C79" i="24"/>
  <c r="D79" i="24"/>
  <c r="E79" i="24"/>
  <c r="F79" i="24"/>
  <c r="G79" i="24"/>
  <c r="G2" i="24"/>
  <c r="F2" i="24"/>
  <c r="E2" i="24"/>
  <c r="D2" i="24"/>
  <c r="C2" i="24"/>
  <c r="C3" i="25"/>
  <c r="D3" i="25"/>
  <c r="E3" i="25"/>
  <c r="F3" i="25"/>
  <c r="G3" i="25"/>
  <c r="C4" i="25"/>
  <c r="D4" i="25"/>
  <c r="E4" i="25"/>
  <c r="F4" i="25"/>
  <c r="G4" i="25"/>
  <c r="C5" i="25"/>
  <c r="D5" i="25"/>
  <c r="E5" i="25"/>
  <c r="F5" i="25"/>
  <c r="G5" i="25"/>
  <c r="C6" i="25"/>
  <c r="D6" i="25"/>
  <c r="E6" i="25"/>
  <c r="F6" i="25"/>
  <c r="G6" i="25"/>
  <c r="C7" i="25"/>
  <c r="D7" i="25"/>
  <c r="E7" i="25"/>
  <c r="F7" i="25"/>
  <c r="G7" i="25"/>
  <c r="C8" i="25"/>
  <c r="D8" i="25"/>
  <c r="E8" i="25"/>
  <c r="F8" i="25"/>
  <c r="G8" i="25"/>
  <c r="C9" i="25"/>
  <c r="D9" i="25"/>
  <c r="E9" i="25"/>
  <c r="F9" i="25"/>
  <c r="G9" i="25"/>
  <c r="C10" i="25"/>
  <c r="D10" i="25"/>
  <c r="E10" i="25"/>
  <c r="F10" i="25"/>
  <c r="G10" i="25"/>
  <c r="C11" i="25"/>
  <c r="D11" i="25"/>
  <c r="E11" i="25"/>
  <c r="F11" i="25"/>
  <c r="G11" i="25"/>
  <c r="C12" i="25"/>
  <c r="D12" i="25"/>
  <c r="E12" i="25"/>
  <c r="F12" i="25"/>
  <c r="G12" i="25"/>
  <c r="C13" i="25"/>
  <c r="D13" i="25"/>
  <c r="E13" i="25"/>
  <c r="F13" i="25"/>
  <c r="G13" i="25"/>
  <c r="C14" i="25"/>
  <c r="D14" i="25"/>
  <c r="E14" i="25"/>
  <c r="F14" i="25"/>
  <c r="G14" i="25"/>
  <c r="C15" i="25"/>
  <c r="D15" i="25"/>
  <c r="E15" i="25"/>
  <c r="F15" i="25"/>
  <c r="G15" i="25"/>
  <c r="C16" i="25"/>
  <c r="D16" i="25"/>
  <c r="E16" i="25"/>
  <c r="F16" i="25"/>
  <c r="G16" i="25"/>
  <c r="C17" i="25"/>
  <c r="D17" i="25"/>
  <c r="E17" i="25"/>
  <c r="F17" i="25"/>
  <c r="G17" i="25"/>
  <c r="C18" i="25"/>
  <c r="D18" i="25"/>
  <c r="E18" i="25"/>
  <c r="F18" i="25"/>
  <c r="G18" i="25"/>
  <c r="C19" i="25"/>
  <c r="D19" i="25"/>
  <c r="E19" i="25"/>
  <c r="F19" i="25"/>
  <c r="G19" i="25"/>
  <c r="C20" i="25"/>
  <c r="D20" i="25"/>
  <c r="E20" i="25"/>
  <c r="F20" i="25"/>
  <c r="G20" i="25"/>
  <c r="C21" i="25"/>
  <c r="D21" i="25"/>
  <c r="E21" i="25"/>
  <c r="F21" i="25"/>
  <c r="G21" i="25"/>
  <c r="C22" i="25"/>
  <c r="D22" i="25"/>
  <c r="E22" i="25"/>
  <c r="F22" i="25"/>
  <c r="G22" i="25"/>
  <c r="C23" i="25"/>
  <c r="D23" i="25"/>
  <c r="E23" i="25"/>
  <c r="F23" i="25"/>
  <c r="G23" i="25"/>
  <c r="C24" i="25"/>
  <c r="D24" i="25"/>
  <c r="E24" i="25"/>
  <c r="F24" i="25"/>
  <c r="G24" i="25"/>
  <c r="C25" i="25"/>
  <c r="D25" i="25"/>
  <c r="E25" i="25"/>
  <c r="F25" i="25"/>
  <c r="G25" i="25"/>
  <c r="C26" i="25"/>
  <c r="D26" i="25"/>
  <c r="E26" i="25"/>
  <c r="F26" i="25"/>
  <c r="G26" i="25"/>
  <c r="C27" i="25"/>
  <c r="D27" i="25"/>
  <c r="E27" i="25"/>
  <c r="F27" i="25"/>
  <c r="G27" i="25"/>
  <c r="C28" i="25"/>
  <c r="D28" i="25"/>
  <c r="E28" i="25"/>
  <c r="F28" i="25"/>
  <c r="G28" i="25"/>
  <c r="C29" i="25"/>
  <c r="D29" i="25"/>
  <c r="E29" i="25"/>
  <c r="F29" i="25"/>
  <c r="G29" i="25"/>
  <c r="C30" i="25"/>
  <c r="D30" i="25"/>
  <c r="E30" i="25"/>
  <c r="F30" i="25"/>
  <c r="G30" i="25"/>
  <c r="C31" i="25"/>
  <c r="D31" i="25"/>
  <c r="E31" i="25"/>
  <c r="F31" i="25"/>
  <c r="G31" i="25"/>
  <c r="C32" i="25"/>
  <c r="D32" i="25"/>
  <c r="E32" i="25"/>
  <c r="F32" i="25"/>
  <c r="G32" i="25"/>
  <c r="C33" i="25"/>
  <c r="D33" i="25"/>
  <c r="E33" i="25"/>
  <c r="F33" i="25"/>
  <c r="G33" i="25"/>
  <c r="C34" i="25"/>
  <c r="D34" i="25"/>
  <c r="E34" i="25"/>
  <c r="F34" i="25"/>
  <c r="G34" i="25"/>
  <c r="C35" i="25"/>
  <c r="D35" i="25"/>
  <c r="E35" i="25"/>
  <c r="F35" i="25"/>
  <c r="G35" i="25"/>
  <c r="C36" i="25"/>
  <c r="D36" i="25"/>
  <c r="E36" i="25"/>
  <c r="F36" i="25"/>
  <c r="G36" i="25"/>
  <c r="C37" i="25"/>
  <c r="D37" i="25"/>
  <c r="E37" i="25"/>
  <c r="F37" i="25"/>
  <c r="G37" i="25"/>
  <c r="C38" i="25"/>
  <c r="D38" i="25"/>
  <c r="E38" i="25"/>
  <c r="F38" i="25"/>
  <c r="G38" i="25"/>
  <c r="C39" i="25"/>
  <c r="D39" i="25"/>
  <c r="E39" i="25"/>
  <c r="F39" i="25"/>
  <c r="G39" i="25"/>
  <c r="C40" i="25"/>
  <c r="D40" i="25"/>
  <c r="E40" i="25"/>
  <c r="F40" i="25"/>
  <c r="G40" i="25"/>
  <c r="C41" i="25"/>
  <c r="D41" i="25"/>
  <c r="E41" i="25"/>
  <c r="F41" i="25"/>
  <c r="G41" i="25"/>
  <c r="C42" i="25"/>
  <c r="D42" i="25"/>
  <c r="E42" i="25"/>
  <c r="F42" i="25"/>
  <c r="G42" i="25"/>
  <c r="C43" i="25"/>
  <c r="D43" i="25"/>
  <c r="E43" i="25"/>
  <c r="F43" i="25"/>
  <c r="G43" i="25"/>
  <c r="C44" i="25"/>
  <c r="D44" i="25"/>
  <c r="E44" i="25"/>
  <c r="F44" i="25"/>
  <c r="G44" i="25"/>
  <c r="C45" i="25"/>
  <c r="D45" i="25"/>
  <c r="E45" i="25"/>
  <c r="F45" i="25"/>
  <c r="G45" i="25"/>
  <c r="C46" i="25"/>
  <c r="D46" i="25"/>
  <c r="E46" i="25"/>
  <c r="F46" i="25"/>
  <c r="G46" i="25"/>
  <c r="C47" i="25"/>
  <c r="D47" i="25"/>
  <c r="E47" i="25"/>
  <c r="F47" i="25"/>
  <c r="G47" i="25"/>
  <c r="C48" i="25"/>
  <c r="D48" i="25"/>
  <c r="E48" i="25"/>
  <c r="F48" i="25"/>
  <c r="G48" i="25"/>
  <c r="C49" i="25"/>
  <c r="D49" i="25"/>
  <c r="E49" i="25"/>
  <c r="F49" i="25"/>
  <c r="G49" i="25"/>
  <c r="C50" i="25"/>
  <c r="D50" i="25"/>
  <c r="E50" i="25"/>
  <c r="F50" i="25"/>
  <c r="G50" i="25"/>
  <c r="C51" i="25"/>
  <c r="D51" i="25"/>
  <c r="E51" i="25"/>
  <c r="F51" i="25"/>
  <c r="G51" i="25"/>
  <c r="C52" i="25"/>
  <c r="D52" i="25"/>
  <c r="E52" i="25"/>
  <c r="F52" i="25"/>
  <c r="G52" i="25"/>
  <c r="C53" i="25"/>
  <c r="D53" i="25"/>
  <c r="E53" i="25"/>
  <c r="F53" i="25"/>
  <c r="G53" i="25"/>
  <c r="C54" i="25"/>
  <c r="D54" i="25"/>
  <c r="E54" i="25"/>
  <c r="F54" i="25"/>
  <c r="G54" i="25"/>
  <c r="C55" i="25"/>
  <c r="D55" i="25"/>
  <c r="E55" i="25"/>
  <c r="F55" i="25"/>
  <c r="G55" i="25"/>
  <c r="C56" i="25"/>
  <c r="D56" i="25"/>
  <c r="E56" i="25"/>
  <c r="F56" i="25"/>
  <c r="G56" i="25"/>
  <c r="C57" i="25"/>
  <c r="D57" i="25"/>
  <c r="E57" i="25"/>
  <c r="F57" i="25"/>
  <c r="G57" i="25"/>
  <c r="C58" i="25"/>
  <c r="D58" i="25"/>
  <c r="E58" i="25"/>
  <c r="F58" i="25"/>
  <c r="G58" i="25"/>
  <c r="C59" i="25"/>
  <c r="D59" i="25"/>
  <c r="E59" i="25"/>
  <c r="F59" i="25"/>
  <c r="G59" i="25"/>
  <c r="C60" i="25"/>
  <c r="D60" i="25"/>
  <c r="E60" i="25"/>
  <c r="F60" i="25"/>
  <c r="G60" i="25"/>
  <c r="C61" i="25"/>
  <c r="D61" i="25"/>
  <c r="E61" i="25"/>
  <c r="F61" i="25"/>
  <c r="G61" i="25"/>
  <c r="C62" i="25"/>
  <c r="D62" i="25"/>
  <c r="E62" i="25"/>
  <c r="F62" i="25"/>
  <c r="G62" i="25"/>
  <c r="C63" i="25"/>
  <c r="D63" i="25"/>
  <c r="E63" i="25"/>
  <c r="F63" i="25"/>
  <c r="G63" i="25"/>
  <c r="C64" i="25"/>
  <c r="D64" i="25"/>
  <c r="E64" i="25"/>
  <c r="F64" i="25"/>
  <c r="G64" i="25"/>
  <c r="C65" i="25"/>
  <c r="D65" i="25"/>
  <c r="E65" i="25"/>
  <c r="F65" i="25"/>
  <c r="G65" i="25"/>
  <c r="C66" i="25"/>
  <c r="D66" i="25"/>
  <c r="E66" i="25"/>
  <c r="F66" i="25"/>
  <c r="G66" i="25"/>
  <c r="C67" i="25"/>
  <c r="D67" i="25"/>
  <c r="E67" i="25"/>
  <c r="F67" i="25"/>
  <c r="G67" i="25"/>
  <c r="C68" i="25"/>
  <c r="D68" i="25"/>
  <c r="E68" i="25"/>
  <c r="F68" i="25"/>
  <c r="G68" i="25"/>
  <c r="C69" i="25"/>
  <c r="D69" i="25"/>
  <c r="E69" i="25"/>
  <c r="F69" i="25"/>
  <c r="G69" i="25"/>
  <c r="C70" i="25"/>
  <c r="D70" i="25"/>
  <c r="E70" i="25"/>
  <c r="F70" i="25"/>
  <c r="G70" i="25"/>
  <c r="C71" i="25"/>
  <c r="D71" i="25"/>
  <c r="E71" i="25"/>
  <c r="F71" i="25"/>
  <c r="G71" i="25"/>
  <c r="C72" i="25"/>
  <c r="D72" i="25"/>
  <c r="E72" i="25"/>
  <c r="F72" i="25"/>
  <c r="G72" i="25"/>
  <c r="C73" i="25"/>
  <c r="D73" i="25"/>
  <c r="E73" i="25"/>
  <c r="F73" i="25"/>
  <c r="G73" i="25"/>
  <c r="C74" i="25"/>
  <c r="D74" i="25"/>
  <c r="E74" i="25"/>
  <c r="F74" i="25"/>
  <c r="G74" i="25"/>
  <c r="C75" i="25"/>
  <c r="D75" i="25"/>
  <c r="E75" i="25"/>
  <c r="F75" i="25"/>
  <c r="G75" i="25"/>
  <c r="C76" i="25"/>
  <c r="D76" i="25"/>
  <c r="E76" i="25"/>
  <c r="F76" i="25"/>
  <c r="G76" i="25"/>
  <c r="C77" i="25"/>
  <c r="D77" i="25"/>
  <c r="E77" i="25"/>
  <c r="F77" i="25"/>
  <c r="G77" i="25"/>
  <c r="C78" i="25"/>
  <c r="D78" i="25"/>
  <c r="E78" i="25"/>
  <c r="F78" i="25"/>
  <c r="G78" i="25"/>
  <c r="C79" i="25"/>
  <c r="D79" i="25"/>
  <c r="E79" i="25"/>
  <c r="F79" i="25"/>
  <c r="G79" i="25"/>
  <c r="G2" i="25"/>
  <c r="F2" i="25"/>
  <c r="E2" i="25"/>
  <c r="D2" i="25"/>
  <c r="C2" i="25"/>
  <c r="H1" i="25"/>
  <c r="G1" i="25"/>
  <c r="F1" i="25"/>
  <c r="E1" i="25"/>
  <c r="D1" i="25"/>
  <c r="C1" i="25"/>
  <c r="B1" i="25"/>
  <c r="A1" i="25"/>
  <c r="C3" i="23"/>
  <c r="D3" i="23"/>
  <c r="E3" i="23"/>
  <c r="F3" i="23"/>
  <c r="G3" i="23"/>
  <c r="C4" i="23"/>
  <c r="D4" i="23"/>
  <c r="E4" i="23"/>
  <c r="F4" i="23"/>
  <c r="G4" i="23"/>
  <c r="C5" i="23"/>
  <c r="D5" i="23"/>
  <c r="E5" i="23"/>
  <c r="F5" i="23"/>
  <c r="G5" i="23"/>
  <c r="C6" i="23"/>
  <c r="D6" i="23"/>
  <c r="E6" i="23"/>
  <c r="F6" i="23"/>
  <c r="G6" i="23"/>
  <c r="C7" i="23"/>
  <c r="D7" i="23"/>
  <c r="E7" i="23"/>
  <c r="F7" i="23"/>
  <c r="G7" i="23"/>
  <c r="C8" i="23"/>
  <c r="D8" i="23"/>
  <c r="E8" i="23"/>
  <c r="F8" i="23"/>
  <c r="G8" i="23"/>
  <c r="C9" i="23"/>
  <c r="D9" i="23"/>
  <c r="E9" i="23"/>
  <c r="F9" i="23"/>
  <c r="G9" i="23"/>
  <c r="C10" i="23"/>
  <c r="D10" i="23"/>
  <c r="E10" i="23"/>
  <c r="F10" i="23"/>
  <c r="G10" i="23"/>
  <c r="C11" i="23"/>
  <c r="D11" i="23"/>
  <c r="E11" i="23"/>
  <c r="F11" i="23"/>
  <c r="G11" i="23"/>
  <c r="C12" i="23"/>
  <c r="D12" i="23"/>
  <c r="E12" i="23"/>
  <c r="F12" i="23"/>
  <c r="G12" i="23"/>
  <c r="C13" i="23"/>
  <c r="D13" i="23"/>
  <c r="E13" i="23"/>
  <c r="F13" i="23"/>
  <c r="G13" i="23"/>
  <c r="C14" i="23"/>
  <c r="D14" i="23"/>
  <c r="E14" i="23"/>
  <c r="F14" i="23"/>
  <c r="G14" i="23"/>
  <c r="C15" i="23"/>
  <c r="D15" i="23"/>
  <c r="E15" i="23"/>
  <c r="F15" i="23"/>
  <c r="G15" i="23"/>
  <c r="C16" i="23"/>
  <c r="D16" i="23"/>
  <c r="E16" i="23"/>
  <c r="F16" i="23"/>
  <c r="G16" i="23"/>
  <c r="C17" i="23"/>
  <c r="D17" i="23"/>
  <c r="E17" i="23"/>
  <c r="F17" i="23"/>
  <c r="G17" i="23"/>
  <c r="C18" i="23"/>
  <c r="D18" i="23"/>
  <c r="E18" i="23"/>
  <c r="F18" i="23"/>
  <c r="G18" i="23"/>
  <c r="C19" i="23"/>
  <c r="D19" i="23"/>
  <c r="E19" i="23"/>
  <c r="F19" i="23"/>
  <c r="G19" i="23"/>
  <c r="C20" i="23"/>
  <c r="D20" i="23"/>
  <c r="E20" i="23"/>
  <c r="F20" i="23"/>
  <c r="G20" i="23"/>
  <c r="C21" i="23"/>
  <c r="D21" i="23"/>
  <c r="E21" i="23"/>
  <c r="F21" i="23"/>
  <c r="G21" i="23"/>
  <c r="C22" i="23"/>
  <c r="D22" i="23"/>
  <c r="E22" i="23"/>
  <c r="F22" i="23"/>
  <c r="G22" i="23"/>
  <c r="C23" i="23"/>
  <c r="D23" i="23"/>
  <c r="E23" i="23"/>
  <c r="F23" i="23"/>
  <c r="G23" i="23"/>
  <c r="C24" i="23"/>
  <c r="D24" i="23"/>
  <c r="E24" i="23"/>
  <c r="F24" i="23"/>
  <c r="G24" i="23"/>
  <c r="C25" i="23"/>
  <c r="D25" i="23"/>
  <c r="E25" i="23"/>
  <c r="F25" i="23"/>
  <c r="G25" i="23"/>
  <c r="C26" i="23"/>
  <c r="D26" i="23"/>
  <c r="E26" i="23"/>
  <c r="F26" i="23"/>
  <c r="G26" i="23"/>
  <c r="C27" i="23"/>
  <c r="D27" i="23"/>
  <c r="E27" i="23"/>
  <c r="F27" i="23"/>
  <c r="G27" i="23"/>
  <c r="C28" i="23"/>
  <c r="D28" i="23"/>
  <c r="E28" i="23"/>
  <c r="F28" i="23"/>
  <c r="G28" i="23"/>
  <c r="C29" i="23"/>
  <c r="D29" i="23"/>
  <c r="E29" i="23"/>
  <c r="F29" i="23"/>
  <c r="G29" i="23"/>
  <c r="C30" i="23"/>
  <c r="D30" i="23"/>
  <c r="E30" i="23"/>
  <c r="F30" i="23"/>
  <c r="G30" i="23"/>
  <c r="C31" i="23"/>
  <c r="D31" i="23"/>
  <c r="E31" i="23"/>
  <c r="F31" i="23"/>
  <c r="G31" i="23"/>
  <c r="C32" i="23"/>
  <c r="D32" i="23"/>
  <c r="E32" i="23"/>
  <c r="F32" i="23"/>
  <c r="G32" i="23"/>
  <c r="C33" i="23"/>
  <c r="D33" i="23"/>
  <c r="E33" i="23"/>
  <c r="F33" i="23"/>
  <c r="G33" i="23"/>
  <c r="C34" i="23"/>
  <c r="D34" i="23"/>
  <c r="E34" i="23"/>
  <c r="F34" i="23"/>
  <c r="G34" i="23"/>
  <c r="C35" i="23"/>
  <c r="D35" i="23"/>
  <c r="E35" i="23"/>
  <c r="F35" i="23"/>
  <c r="G35" i="23"/>
  <c r="C36" i="23"/>
  <c r="D36" i="23"/>
  <c r="E36" i="23"/>
  <c r="F36" i="23"/>
  <c r="G36" i="23"/>
  <c r="C37" i="23"/>
  <c r="D37" i="23"/>
  <c r="E37" i="23"/>
  <c r="F37" i="23"/>
  <c r="G37" i="23"/>
  <c r="C38" i="23"/>
  <c r="D38" i="23"/>
  <c r="E38" i="23"/>
  <c r="F38" i="23"/>
  <c r="G38" i="23"/>
  <c r="C39" i="23"/>
  <c r="D39" i="23"/>
  <c r="E39" i="23"/>
  <c r="F39" i="23"/>
  <c r="G39" i="23"/>
  <c r="C40" i="23"/>
  <c r="D40" i="23"/>
  <c r="E40" i="23"/>
  <c r="F40" i="23"/>
  <c r="G40" i="23"/>
  <c r="C41" i="23"/>
  <c r="D41" i="23"/>
  <c r="E41" i="23"/>
  <c r="F41" i="23"/>
  <c r="G41" i="23"/>
  <c r="C42" i="23"/>
  <c r="D42" i="23"/>
  <c r="E42" i="23"/>
  <c r="F42" i="23"/>
  <c r="G42" i="23"/>
  <c r="C43" i="23"/>
  <c r="D43" i="23"/>
  <c r="E43" i="23"/>
  <c r="F43" i="23"/>
  <c r="G43" i="23"/>
  <c r="C44" i="23"/>
  <c r="D44" i="23"/>
  <c r="E44" i="23"/>
  <c r="F44" i="23"/>
  <c r="G44" i="23"/>
  <c r="C45" i="23"/>
  <c r="D45" i="23"/>
  <c r="E45" i="23"/>
  <c r="F45" i="23"/>
  <c r="G45" i="23"/>
  <c r="C46" i="23"/>
  <c r="D46" i="23"/>
  <c r="E46" i="23"/>
  <c r="F46" i="23"/>
  <c r="G46" i="23"/>
  <c r="C47" i="23"/>
  <c r="D47" i="23"/>
  <c r="E47" i="23"/>
  <c r="F47" i="23"/>
  <c r="G47" i="23"/>
  <c r="C48" i="23"/>
  <c r="D48" i="23"/>
  <c r="E48" i="23"/>
  <c r="F48" i="23"/>
  <c r="G48" i="23"/>
  <c r="C49" i="23"/>
  <c r="D49" i="23"/>
  <c r="E49" i="23"/>
  <c r="F49" i="23"/>
  <c r="G49" i="23"/>
  <c r="C50" i="23"/>
  <c r="D50" i="23"/>
  <c r="E50" i="23"/>
  <c r="F50" i="23"/>
  <c r="G50" i="23"/>
  <c r="C51" i="23"/>
  <c r="D51" i="23"/>
  <c r="E51" i="23"/>
  <c r="F51" i="23"/>
  <c r="G51" i="23"/>
  <c r="C52" i="23"/>
  <c r="D52" i="23"/>
  <c r="E52" i="23"/>
  <c r="F52" i="23"/>
  <c r="G52" i="23"/>
  <c r="C53" i="23"/>
  <c r="D53" i="23"/>
  <c r="E53" i="23"/>
  <c r="F53" i="23"/>
  <c r="G53" i="23"/>
  <c r="C54" i="23"/>
  <c r="D54" i="23"/>
  <c r="E54" i="23"/>
  <c r="F54" i="23"/>
  <c r="G54" i="23"/>
  <c r="C55" i="23"/>
  <c r="D55" i="23"/>
  <c r="E55" i="23"/>
  <c r="F55" i="23"/>
  <c r="G55" i="23"/>
  <c r="C56" i="23"/>
  <c r="D56" i="23"/>
  <c r="E56" i="23"/>
  <c r="F56" i="23"/>
  <c r="G56" i="23"/>
  <c r="C57" i="23"/>
  <c r="D57" i="23"/>
  <c r="E57" i="23"/>
  <c r="F57" i="23"/>
  <c r="G57" i="23"/>
  <c r="C58" i="23"/>
  <c r="D58" i="23"/>
  <c r="E58" i="23"/>
  <c r="F58" i="23"/>
  <c r="G58" i="23"/>
  <c r="C59" i="23"/>
  <c r="D59" i="23"/>
  <c r="E59" i="23"/>
  <c r="F59" i="23"/>
  <c r="G59" i="23"/>
  <c r="C60" i="23"/>
  <c r="D60" i="23"/>
  <c r="E60" i="23"/>
  <c r="F60" i="23"/>
  <c r="G60" i="23"/>
  <c r="C61" i="23"/>
  <c r="D61" i="23"/>
  <c r="E61" i="23"/>
  <c r="F61" i="23"/>
  <c r="G61" i="23"/>
  <c r="C62" i="23"/>
  <c r="D62" i="23"/>
  <c r="E62" i="23"/>
  <c r="F62" i="23"/>
  <c r="G62" i="23"/>
  <c r="C63" i="23"/>
  <c r="D63" i="23"/>
  <c r="E63" i="23"/>
  <c r="F63" i="23"/>
  <c r="G63" i="23"/>
  <c r="C64" i="23"/>
  <c r="D64" i="23"/>
  <c r="E64" i="23"/>
  <c r="F64" i="23"/>
  <c r="G64" i="23"/>
  <c r="C65" i="23"/>
  <c r="D65" i="23"/>
  <c r="E65" i="23"/>
  <c r="F65" i="23"/>
  <c r="G65" i="23"/>
  <c r="C66" i="23"/>
  <c r="D66" i="23"/>
  <c r="E66" i="23"/>
  <c r="F66" i="23"/>
  <c r="G66" i="23"/>
  <c r="C67" i="23"/>
  <c r="D67" i="23"/>
  <c r="E67" i="23"/>
  <c r="F67" i="23"/>
  <c r="G67" i="23"/>
  <c r="C68" i="23"/>
  <c r="D68" i="23"/>
  <c r="E68" i="23"/>
  <c r="F68" i="23"/>
  <c r="G68" i="23"/>
  <c r="C69" i="23"/>
  <c r="D69" i="23"/>
  <c r="E69" i="23"/>
  <c r="F69" i="23"/>
  <c r="G69" i="23"/>
  <c r="C70" i="23"/>
  <c r="D70" i="23"/>
  <c r="E70" i="23"/>
  <c r="F70" i="23"/>
  <c r="G70" i="23"/>
  <c r="C71" i="23"/>
  <c r="D71" i="23"/>
  <c r="E71" i="23"/>
  <c r="F71" i="23"/>
  <c r="G71" i="23"/>
  <c r="C72" i="23"/>
  <c r="D72" i="23"/>
  <c r="E72" i="23"/>
  <c r="F72" i="23"/>
  <c r="G72" i="23"/>
  <c r="C73" i="23"/>
  <c r="D73" i="23"/>
  <c r="E73" i="23"/>
  <c r="F73" i="23"/>
  <c r="G73" i="23"/>
  <c r="C74" i="23"/>
  <c r="D74" i="23"/>
  <c r="E74" i="23"/>
  <c r="F74" i="23"/>
  <c r="G74" i="23"/>
  <c r="C75" i="23"/>
  <c r="D75" i="23"/>
  <c r="E75" i="23"/>
  <c r="F75" i="23"/>
  <c r="G75" i="23"/>
  <c r="C76" i="23"/>
  <c r="D76" i="23"/>
  <c r="E76" i="23"/>
  <c r="F76" i="23"/>
  <c r="G76" i="23"/>
  <c r="G2" i="23"/>
  <c r="F2" i="23"/>
  <c r="E2" i="23"/>
  <c r="D2" i="23"/>
  <c r="C2" i="23"/>
  <c r="H1" i="23"/>
  <c r="G1" i="23"/>
  <c r="F1" i="23"/>
  <c r="E1" i="23"/>
  <c r="D1" i="23"/>
  <c r="C1" i="23"/>
  <c r="B1" i="23"/>
  <c r="A1" i="23"/>
  <c r="C4" i="22"/>
  <c r="D4" i="22"/>
  <c r="E4" i="22"/>
  <c r="F4" i="22"/>
  <c r="G4" i="22"/>
  <c r="C5" i="22"/>
  <c r="D5" i="22"/>
  <c r="E5" i="22"/>
  <c r="F5" i="22"/>
  <c r="G5" i="22"/>
  <c r="C6" i="22"/>
  <c r="D6" i="22"/>
  <c r="E6" i="22"/>
  <c r="F6" i="22"/>
  <c r="G6" i="22"/>
  <c r="C7" i="22"/>
  <c r="D7" i="22"/>
  <c r="E7" i="22"/>
  <c r="F7" i="22"/>
  <c r="G7" i="22"/>
  <c r="C8" i="22"/>
  <c r="D8" i="22"/>
  <c r="E8" i="22"/>
  <c r="F8" i="22"/>
  <c r="G8" i="22"/>
  <c r="C9" i="22"/>
  <c r="D9" i="22"/>
  <c r="E9" i="22"/>
  <c r="F9" i="22"/>
  <c r="G9" i="22"/>
  <c r="C10" i="22"/>
  <c r="D10" i="22"/>
  <c r="E10" i="22"/>
  <c r="F10" i="22"/>
  <c r="G10" i="22"/>
  <c r="C11" i="22"/>
  <c r="D11" i="22"/>
  <c r="E11" i="22"/>
  <c r="F11" i="22"/>
  <c r="G11" i="22"/>
  <c r="C12" i="22"/>
  <c r="D12" i="22"/>
  <c r="E12" i="22"/>
  <c r="F12" i="22"/>
  <c r="G12" i="22"/>
  <c r="C13" i="22"/>
  <c r="D13" i="22"/>
  <c r="E13" i="22"/>
  <c r="F13" i="22"/>
  <c r="G13" i="22"/>
  <c r="C14" i="22"/>
  <c r="D14" i="22"/>
  <c r="E14" i="22"/>
  <c r="F14" i="22"/>
  <c r="G14" i="22"/>
  <c r="C15" i="22"/>
  <c r="D15" i="22"/>
  <c r="E15" i="22"/>
  <c r="F15" i="22"/>
  <c r="G15" i="22"/>
  <c r="C16" i="22"/>
  <c r="D16" i="22"/>
  <c r="E16" i="22"/>
  <c r="F16" i="22"/>
  <c r="G16" i="22"/>
  <c r="C17" i="22"/>
  <c r="D17" i="22"/>
  <c r="E17" i="22"/>
  <c r="F17" i="22"/>
  <c r="G17" i="22"/>
  <c r="C18" i="22"/>
  <c r="D18" i="22"/>
  <c r="E18" i="22"/>
  <c r="F18" i="22"/>
  <c r="G18" i="22"/>
  <c r="C19" i="22"/>
  <c r="D19" i="22"/>
  <c r="E19" i="22"/>
  <c r="F19" i="22"/>
  <c r="G19" i="22"/>
  <c r="C20" i="22"/>
  <c r="D20" i="22"/>
  <c r="E20" i="22"/>
  <c r="F20" i="22"/>
  <c r="G20" i="22"/>
  <c r="C21" i="22"/>
  <c r="D21" i="22"/>
  <c r="E21" i="22"/>
  <c r="F21" i="22"/>
  <c r="G21" i="22"/>
  <c r="C22" i="22"/>
  <c r="D22" i="22"/>
  <c r="E22" i="22"/>
  <c r="F22" i="22"/>
  <c r="G22" i="22"/>
  <c r="C23" i="22"/>
  <c r="D23" i="22"/>
  <c r="E23" i="22"/>
  <c r="F23" i="22"/>
  <c r="G23" i="22"/>
  <c r="C24" i="22"/>
  <c r="D24" i="22"/>
  <c r="E24" i="22"/>
  <c r="F24" i="22"/>
  <c r="G24" i="22"/>
  <c r="C25" i="22"/>
  <c r="D25" i="22"/>
  <c r="E25" i="22"/>
  <c r="F25" i="22"/>
  <c r="G25" i="22"/>
  <c r="C26" i="22"/>
  <c r="D26" i="22"/>
  <c r="E26" i="22"/>
  <c r="F26" i="22"/>
  <c r="G26" i="22"/>
  <c r="C27" i="22"/>
  <c r="D27" i="22"/>
  <c r="E27" i="22"/>
  <c r="F27" i="22"/>
  <c r="G27" i="22"/>
  <c r="C28" i="22"/>
  <c r="D28" i="22"/>
  <c r="E28" i="22"/>
  <c r="F28" i="22"/>
  <c r="G28" i="22"/>
  <c r="C29" i="22"/>
  <c r="D29" i="22"/>
  <c r="E29" i="22"/>
  <c r="F29" i="22"/>
  <c r="G29" i="22"/>
  <c r="C30" i="22"/>
  <c r="D30" i="22"/>
  <c r="E30" i="22"/>
  <c r="F30" i="22"/>
  <c r="G30" i="22"/>
  <c r="C31" i="22"/>
  <c r="D31" i="22"/>
  <c r="E31" i="22"/>
  <c r="F31" i="22"/>
  <c r="G31" i="22"/>
  <c r="C32" i="22"/>
  <c r="D32" i="22"/>
  <c r="E32" i="22"/>
  <c r="F32" i="22"/>
  <c r="G32" i="22"/>
  <c r="C33" i="22"/>
  <c r="D33" i="22"/>
  <c r="E33" i="22"/>
  <c r="F33" i="22"/>
  <c r="G33" i="22"/>
  <c r="C34" i="22"/>
  <c r="D34" i="22"/>
  <c r="E34" i="22"/>
  <c r="F34" i="22"/>
  <c r="G34" i="22"/>
  <c r="C35" i="22"/>
  <c r="D35" i="22"/>
  <c r="E35" i="22"/>
  <c r="F35" i="22"/>
  <c r="G35" i="22"/>
  <c r="C36" i="22"/>
  <c r="D36" i="22"/>
  <c r="E36" i="22"/>
  <c r="F36" i="22"/>
  <c r="G36" i="22"/>
  <c r="C37" i="22"/>
  <c r="D37" i="22"/>
  <c r="E37" i="22"/>
  <c r="F37" i="22"/>
  <c r="G37" i="22"/>
  <c r="C38" i="22"/>
  <c r="D38" i="22"/>
  <c r="E38" i="22"/>
  <c r="F38" i="22"/>
  <c r="G38" i="22"/>
  <c r="C39" i="22"/>
  <c r="D39" i="22"/>
  <c r="E39" i="22"/>
  <c r="F39" i="22"/>
  <c r="G39" i="22"/>
  <c r="C40" i="22"/>
  <c r="D40" i="22"/>
  <c r="E40" i="22"/>
  <c r="F40" i="22"/>
  <c r="G40" i="22"/>
  <c r="C41" i="22"/>
  <c r="D41" i="22"/>
  <c r="E41" i="22"/>
  <c r="F41" i="22"/>
  <c r="G41" i="22"/>
  <c r="C42" i="22"/>
  <c r="D42" i="22"/>
  <c r="E42" i="22"/>
  <c r="F42" i="22"/>
  <c r="G42" i="22"/>
  <c r="C43" i="22"/>
  <c r="D43" i="22"/>
  <c r="E43" i="22"/>
  <c r="F43" i="22"/>
  <c r="G43" i="22"/>
  <c r="C44" i="22"/>
  <c r="D44" i="22"/>
  <c r="E44" i="22"/>
  <c r="F44" i="22"/>
  <c r="G44" i="22"/>
  <c r="C45" i="22"/>
  <c r="D45" i="22"/>
  <c r="E45" i="22"/>
  <c r="F45" i="22"/>
  <c r="G45" i="22"/>
  <c r="C46" i="22"/>
  <c r="D46" i="22"/>
  <c r="E46" i="22"/>
  <c r="F46" i="22"/>
  <c r="G46" i="22"/>
  <c r="C47" i="22"/>
  <c r="D47" i="22"/>
  <c r="E47" i="22"/>
  <c r="F47" i="22"/>
  <c r="G47" i="22"/>
  <c r="C48" i="22"/>
  <c r="D48" i="22"/>
  <c r="E48" i="22"/>
  <c r="F48" i="22"/>
  <c r="G48" i="22"/>
  <c r="C49" i="22"/>
  <c r="D49" i="22"/>
  <c r="E49" i="22"/>
  <c r="F49" i="22"/>
  <c r="G49" i="22"/>
  <c r="C50" i="22"/>
  <c r="D50" i="22"/>
  <c r="E50" i="22"/>
  <c r="F50" i="22"/>
  <c r="G50" i="22"/>
  <c r="C51" i="22"/>
  <c r="D51" i="22"/>
  <c r="E51" i="22"/>
  <c r="F51" i="22"/>
  <c r="G51" i="22"/>
  <c r="C52" i="22"/>
  <c r="D52" i="22"/>
  <c r="E52" i="22"/>
  <c r="F52" i="22"/>
  <c r="G52" i="22"/>
  <c r="C53" i="22"/>
  <c r="D53" i="22"/>
  <c r="E53" i="22"/>
  <c r="F53" i="22"/>
  <c r="G53" i="22"/>
  <c r="C54" i="22"/>
  <c r="D54" i="22"/>
  <c r="E54" i="22"/>
  <c r="F54" i="22"/>
  <c r="G54" i="22"/>
  <c r="C55" i="22"/>
  <c r="D55" i="22"/>
  <c r="E55" i="22"/>
  <c r="F55" i="22"/>
  <c r="G55" i="22"/>
  <c r="C56" i="22"/>
  <c r="D56" i="22"/>
  <c r="E56" i="22"/>
  <c r="F56" i="22"/>
  <c r="G56" i="22"/>
  <c r="C57" i="22"/>
  <c r="D57" i="22"/>
  <c r="E57" i="22"/>
  <c r="F57" i="22"/>
  <c r="G57" i="22"/>
  <c r="C58" i="22"/>
  <c r="D58" i="22"/>
  <c r="E58" i="22"/>
  <c r="F58" i="22"/>
  <c r="G58" i="22"/>
  <c r="C59" i="22"/>
  <c r="D59" i="22"/>
  <c r="E59" i="22"/>
  <c r="F59" i="22"/>
  <c r="G59" i="22"/>
  <c r="C60" i="22"/>
  <c r="D60" i="22"/>
  <c r="E60" i="22"/>
  <c r="F60" i="22"/>
  <c r="G60" i="22"/>
  <c r="C61" i="22"/>
  <c r="D61" i="22"/>
  <c r="E61" i="22"/>
  <c r="F61" i="22"/>
  <c r="G61" i="22"/>
  <c r="C62" i="22"/>
  <c r="D62" i="22"/>
  <c r="E62" i="22"/>
  <c r="F62" i="22"/>
  <c r="G62" i="22"/>
  <c r="C63" i="22"/>
  <c r="D63" i="22"/>
  <c r="E63" i="22"/>
  <c r="F63" i="22"/>
  <c r="G63" i="22"/>
  <c r="C64" i="22"/>
  <c r="D64" i="22"/>
  <c r="E64" i="22"/>
  <c r="F64" i="22"/>
  <c r="G64" i="22"/>
  <c r="C65" i="22"/>
  <c r="D65" i="22"/>
  <c r="E65" i="22"/>
  <c r="F65" i="22"/>
  <c r="G65" i="22"/>
  <c r="C66" i="22"/>
  <c r="D66" i="22"/>
  <c r="E66" i="22"/>
  <c r="F66" i="22"/>
  <c r="G66" i="22"/>
  <c r="C67" i="22"/>
  <c r="D67" i="22"/>
  <c r="E67" i="22"/>
  <c r="F67" i="22"/>
  <c r="G67" i="22"/>
  <c r="C68" i="22"/>
  <c r="D68" i="22"/>
  <c r="E68" i="22"/>
  <c r="F68" i="22"/>
  <c r="G68" i="22"/>
  <c r="C69" i="22"/>
  <c r="D69" i="22"/>
  <c r="E69" i="22"/>
  <c r="F69" i="22"/>
  <c r="G69" i="22"/>
  <c r="C70" i="22"/>
  <c r="D70" i="22"/>
  <c r="E70" i="22"/>
  <c r="F70" i="22"/>
  <c r="G70" i="22"/>
  <c r="C71" i="22"/>
  <c r="D71" i="22"/>
  <c r="E71" i="22"/>
  <c r="F71" i="22"/>
  <c r="G71" i="22"/>
  <c r="C72" i="22"/>
  <c r="D72" i="22"/>
  <c r="E72" i="22"/>
  <c r="F72" i="22"/>
  <c r="G72" i="22"/>
  <c r="C73" i="22"/>
  <c r="D73" i="22"/>
  <c r="E73" i="22"/>
  <c r="F73" i="22"/>
  <c r="G73" i="22"/>
  <c r="C74" i="22"/>
  <c r="D74" i="22"/>
  <c r="E74" i="22"/>
  <c r="F74" i="22"/>
  <c r="G74" i="22"/>
  <c r="C75" i="22"/>
  <c r="D75" i="22"/>
  <c r="E75" i="22"/>
  <c r="F75" i="22"/>
  <c r="G75" i="22"/>
  <c r="C76" i="22"/>
  <c r="D76" i="22"/>
  <c r="E76" i="22"/>
  <c r="F76" i="22"/>
  <c r="G76" i="22"/>
  <c r="C77" i="22"/>
  <c r="D77" i="22"/>
  <c r="E77" i="22"/>
  <c r="F77" i="22"/>
  <c r="G77" i="22"/>
  <c r="G3" i="22"/>
  <c r="F3" i="22"/>
  <c r="E3" i="22"/>
  <c r="D3" i="22"/>
  <c r="C3" i="22"/>
  <c r="H2" i="22"/>
  <c r="G2" i="22"/>
  <c r="F2" i="22"/>
  <c r="E2" i="22"/>
  <c r="D2" i="22"/>
  <c r="C2" i="22"/>
  <c r="B2" i="22"/>
  <c r="A2" i="22"/>
  <c r="C3" i="21"/>
  <c r="D3" i="21"/>
  <c r="E3" i="21"/>
  <c r="F3" i="21"/>
  <c r="G3" i="21"/>
  <c r="C4" i="21"/>
  <c r="D4" i="21"/>
  <c r="E4" i="21"/>
  <c r="F4" i="21"/>
  <c r="G4" i="21"/>
  <c r="C5" i="21"/>
  <c r="D5" i="21"/>
  <c r="E5" i="21"/>
  <c r="F5" i="21"/>
  <c r="G5" i="21"/>
  <c r="C6" i="21"/>
  <c r="D6" i="21"/>
  <c r="E6" i="21"/>
  <c r="F6" i="21"/>
  <c r="G6" i="21"/>
  <c r="C7" i="21"/>
  <c r="D7" i="21"/>
  <c r="E7" i="21"/>
  <c r="F7" i="21"/>
  <c r="G7" i="21"/>
  <c r="C8" i="21"/>
  <c r="D8" i="21"/>
  <c r="E8" i="21"/>
  <c r="F8" i="21"/>
  <c r="G8" i="21"/>
  <c r="C9" i="21"/>
  <c r="D9" i="21"/>
  <c r="E9" i="21"/>
  <c r="F9" i="21"/>
  <c r="G9" i="21"/>
  <c r="C10" i="21"/>
  <c r="D10" i="21"/>
  <c r="E10" i="21"/>
  <c r="F10" i="21"/>
  <c r="G10" i="21"/>
  <c r="C11" i="21"/>
  <c r="D11" i="21"/>
  <c r="E11" i="21"/>
  <c r="F11" i="21"/>
  <c r="G11" i="21"/>
  <c r="C12" i="21"/>
  <c r="D12" i="21"/>
  <c r="E12" i="21"/>
  <c r="F12" i="21"/>
  <c r="G12" i="21"/>
  <c r="C13" i="21"/>
  <c r="D13" i="21"/>
  <c r="E13" i="21"/>
  <c r="F13" i="21"/>
  <c r="G13" i="21"/>
  <c r="C14" i="21"/>
  <c r="D14" i="21"/>
  <c r="E14" i="21"/>
  <c r="F14" i="21"/>
  <c r="G14" i="21"/>
  <c r="C15" i="21"/>
  <c r="D15" i="21"/>
  <c r="E15" i="21"/>
  <c r="F15" i="21"/>
  <c r="G15" i="21"/>
  <c r="C16" i="21"/>
  <c r="D16" i="21"/>
  <c r="E16" i="21"/>
  <c r="F16" i="21"/>
  <c r="G16" i="21"/>
  <c r="C17" i="21"/>
  <c r="D17" i="21"/>
  <c r="E17" i="21"/>
  <c r="F17" i="21"/>
  <c r="G17" i="21"/>
  <c r="C18" i="21"/>
  <c r="D18" i="21"/>
  <c r="E18" i="21"/>
  <c r="F18" i="21"/>
  <c r="G18" i="21"/>
  <c r="C19" i="21"/>
  <c r="D19" i="21"/>
  <c r="E19" i="21"/>
  <c r="F19" i="21"/>
  <c r="G19" i="21"/>
  <c r="C20" i="21"/>
  <c r="D20" i="21"/>
  <c r="E20" i="21"/>
  <c r="F20" i="21"/>
  <c r="G20" i="21"/>
  <c r="C21" i="21"/>
  <c r="D21" i="21"/>
  <c r="E21" i="21"/>
  <c r="F21" i="21"/>
  <c r="G21" i="21"/>
  <c r="C22" i="21"/>
  <c r="D22" i="21"/>
  <c r="E22" i="21"/>
  <c r="F22" i="21"/>
  <c r="G22" i="21"/>
  <c r="C23" i="21"/>
  <c r="D23" i="21"/>
  <c r="E23" i="21"/>
  <c r="F23" i="21"/>
  <c r="G23" i="21"/>
  <c r="C24" i="21"/>
  <c r="D24" i="21"/>
  <c r="E24" i="21"/>
  <c r="F24" i="21"/>
  <c r="G24" i="21"/>
  <c r="C25" i="21"/>
  <c r="D25" i="21"/>
  <c r="E25" i="21"/>
  <c r="F25" i="21"/>
  <c r="G25" i="21"/>
  <c r="C26" i="21"/>
  <c r="D26" i="21"/>
  <c r="E26" i="21"/>
  <c r="F26" i="21"/>
  <c r="G26" i="21"/>
  <c r="C27" i="21"/>
  <c r="D27" i="21"/>
  <c r="E27" i="21"/>
  <c r="F27" i="21"/>
  <c r="G27" i="21"/>
  <c r="C28" i="21"/>
  <c r="D28" i="21"/>
  <c r="E28" i="21"/>
  <c r="F28" i="21"/>
  <c r="G28" i="21"/>
  <c r="C29" i="21"/>
  <c r="D29" i="21"/>
  <c r="E29" i="21"/>
  <c r="F29" i="21"/>
  <c r="G29" i="21"/>
  <c r="C30" i="21"/>
  <c r="D30" i="21"/>
  <c r="E30" i="21"/>
  <c r="F30" i="21"/>
  <c r="G30" i="21"/>
  <c r="C31" i="21"/>
  <c r="D31" i="21"/>
  <c r="E31" i="21"/>
  <c r="F31" i="21"/>
  <c r="G31" i="21"/>
  <c r="C32" i="21"/>
  <c r="D32" i="21"/>
  <c r="E32" i="21"/>
  <c r="F32" i="21"/>
  <c r="G32" i="21"/>
  <c r="C33" i="21"/>
  <c r="D33" i="21"/>
  <c r="E33" i="21"/>
  <c r="F33" i="21"/>
  <c r="G33" i="21"/>
  <c r="C34" i="21"/>
  <c r="D34" i="21"/>
  <c r="E34" i="21"/>
  <c r="F34" i="21"/>
  <c r="G34" i="21"/>
  <c r="C35" i="21"/>
  <c r="D35" i="21"/>
  <c r="E35" i="21"/>
  <c r="F35" i="21"/>
  <c r="G35" i="21"/>
  <c r="C36" i="21"/>
  <c r="D36" i="21"/>
  <c r="E36" i="21"/>
  <c r="F36" i="21"/>
  <c r="G36" i="21"/>
  <c r="C37" i="21"/>
  <c r="D37" i="21"/>
  <c r="E37" i="21"/>
  <c r="F37" i="21"/>
  <c r="G37" i="21"/>
  <c r="C38" i="21"/>
  <c r="D38" i="21"/>
  <c r="E38" i="21"/>
  <c r="F38" i="21"/>
  <c r="G38" i="21"/>
  <c r="C39" i="21"/>
  <c r="D39" i="21"/>
  <c r="E39" i="21"/>
  <c r="F39" i="21"/>
  <c r="G39" i="21"/>
  <c r="C40" i="21"/>
  <c r="D40" i="21"/>
  <c r="E40" i="21"/>
  <c r="F40" i="21"/>
  <c r="G40" i="21"/>
  <c r="C41" i="21"/>
  <c r="D41" i="21"/>
  <c r="E41" i="21"/>
  <c r="F41" i="21"/>
  <c r="G41" i="21"/>
  <c r="C42" i="21"/>
  <c r="D42" i="21"/>
  <c r="E42" i="21"/>
  <c r="F42" i="21"/>
  <c r="G42" i="21"/>
  <c r="C43" i="21"/>
  <c r="D43" i="21"/>
  <c r="E43" i="21"/>
  <c r="F43" i="21"/>
  <c r="G43" i="21"/>
  <c r="C44" i="21"/>
  <c r="D44" i="21"/>
  <c r="E44" i="21"/>
  <c r="F44" i="21"/>
  <c r="G44" i="21"/>
  <c r="C45" i="21"/>
  <c r="D45" i="21"/>
  <c r="E45" i="21"/>
  <c r="F45" i="21"/>
  <c r="G45" i="21"/>
  <c r="C46" i="21"/>
  <c r="D46" i="21"/>
  <c r="E46" i="21"/>
  <c r="F46" i="21"/>
  <c r="G46" i="21"/>
  <c r="C47" i="21"/>
  <c r="D47" i="21"/>
  <c r="E47" i="21"/>
  <c r="F47" i="21"/>
  <c r="G47" i="21"/>
  <c r="C48" i="21"/>
  <c r="D48" i="21"/>
  <c r="E48" i="21"/>
  <c r="F48" i="21"/>
  <c r="G48" i="21"/>
  <c r="C49" i="21"/>
  <c r="D49" i="21"/>
  <c r="E49" i="21"/>
  <c r="F49" i="21"/>
  <c r="G49" i="21"/>
  <c r="C50" i="21"/>
  <c r="D50" i="21"/>
  <c r="E50" i="21"/>
  <c r="F50" i="21"/>
  <c r="G50" i="21"/>
  <c r="C51" i="21"/>
  <c r="D51" i="21"/>
  <c r="E51" i="21"/>
  <c r="F51" i="21"/>
  <c r="G51" i="21"/>
  <c r="C52" i="21"/>
  <c r="D52" i="21"/>
  <c r="E52" i="21"/>
  <c r="F52" i="21"/>
  <c r="G52" i="21"/>
  <c r="C53" i="21"/>
  <c r="D53" i="21"/>
  <c r="E53" i="21"/>
  <c r="F53" i="21"/>
  <c r="G53" i="21"/>
  <c r="C54" i="21"/>
  <c r="D54" i="21"/>
  <c r="E54" i="21"/>
  <c r="F54" i="21"/>
  <c r="G54" i="21"/>
  <c r="C55" i="21"/>
  <c r="D55" i="21"/>
  <c r="E55" i="21"/>
  <c r="F55" i="21"/>
  <c r="G55" i="21"/>
  <c r="C56" i="21"/>
  <c r="D56" i="21"/>
  <c r="E56" i="21"/>
  <c r="F56" i="21"/>
  <c r="G56" i="21"/>
  <c r="C57" i="21"/>
  <c r="D57" i="21"/>
  <c r="E57" i="21"/>
  <c r="F57" i="21"/>
  <c r="G57" i="21"/>
  <c r="C58" i="21"/>
  <c r="D58" i="21"/>
  <c r="E58" i="21"/>
  <c r="F58" i="21"/>
  <c r="G58" i="21"/>
  <c r="C59" i="21"/>
  <c r="D59" i="21"/>
  <c r="E59" i="21"/>
  <c r="F59" i="21"/>
  <c r="G59" i="21"/>
  <c r="C60" i="21"/>
  <c r="D60" i="21"/>
  <c r="E60" i="21"/>
  <c r="F60" i="21"/>
  <c r="G60" i="21"/>
  <c r="C61" i="21"/>
  <c r="D61" i="21"/>
  <c r="E61" i="21"/>
  <c r="F61" i="21"/>
  <c r="G61" i="21"/>
  <c r="C62" i="21"/>
  <c r="D62" i="21"/>
  <c r="E62" i="21"/>
  <c r="F62" i="21"/>
  <c r="G62" i="21"/>
  <c r="C63" i="21"/>
  <c r="D63" i="21"/>
  <c r="E63" i="21"/>
  <c r="F63" i="21"/>
  <c r="G63" i="21"/>
  <c r="C64" i="21"/>
  <c r="D64" i="21"/>
  <c r="E64" i="21"/>
  <c r="F64" i="21"/>
  <c r="G64" i="21"/>
  <c r="C65" i="21"/>
  <c r="D65" i="21"/>
  <c r="E65" i="21"/>
  <c r="F65" i="21"/>
  <c r="G65" i="21"/>
  <c r="C66" i="21"/>
  <c r="D66" i="21"/>
  <c r="E66" i="21"/>
  <c r="F66" i="21"/>
  <c r="G66" i="21"/>
  <c r="C67" i="21"/>
  <c r="D67" i="21"/>
  <c r="E67" i="21"/>
  <c r="F67" i="21"/>
  <c r="G67" i="21"/>
  <c r="C68" i="21"/>
  <c r="D68" i="21"/>
  <c r="E68" i="21"/>
  <c r="F68" i="21"/>
  <c r="G68" i="21"/>
  <c r="C69" i="21"/>
  <c r="D69" i="21"/>
  <c r="E69" i="21"/>
  <c r="F69" i="21"/>
  <c r="G69" i="21"/>
  <c r="C70" i="21"/>
  <c r="D70" i="21"/>
  <c r="E70" i="21"/>
  <c r="F70" i="21"/>
  <c r="G70" i="21"/>
  <c r="C71" i="21"/>
  <c r="D71" i="21"/>
  <c r="E71" i="21"/>
  <c r="F71" i="21"/>
  <c r="G71" i="21"/>
  <c r="C72" i="21"/>
  <c r="D72" i="21"/>
  <c r="E72" i="21"/>
  <c r="F72" i="21"/>
  <c r="G72" i="21"/>
  <c r="C73" i="21"/>
  <c r="D73" i="21"/>
  <c r="E73" i="21"/>
  <c r="F73" i="21"/>
  <c r="G73" i="21"/>
  <c r="C74" i="21"/>
  <c r="D74" i="21"/>
  <c r="E74" i="21"/>
  <c r="F74" i="21"/>
  <c r="G74" i="21"/>
  <c r="C75" i="21"/>
  <c r="D75" i="21"/>
  <c r="E75" i="21"/>
  <c r="F75" i="21"/>
  <c r="G75" i="21"/>
  <c r="C76" i="21"/>
  <c r="D76" i="21"/>
  <c r="E76" i="21"/>
  <c r="F76" i="21"/>
  <c r="G76" i="21"/>
  <c r="G2" i="21"/>
  <c r="F2" i="21"/>
  <c r="E2" i="21"/>
  <c r="D2" i="21"/>
  <c r="C2" i="21"/>
  <c r="H1" i="21"/>
  <c r="G1" i="21"/>
  <c r="F1" i="21"/>
  <c r="E1" i="21"/>
  <c r="D1" i="21"/>
  <c r="C1" i="21"/>
  <c r="B1" i="21"/>
  <c r="A1" i="21"/>
  <c r="C3" i="20"/>
  <c r="D3" i="20"/>
  <c r="E3" i="20"/>
  <c r="F3" i="20"/>
  <c r="G3" i="20"/>
  <c r="C4" i="20"/>
  <c r="D4" i="20"/>
  <c r="E4" i="20"/>
  <c r="F4" i="20"/>
  <c r="G4" i="20"/>
  <c r="C5" i="20"/>
  <c r="D5" i="20"/>
  <c r="E5" i="20"/>
  <c r="F5" i="20"/>
  <c r="G5" i="20"/>
  <c r="C6" i="20"/>
  <c r="D6" i="20"/>
  <c r="E6" i="20"/>
  <c r="F6" i="20"/>
  <c r="G6" i="20"/>
  <c r="C7" i="20"/>
  <c r="D7" i="20"/>
  <c r="E7" i="20"/>
  <c r="F7" i="20"/>
  <c r="G7" i="20"/>
  <c r="C8" i="20"/>
  <c r="D8" i="20"/>
  <c r="E8" i="20"/>
  <c r="F8" i="20"/>
  <c r="G8" i="20"/>
  <c r="C9" i="20"/>
  <c r="D9" i="20"/>
  <c r="E9" i="20"/>
  <c r="F9" i="20"/>
  <c r="G9" i="20"/>
  <c r="C10" i="20"/>
  <c r="D10" i="20"/>
  <c r="E10" i="20"/>
  <c r="F10" i="20"/>
  <c r="G10" i="20"/>
  <c r="C11" i="20"/>
  <c r="D11" i="20"/>
  <c r="E11" i="20"/>
  <c r="F11" i="20"/>
  <c r="G11" i="20"/>
  <c r="C12" i="20"/>
  <c r="D12" i="20"/>
  <c r="E12" i="20"/>
  <c r="F12" i="20"/>
  <c r="G12" i="20"/>
  <c r="C13" i="20"/>
  <c r="D13" i="20"/>
  <c r="E13" i="20"/>
  <c r="F13" i="20"/>
  <c r="G13" i="20"/>
  <c r="C14" i="20"/>
  <c r="D14" i="20"/>
  <c r="E14" i="20"/>
  <c r="F14" i="20"/>
  <c r="G14" i="20"/>
  <c r="C15" i="20"/>
  <c r="D15" i="20"/>
  <c r="E15" i="20"/>
  <c r="F15" i="20"/>
  <c r="G15" i="20"/>
  <c r="C16" i="20"/>
  <c r="D16" i="20"/>
  <c r="E16" i="20"/>
  <c r="F16" i="20"/>
  <c r="G16" i="20"/>
  <c r="C17" i="20"/>
  <c r="D17" i="20"/>
  <c r="E17" i="20"/>
  <c r="F17" i="20"/>
  <c r="G17" i="20"/>
  <c r="C18" i="20"/>
  <c r="D18" i="20"/>
  <c r="E18" i="20"/>
  <c r="F18" i="20"/>
  <c r="G18" i="20"/>
  <c r="C19" i="20"/>
  <c r="D19" i="20"/>
  <c r="E19" i="20"/>
  <c r="F19" i="20"/>
  <c r="G19" i="20"/>
  <c r="C20" i="20"/>
  <c r="D20" i="20"/>
  <c r="E20" i="20"/>
  <c r="F20" i="20"/>
  <c r="G20" i="20"/>
  <c r="C21" i="20"/>
  <c r="D21" i="20"/>
  <c r="E21" i="20"/>
  <c r="F21" i="20"/>
  <c r="G21" i="20"/>
  <c r="C22" i="20"/>
  <c r="D22" i="20"/>
  <c r="E22" i="20"/>
  <c r="F22" i="20"/>
  <c r="G22" i="20"/>
  <c r="C23" i="20"/>
  <c r="D23" i="20"/>
  <c r="E23" i="20"/>
  <c r="F23" i="20"/>
  <c r="G23" i="20"/>
  <c r="C24" i="20"/>
  <c r="D24" i="20"/>
  <c r="E24" i="20"/>
  <c r="F24" i="20"/>
  <c r="G24" i="20"/>
  <c r="C25" i="20"/>
  <c r="D25" i="20"/>
  <c r="E25" i="20"/>
  <c r="F25" i="20"/>
  <c r="G25" i="20"/>
  <c r="C26" i="20"/>
  <c r="D26" i="20"/>
  <c r="E26" i="20"/>
  <c r="F26" i="20"/>
  <c r="G26" i="20"/>
  <c r="C27" i="20"/>
  <c r="D27" i="20"/>
  <c r="E27" i="20"/>
  <c r="F27" i="20"/>
  <c r="G27" i="20"/>
  <c r="C28" i="20"/>
  <c r="D28" i="20"/>
  <c r="E28" i="20"/>
  <c r="F28" i="20"/>
  <c r="G28" i="20"/>
  <c r="C29" i="20"/>
  <c r="D29" i="20"/>
  <c r="E29" i="20"/>
  <c r="F29" i="20"/>
  <c r="G29" i="20"/>
  <c r="C30" i="20"/>
  <c r="D30" i="20"/>
  <c r="E30" i="20"/>
  <c r="F30" i="20"/>
  <c r="G30" i="20"/>
  <c r="C31" i="20"/>
  <c r="D31" i="20"/>
  <c r="E31" i="20"/>
  <c r="F31" i="20"/>
  <c r="G31" i="20"/>
  <c r="C32" i="20"/>
  <c r="D32" i="20"/>
  <c r="E32" i="20"/>
  <c r="F32" i="20"/>
  <c r="G32" i="20"/>
  <c r="C33" i="20"/>
  <c r="D33" i="20"/>
  <c r="E33" i="20"/>
  <c r="F33" i="20"/>
  <c r="G33" i="20"/>
  <c r="C34" i="20"/>
  <c r="D34" i="20"/>
  <c r="E34" i="20"/>
  <c r="F34" i="20"/>
  <c r="G34" i="20"/>
  <c r="C35" i="20"/>
  <c r="D35" i="20"/>
  <c r="E35" i="20"/>
  <c r="F35" i="20"/>
  <c r="G35" i="20"/>
  <c r="C36" i="20"/>
  <c r="D36" i="20"/>
  <c r="E36" i="20"/>
  <c r="F36" i="20"/>
  <c r="G36" i="20"/>
  <c r="C37" i="20"/>
  <c r="D37" i="20"/>
  <c r="E37" i="20"/>
  <c r="F37" i="20"/>
  <c r="G37" i="20"/>
  <c r="C38" i="20"/>
  <c r="D38" i="20"/>
  <c r="E38" i="20"/>
  <c r="F38" i="20"/>
  <c r="G38" i="20"/>
  <c r="C39" i="20"/>
  <c r="D39" i="20"/>
  <c r="E39" i="20"/>
  <c r="F39" i="20"/>
  <c r="G39" i="20"/>
  <c r="C40" i="20"/>
  <c r="D40" i="20"/>
  <c r="E40" i="20"/>
  <c r="F40" i="20"/>
  <c r="G40" i="20"/>
  <c r="C41" i="20"/>
  <c r="D41" i="20"/>
  <c r="E41" i="20"/>
  <c r="F41" i="20"/>
  <c r="G41" i="20"/>
  <c r="C42" i="20"/>
  <c r="D42" i="20"/>
  <c r="E42" i="20"/>
  <c r="F42" i="20"/>
  <c r="G42" i="20"/>
  <c r="C43" i="20"/>
  <c r="D43" i="20"/>
  <c r="E43" i="20"/>
  <c r="F43" i="20"/>
  <c r="G43" i="20"/>
  <c r="C44" i="20"/>
  <c r="D44" i="20"/>
  <c r="E44" i="20"/>
  <c r="F44" i="20"/>
  <c r="G44" i="20"/>
  <c r="C45" i="20"/>
  <c r="D45" i="20"/>
  <c r="E45" i="20"/>
  <c r="F45" i="20"/>
  <c r="G45" i="20"/>
  <c r="C46" i="20"/>
  <c r="D46" i="20"/>
  <c r="E46" i="20"/>
  <c r="F46" i="20"/>
  <c r="G46" i="20"/>
  <c r="C47" i="20"/>
  <c r="D47" i="20"/>
  <c r="E47" i="20"/>
  <c r="F47" i="20"/>
  <c r="G47" i="20"/>
  <c r="C48" i="20"/>
  <c r="D48" i="20"/>
  <c r="E48" i="20"/>
  <c r="F48" i="20"/>
  <c r="G48" i="20"/>
  <c r="C49" i="20"/>
  <c r="D49" i="20"/>
  <c r="E49" i="20"/>
  <c r="F49" i="20"/>
  <c r="G49" i="20"/>
  <c r="C50" i="20"/>
  <c r="D50" i="20"/>
  <c r="E50" i="20"/>
  <c r="F50" i="20"/>
  <c r="G50" i="20"/>
  <c r="C51" i="20"/>
  <c r="D51" i="20"/>
  <c r="E51" i="20"/>
  <c r="F51" i="20"/>
  <c r="G51" i="20"/>
  <c r="C52" i="20"/>
  <c r="D52" i="20"/>
  <c r="E52" i="20"/>
  <c r="F52" i="20"/>
  <c r="G52" i="20"/>
  <c r="C53" i="20"/>
  <c r="D53" i="20"/>
  <c r="E53" i="20"/>
  <c r="F53" i="20"/>
  <c r="G53" i="20"/>
  <c r="C54" i="20"/>
  <c r="D54" i="20"/>
  <c r="E54" i="20"/>
  <c r="F54" i="20"/>
  <c r="G54" i="20"/>
  <c r="C55" i="20"/>
  <c r="D55" i="20"/>
  <c r="E55" i="20"/>
  <c r="F55" i="20"/>
  <c r="G55" i="20"/>
  <c r="C56" i="20"/>
  <c r="D56" i="20"/>
  <c r="E56" i="20"/>
  <c r="F56" i="20"/>
  <c r="G56" i="20"/>
  <c r="C57" i="20"/>
  <c r="D57" i="20"/>
  <c r="E57" i="20"/>
  <c r="F57" i="20"/>
  <c r="G57" i="20"/>
  <c r="C58" i="20"/>
  <c r="D58" i="20"/>
  <c r="E58" i="20"/>
  <c r="F58" i="20"/>
  <c r="G58" i="20"/>
  <c r="C59" i="20"/>
  <c r="D59" i="20"/>
  <c r="E59" i="20"/>
  <c r="F59" i="20"/>
  <c r="G59" i="20"/>
  <c r="C60" i="20"/>
  <c r="D60" i="20"/>
  <c r="E60" i="20"/>
  <c r="F60" i="20"/>
  <c r="G60" i="20"/>
  <c r="C61" i="20"/>
  <c r="D61" i="20"/>
  <c r="E61" i="20"/>
  <c r="F61" i="20"/>
  <c r="G61" i="20"/>
  <c r="C62" i="20"/>
  <c r="D62" i="20"/>
  <c r="E62" i="20"/>
  <c r="F62" i="20"/>
  <c r="G62" i="20"/>
  <c r="C63" i="20"/>
  <c r="D63" i="20"/>
  <c r="E63" i="20"/>
  <c r="F63" i="20"/>
  <c r="G63" i="20"/>
  <c r="C64" i="20"/>
  <c r="D64" i="20"/>
  <c r="E64" i="20"/>
  <c r="F64" i="20"/>
  <c r="G64" i="20"/>
  <c r="C65" i="20"/>
  <c r="D65" i="20"/>
  <c r="E65" i="20"/>
  <c r="F65" i="20"/>
  <c r="G65" i="20"/>
  <c r="C66" i="20"/>
  <c r="D66" i="20"/>
  <c r="E66" i="20"/>
  <c r="F66" i="20"/>
  <c r="G66" i="20"/>
  <c r="C67" i="20"/>
  <c r="D67" i="20"/>
  <c r="E67" i="20"/>
  <c r="F67" i="20"/>
  <c r="G67" i="20"/>
  <c r="C68" i="20"/>
  <c r="D68" i="20"/>
  <c r="E68" i="20"/>
  <c r="F68" i="20"/>
  <c r="G68" i="20"/>
  <c r="C69" i="20"/>
  <c r="D69" i="20"/>
  <c r="E69" i="20"/>
  <c r="F69" i="20"/>
  <c r="G69" i="20"/>
  <c r="C70" i="20"/>
  <c r="D70" i="20"/>
  <c r="E70" i="20"/>
  <c r="F70" i="20"/>
  <c r="G70" i="20"/>
  <c r="C71" i="20"/>
  <c r="D71" i="20"/>
  <c r="E71" i="20"/>
  <c r="F71" i="20"/>
  <c r="G71" i="20"/>
  <c r="C72" i="20"/>
  <c r="D72" i="20"/>
  <c r="E72" i="20"/>
  <c r="F72" i="20"/>
  <c r="G72" i="20"/>
  <c r="C73" i="20"/>
  <c r="D73" i="20"/>
  <c r="E73" i="20"/>
  <c r="F73" i="20"/>
  <c r="G73" i="20"/>
  <c r="C74" i="20"/>
  <c r="D74" i="20"/>
  <c r="E74" i="20"/>
  <c r="F74" i="20"/>
  <c r="G74" i="20"/>
  <c r="C75" i="20"/>
  <c r="D75" i="20"/>
  <c r="E75" i="20"/>
  <c r="F75" i="20"/>
  <c r="G75" i="20"/>
  <c r="C76" i="20"/>
  <c r="D76" i="20"/>
  <c r="E76" i="20"/>
  <c r="F76" i="20"/>
  <c r="G76" i="20"/>
  <c r="G2" i="20"/>
  <c r="F2" i="20"/>
  <c r="E2" i="20"/>
  <c r="D2" i="20"/>
  <c r="C2" i="20"/>
  <c r="H1" i="20"/>
  <c r="G1" i="20"/>
  <c r="F1" i="20"/>
  <c r="E1" i="20"/>
  <c r="D1" i="20"/>
  <c r="C1" i="20"/>
  <c r="B1" i="20"/>
  <c r="A1" i="20"/>
  <c r="C4" i="19"/>
  <c r="D4" i="19"/>
  <c r="E4" i="19"/>
  <c r="F4" i="19"/>
  <c r="G4" i="19"/>
  <c r="C5" i="19"/>
  <c r="D5" i="19"/>
  <c r="E5" i="19"/>
  <c r="F5" i="19"/>
  <c r="G5" i="19"/>
  <c r="C6" i="19"/>
  <c r="D6" i="19"/>
  <c r="E6" i="19"/>
  <c r="F6" i="19"/>
  <c r="G6" i="19"/>
  <c r="C7" i="19"/>
  <c r="D7" i="19"/>
  <c r="E7" i="19"/>
  <c r="F7" i="19"/>
  <c r="G7" i="19"/>
  <c r="C8" i="19"/>
  <c r="D8" i="19"/>
  <c r="E8" i="19"/>
  <c r="F8" i="19"/>
  <c r="G8" i="19"/>
  <c r="C9" i="19"/>
  <c r="D9" i="19"/>
  <c r="E9" i="19"/>
  <c r="F9" i="19"/>
  <c r="G9" i="19"/>
  <c r="C10" i="19"/>
  <c r="D10" i="19"/>
  <c r="E10" i="19"/>
  <c r="F10" i="19"/>
  <c r="G10" i="19"/>
  <c r="C11" i="19"/>
  <c r="D11" i="19"/>
  <c r="E11" i="19"/>
  <c r="F11" i="19"/>
  <c r="G11" i="19"/>
  <c r="C12" i="19"/>
  <c r="D12" i="19"/>
  <c r="E12" i="19"/>
  <c r="F12" i="19"/>
  <c r="G12" i="19"/>
  <c r="C13" i="19"/>
  <c r="D13" i="19"/>
  <c r="E13" i="19"/>
  <c r="F13" i="19"/>
  <c r="G13" i="19"/>
  <c r="C14" i="19"/>
  <c r="D14" i="19"/>
  <c r="E14" i="19"/>
  <c r="F14" i="19"/>
  <c r="G14" i="19"/>
  <c r="C15" i="19"/>
  <c r="D15" i="19"/>
  <c r="E15" i="19"/>
  <c r="F15" i="19"/>
  <c r="G15" i="19"/>
  <c r="C16" i="19"/>
  <c r="D16" i="19"/>
  <c r="E16" i="19"/>
  <c r="F16" i="19"/>
  <c r="G16" i="19"/>
  <c r="C17" i="19"/>
  <c r="D17" i="19"/>
  <c r="E17" i="19"/>
  <c r="F17" i="19"/>
  <c r="G17" i="19"/>
  <c r="C18" i="19"/>
  <c r="D18" i="19"/>
  <c r="E18" i="19"/>
  <c r="F18" i="19"/>
  <c r="G18" i="19"/>
  <c r="C19" i="19"/>
  <c r="D19" i="19"/>
  <c r="E19" i="19"/>
  <c r="F19" i="19"/>
  <c r="G19" i="19"/>
  <c r="C20" i="19"/>
  <c r="D20" i="19"/>
  <c r="E20" i="19"/>
  <c r="F20" i="19"/>
  <c r="G20" i="19"/>
  <c r="C21" i="19"/>
  <c r="D21" i="19"/>
  <c r="E21" i="19"/>
  <c r="F21" i="19"/>
  <c r="G21" i="19"/>
  <c r="C22" i="19"/>
  <c r="D22" i="19"/>
  <c r="E22" i="19"/>
  <c r="F22" i="19"/>
  <c r="G22" i="19"/>
  <c r="C23" i="19"/>
  <c r="D23" i="19"/>
  <c r="E23" i="19"/>
  <c r="F23" i="19"/>
  <c r="G23" i="19"/>
  <c r="C24" i="19"/>
  <c r="D24" i="19"/>
  <c r="E24" i="19"/>
  <c r="F24" i="19"/>
  <c r="G24" i="19"/>
  <c r="C25" i="19"/>
  <c r="D25" i="19"/>
  <c r="E25" i="19"/>
  <c r="F25" i="19"/>
  <c r="G25" i="19"/>
  <c r="C26" i="19"/>
  <c r="D26" i="19"/>
  <c r="E26" i="19"/>
  <c r="F26" i="19"/>
  <c r="G26" i="19"/>
  <c r="C27" i="19"/>
  <c r="D27" i="19"/>
  <c r="E27" i="19"/>
  <c r="F27" i="19"/>
  <c r="G27" i="19"/>
  <c r="C28" i="19"/>
  <c r="D28" i="19"/>
  <c r="E28" i="19"/>
  <c r="F28" i="19"/>
  <c r="G28" i="19"/>
  <c r="C29" i="19"/>
  <c r="D29" i="19"/>
  <c r="E29" i="19"/>
  <c r="F29" i="19"/>
  <c r="G29" i="19"/>
  <c r="C30" i="19"/>
  <c r="D30" i="19"/>
  <c r="E30" i="19"/>
  <c r="F30" i="19"/>
  <c r="G30" i="19"/>
  <c r="C31" i="19"/>
  <c r="D31" i="19"/>
  <c r="E31" i="19"/>
  <c r="F31" i="19"/>
  <c r="G31" i="19"/>
  <c r="C32" i="19"/>
  <c r="D32" i="19"/>
  <c r="E32" i="19"/>
  <c r="F32" i="19"/>
  <c r="G32" i="19"/>
  <c r="C33" i="19"/>
  <c r="D33" i="19"/>
  <c r="E33" i="19"/>
  <c r="F33" i="19"/>
  <c r="G33" i="19"/>
  <c r="C34" i="19"/>
  <c r="D34" i="19"/>
  <c r="E34" i="19"/>
  <c r="F34" i="19"/>
  <c r="G34" i="19"/>
  <c r="C35" i="19"/>
  <c r="D35" i="19"/>
  <c r="E35" i="19"/>
  <c r="F35" i="19"/>
  <c r="G35" i="19"/>
  <c r="C36" i="19"/>
  <c r="D36" i="19"/>
  <c r="E36" i="19"/>
  <c r="F36" i="19"/>
  <c r="G36" i="19"/>
  <c r="C37" i="19"/>
  <c r="D37" i="19"/>
  <c r="E37" i="19"/>
  <c r="F37" i="19"/>
  <c r="G37" i="19"/>
  <c r="C38" i="19"/>
  <c r="D38" i="19"/>
  <c r="E38" i="19"/>
  <c r="F38" i="19"/>
  <c r="G38" i="19"/>
  <c r="C39" i="19"/>
  <c r="D39" i="19"/>
  <c r="E39" i="19"/>
  <c r="F39" i="19"/>
  <c r="G39" i="19"/>
  <c r="C40" i="19"/>
  <c r="D40" i="19"/>
  <c r="E40" i="19"/>
  <c r="F40" i="19"/>
  <c r="G40" i="19"/>
  <c r="C41" i="19"/>
  <c r="D41" i="19"/>
  <c r="E41" i="19"/>
  <c r="F41" i="19"/>
  <c r="G41" i="19"/>
  <c r="C42" i="19"/>
  <c r="D42" i="19"/>
  <c r="E42" i="19"/>
  <c r="F42" i="19"/>
  <c r="G42" i="19"/>
  <c r="C43" i="19"/>
  <c r="D43" i="19"/>
  <c r="E43" i="19"/>
  <c r="F43" i="19"/>
  <c r="G43" i="19"/>
  <c r="C44" i="19"/>
  <c r="D44" i="19"/>
  <c r="E44" i="19"/>
  <c r="F44" i="19"/>
  <c r="G44" i="19"/>
  <c r="C45" i="19"/>
  <c r="D45" i="19"/>
  <c r="E45" i="19"/>
  <c r="F45" i="19"/>
  <c r="G45" i="19"/>
  <c r="C46" i="19"/>
  <c r="D46" i="19"/>
  <c r="E46" i="19"/>
  <c r="F46" i="19"/>
  <c r="G46" i="19"/>
  <c r="C47" i="19"/>
  <c r="D47" i="19"/>
  <c r="E47" i="19"/>
  <c r="F47" i="19"/>
  <c r="G47" i="19"/>
  <c r="C48" i="19"/>
  <c r="D48" i="19"/>
  <c r="E48" i="19"/>
  <c r="F48" i="19"/>
  <c r="G48" i="19"/>
  <c r="C49" i="19"/>
  <c r="D49" i="19"/>
  <c r="E49" i="19"/>
  <c r="F49" i="19"/>
  <c r="G49" i="19"/>
  <c r="C50" i="19"/>
  <c r="D50" i="19"/>
  <c r="E50" i="19"/>
  <c r="F50" i="19"/>
  <c r="G50" i="19"/>
  <c r="C51" i="19"/>
  <c r="D51" i="19"/>
  <c r="E51" i="19"/>
  <c r="F51" i="19"/>
  <c r="G51" i="19"/>
  <c r="C52" i="19"/>
  <c r="D52" i="19"/>
  <c r="E52" i="19"/>
  <c r="F52" i="19"/>
  <c r="G52" i="19"/>
  <c r="C53" i="19"/>
  <c r="D53" i="19"/>
  <c r="E53" i="19"/>
  <c r="F53" i="19"/>
  <c r="G53" i="19"/>
  <c r="C54" i="19"/>
  <c r="D54" i="19"/>
  <c r="E54" i="19"/>
  <c r="F54" i="19"/>
  <c r="G54" i="19"/>
  <c r="C55" i="19"/>
  <c r="D55" i="19"/>
  <c r="E55" i="19"/>
  <c r="F55" i="19"/>
  <c r="G55" i="19"/>
  <c r="C56" i="19"/>
  <c r="D56" i="19"/>
  <c r="E56" i="19"/>
  <c r="F56" i="19"/>
  <c r="G56" i="19"/>
  <c r="C57" i="19"/>
  <c r="D57" i="19"/>
  <c r="E57" i="19"/>
  <c r="F57" i="19"/>
  <c r="G57" i="19"/>
  <c r="C58" i="19"/>
  <c r="D58" i="19"/>
  <c r="E58" i="19"/>
  <c r="F58" i="19"/>
  <c r="G58" i="19"/>
  <c r="C59" i="19"/>
  <c r="D59" i="19"/>
  <c r="E59" i="19"/>
  <c r="F59" i="19"/>
  <c r="G59" i="19"/>
  <c r="C60" i="19"/>
  <c r="D60" i="19"/>
  <c r="E60" i="19"/>
  <c r="F60" i="19"/>
  <c r="G60" i="19"/>
  <c r="C61" i="19"/>
  <c r="D61" i="19"/>
  <c r="E61" i="19"/>
  <c r="F61" i="19"/>
  <c r="G61" i="19"/>
  <c r="C62" i="19"/>
  <c r="D62" i="19"/>
  <c r="E62" i="19"/>
  <c r="F62" i="19"/>
  <c r="G62" i="19"/>
  <c r="C63" i="19"/>
  <c r="D63" i="19"/>
  <c r="E63" i="19"/>
  <c r="F63" i="19"/>
  <c r="G63" i="19"/>
  <c r="C64" i="19"/>
  <c r="D64" i="19"/>
  <c r="E64" i="19"/>
  <c r="F64" i="19"/>
  <c r="G64" i="19"/>
  <c r="C65" i="19"/>
  <c r="D65" i="19"/>
  <c r="E65" i="19"/>
  <c r="F65" i="19"/>
  <c r="G65" i="19"/>
  <c r="C66" i="19"/>
  <c r="D66" i="19"/>
  <c r="E66" i="19"/>
  <c r="F66" i="19"/>
  <c r="G66" i="19"/>
  <c r="C67" i="19"/>
  <c r="D67" i="19"/>
  <c r="E67" i="19"/>
  <c r="F67" i="19"/>
  <c r="G67" i="19"/>
  <c r="C68" i="19"/>
  <c r="D68" i="19"/>
  <c r="E68" i="19"/>
  <c r="F68" i="19"/>
  <c r="G68" i="19"/>
  <c r="C69" i="19"/>
  <c r="D69" i="19"/>
  <c r="E69" i="19"/>
  <c r="F69" i="19"/>
  <c r="G69" i="19"/>
  <c r="C70" i="19"/>
  <c r="D70" i="19"/>
  <c r="E70" i="19"/>
  <c r="F70" i="19"/>
  <c r="G70" i="19"/>
  <c r="C71" i="19"/>
  <c r="D71" i="19"/>
  <c r="E71" i="19"/>
  <c r="F71" i="19"/>
  <c r="G71" i="19"/>
  <c r="C72" i="19"/>
  <c r="D72" i="19"/>
  <c r="E72" i="19"/>
  <c r="F72" i="19"/>
  <c r="G72" i="19"/>
  <c r="C73" i="19"/>
  <c r="D73" i="19"/>
  <c r="E73" i="19"/>
  <c r="F73" i="19"/>
  <c r="G73" i="19"/>
  <c r="C74" i="19"/>
  <c r="D74" i="19"/>
  <c r="E74" i="19"/>
  <c r="F74" i="19"/>
  <c r="G74" i="19"/>
  <c r="C75" i="19"/>
  <c r="D75" i="19"/>
  <c r="E75" i="19"/>
  <c r="F75" i="19"/>
  <c r="G75" i="19"/>
  <c r="C76" i="19"/>
  <c r="D76" i="19"/>
  <c r="E76" i="19"/>
  <c r="F76" i="19"/>
  <c r="G76" i="19"/>
  <c r="C77" i="19"/>
  <c r="D77" i="19"/>
  <c r="E77" i="19"/>
  <c r="F77" i="19"/>
  <c r="G77" i="19"/>
  <c r="G3" i="19"/>
  <c r="F3" i="19"/>
  <c r="E3" i="19"/>
  <c r="D3" i="19"/>
  <c r="C3" i="19"/>
  <c r="H2" i="19"/>
  <c r="G2" i="19"/>
  <c r="F2" i="19"/>
  <c r="E2" i="19"/>
  <c r="D2" i="19"/>
  <c r="C2" i="19"/>
  <c r="B2" i="19"/>
  <c r="A2" i="19"/>
  <c r="H1" i="17"/>
  <c r="G1" i="17"/>
  <c r="F1" i="17"/>
  <c r="E1" i="17"/>
  <c r="D1" i="17"/>
  <c r="C1" i="17"/>
  <c r="B1" i="17"/>
  <c r="A1" i="17"/>
  <c r="C3" i="17"/>
  <c r="D3" i="17"/>
  <c r="E3" i="17"/>
  <c r="F3" i="17"/>
  <c r="G3" i="17"/>
  <c r="C4" i="17"/>
  <c r="D4" i="17"/>
  <c r="E4" i="17"/>
  <c r="F4" i="17"/>
  <c r="G4" i="17"/>
  <c r="C5" i="17"/>
  <c r="D5" i="17"/>
  <c r="E5" i="17"/>
  <c r="F5" i="17"/>
  <c r="G5" i="17"/>
  <c r="C6" i="17"/>
  <c r="D6" i="17"/>
  <c r="E6" i="17"/>
  <c r="F6" i="17"/>
  <c r="G6" i="17"/>
  <c r="C7" i="17"/>
  <c r="D7" i="17"/>
  <c r="E7" i="17"/>
  <c r="F7" i="17"/>
  <c r="G7" i="17"/>
  <c r="C8" i="17"/>
  <c r="D8" i="17"/>
  <c r="E8" i="17"/>
  <c r="F8" i="17"/>
  <c r="G8" i="17"/>
  <c r="C9" i="17"/>
  <c r="D9" i="17"/>
  <c r="E9" i="17"/>
  <c r="F9" i="17"/>
  <c r="G9" i="17"/>
  <c r="C10" i="17"/>
  <c r="D10" i="17"/>
  <c r="E10" i="17"/>
  <c r="F10" i="17"/>
  <c r="G10" i="17"/>
  <c r="C11" i="17"/>
  <c r="D11" i="17"/>
  <c r="E11" i="17"/>
  <c r="F11" i="17"/>
  <c r="G11" i="17"/>
  <c r="C12" i="17"/>
  <c r="D12" i="17"/>
  <c r="E12" i="17"/>
  <c r="F12" i="17"/>
  <c r="G12" i="17"/>
  <c r="C13" i="17"/>
  <c r="D13" i="17"/>
  <c r="E13" i="17"/>
  <c r="F13" i="17"/>
  <c r="G13" i="17"/>
  <c r="C14" i="17"/>
  <c r="D14" i="17"/>
  <c r="E14" i="17"/>
  <c r="F14" i="17"/>
  <c r="G14" i="17"/>
  <c r="C15" i="17"/>
  <c r="D15" i="17"/>
  <c r="E15" i="17"/>
  <c r="F15" i="17"/>
  <c r="G15" i="17"/>
  <c r="C16" i="17"/>
  <c r="D16" i="17"/>
  <c r="E16" i="17"/>
  <c r="F16" i="17"/>
  <c r="G16" i="17"/>
  <c r="C17" i="17"/>
  <c r="D17" i="17"/>
  <c r="E17" i="17"/>
  <c r="F17" i="17"/>
  <c r="G17" i="17"/>
  <c r="C18" i="17"/>
  <c r="D18" i="17"/>
  <c r="E18" i="17"/>
  <c r="F18" i="17"/>
  <c r="G18" i="17"/>
  <c r="C19" i="17"/>
  <c r="D19" i="17"/>
  <c r="E19" i="17"/>
  <c r="F19" i="17"/>
  <c r="G19" i="17"/>
  <c r="C20" i="17"/>
  <c r="D20" i="17"/>
  <c r="E20" i="17"/>
  <c r="F20" i="17"/>
  <c r="G20" i="17"/>
  <c r="C21" i="17"/>
  <c r="D21" i="17"/>
  <c r="E21" i="17"/>
  <c r="F21" i="17"/>
  <c r="G21" i="17"/>
  <c r="C22" i="17"/>
  <c r="D22" i="17"/>
  <c r="E22" i="17"/>
  <c r="F22" i="17"/>
  <c r="G22" i="17"/>
  <c r="C23" i="17"/>
  <c r="D23" i="17"/>
  <c r="E23" i="17"/>
  <c r="F23" i="17"/>
  <c r="G23" i="17"/>
  <c r="C24" i="17"/>
  <c r="D24" i="17"/>
  <c r="E24" i="17"/>
  <c r="F24" i="17"/>
  <c r="G24" i="17"/>
  <c r="C25" i="17"/>
  <c r="D25" i="17"/>
  <c r="E25" i="17"/>
  <c r="F25" i="17"/>
  <c r="G25" i="17"/>
  <c r="C26" i="17"/>
  <c r="D26" i="17"/>
  <c r="E26" i="17"/>
  <c r="F26" i="17"/>
  <c r="G26" i="17"/>
  <c r="C27" i="17"/>
  <c r="D27" i="17"/>
  <c r="E27" i="17"/>
  <c r="F27" i="17"/>
  <c r="G27" i="17"/>
  <c r="C28" i="17"/>
  <c r="D28" i="17"/>
  <c r="E28" i="17"/>
  <c r="F28" i="17"/>
  <c r="G28" i="17"/>
  <c r="C29" i="17"/>
  <c r="D29" i="17"/>
  <c r="E29" i="17"/>
  <c r="F29" i="17"/>
  <c r="G29" i="17"/>
  <c r="C30" i="17"/>
  <c r="D30" i="17"/>
  <c r="E30" i="17"/>
  <c r="F30" i="17"/>
  <c r="G30" i="17"/>
  <c r="C31" i="17"/>
  <c r="D31" i="17"/>
  <c r="E31" i="17"/>
  <c r="F31" i="17"/>
  <c r="G31" i="17"/>
  <c r="C32" i="17"/>
  <c r="D32" i="17"/>
  <c r="E32" i="17"/>
  <c r="F32" i="17"/>
  <c r="G32" i="17"/>
  <c r="C33" i="17"/>
  <c r="D33" i="17"/>
  <c r="E33" i="17"/>
  <c r="F33" i="17"/>
  <c r="G33" i="17"/>
  <c r="C34" i="17"/>
  <c r="D34" i="17"/>
  <c r="E34" i="17"/>
  <c r="F34" i="17"/>
  <c r="G34" i="17"/>
  <c r="C35" i="17"/>
  <c r="D35" i="17"/>
  <c r="E35" i="17"/>
  <c r="F35" i="17"/>
  <c r="G35" i="17"/>
  <c r="C36" i="17"/>
  <c r="D36" i="17"/>
  <c r="E36" i="17"/>
  <c r="F36" i="17"/>
  <c r="G36" i="17"/>
  <c r="C37" i="17"/>
  <c r="D37" i="17"/>
  <c r="E37" i="17"/>
  <c r="F37" i="17"/>
  <c r="G37" i="17"/>
  <c r="C38" i="17"/>
  <c r="D38" i="17"/>
  <c r="E38" i="17"/>
  <c r="F38" i="17"/>
  <c r="G38" i="17"/>
  <c r="C39" i="17"/>
  <c r="D39" i="17"/>
  <c r="E39" i="17"/>
  <c r="F39" i="17"/>
  <c r="G39" i="17"/>
  <c r="C40" i="17"/>
  <c r="D40" i="17"/>
  <c r="E40" i="17"/>
  <c r="F40" i="17"/>
  <c r="G40" i="17"/>
  <c r="C41" i="17"/>
  <c r="D41" i="17"/>
  <c r="E41" i="17"/>
  <c r="F41" i="17"/>
  <c r="G41" i="17"/>
  <c r="C42" i="17"/>
  <c r="D42" i="17"/>
  <c r="E42" i="17"/>
  <c r="F42" i="17"/>
  <c r="G42" i="17"/>
  <c r="C43" i="17"/>
  <c r="D43" i="17"/>
  <c r="E43" i="17"/>
  <c r="F43" i="17"/>
  <c r="G43" i="17"/>
  <c r="C44" i="17"/>
  <c r="D44" i="17"/>
  <c r="E44" i="17"/>
  <c r="F44" i="17"/>
  <c r="G44" i="17"/>
  <c r="C45" i="17"/>
  <c r="D45" i="17"/>
  <c r="E45" i="17"/>
  <c r="F45" i="17"/>
  <c r="G45" i="17"/>
  <c r="C46" i="17"/>
  <c r="D46" i="17"/>
  <c r="E46" i="17"/>
  <c r="F46" i="17"/>
  <c r="G46" i="17"/>
  <c r="C47" i="17"/>
  <c r="D47" i="17"/>
  <c r="E47" i="17"/>
  <c r="F47" i="17"/>
  <c r="G47" i="17"/>
  <c r="C48" i="17"/>
  <c r="D48" i="17"/>
  <c r="E48" i="17"/>
  <c r="F48" i="17"/>
  <c r="G48" i="17"/>
  <c r="C49" i="17"/>
  <c r="D49" i="17"/>
  <c r="E49" i="17"/>
  <c r="F49" i="17"/>
  <c r="G49" i="17"/>
  <c r="C50" i="17"/>
  <c r="D50" i="17"/>
  <c r="E50" i="17"/>
  <c r="F50" i="17"/>
  <c r="G50" i="17"/>
  <c r="C51" i="17"/>
  <c r="D51" i="17"/>
  <c r="E51" i="17"/>
  <c r="F51" i="17"/>
  <c r="G51" i="17"/>
  <c r="C52" i="17"/>
  <c r="D52" i="17"/>
  <c r="E52" i="17"/>
  <c r="F52" i="17"/>
  <c r="G52" i="17"/>
  <c r="C53" i="17"/>
  <c r="D53" i="17"/>
  <c r="E53" i="17"/>
  <c r="F53" i="17"/>
  <c r="G53" i="17"/>
  <c r="C54" i="17"/>
  <c r="D54" i="17"/>
  <c r="E54" i="17"/>
  <c r="F54" i="17"/>
  <c r="G54" i="17"/>
  <c r="C55" i="17"/>
  <c r="D55" i="17"/>
  <c r="E55" i="17"/>
  <c r="F55" i="17"/>
  <c r="G55" i="17"/>
  <c r="C56" i="17"/>
  <c r="D56" i="17"/>
  <c r="E56" i="17"/>
  <c r="F56" i="17"/>
  <c r="G56" i="17"/>
  <c r="C57" i="17"/>
  <c r="D57" i="17"/>
  <c r="E57" i="17"/>
  <c r="F57" i="17"/>
  <c r="G57" i="17"/>
  <c r="C58" i="17"/>
  <c r="D58" i="17"/>
  <c r="E58" i="17"/>
  <c r="F58" i="17"/>
  <c r="G58" i="17"/>
  <c r="C59" i="17"/>
  <c r="D59" i="17"/>
  <c r="E59" i="17"/>
  <c r="F59" i="17"/>
  <c r="G59" i="17"/>
  <c r="C60" i="17"/>
  <c r="D60" i="17"/>
  <c r="E60" i="17"/>
  <c r="F60" i="17"/>
  <c r="G60" i="17"/>
  <c r="C61" i="17"/>
  <c r="D61" i="17"/>
  <c r="E61" i="17"/>
  <c r="F61" i="17"/>
  <c r="G61" i="17"/>
  <c r="C62" i="17"/>
  <c r="D62" i="17"/>
  <c r="E62" i="17"/>
  <c r="F62" i="17"/>
  <c r="G62" i="17"/>
  <c r="C63" i="17"/>
  <c r="D63" i="17"/>
  <c r="E63" i="17"/>
  <c r="F63" i="17"/>
  <c r="G63" i="17"/>
  <c r="C64" i="17"/>
  <c r="D64" i="17"/>
  <c r="E64" i="17"/>
  <c r="F64" i="17"/>
  <c r="G64" i="17"/>
  <c r="C65" i="17"/>
  <c r="D65" i="17"/>
  <c r="E65" i="17"/>
  <c r="F65" i="17"/>
  <c r="G65" i="17"/>
  <c r="C66" i="17"/>
  <c r="D66" i="17"/>
  <c r="E66" i="17"/>
  <c r="F66" i="17"/>
  <c r="G66" i="17"/>
  <c r="C67" i="17"/>
  <c r="D67" i="17"/>
  <c r="E67" i="17"/>
  <c r="F67" i="17"/>
  <c r="G67" i="17"/>
  <c r="C68" i="17"/>
  <c r="D68" i="17"/>
  <c r="E68" i="17"/>
  <c r="F68" i="17"/>
  <c r="G68" i="17"/>
  <c r="C69" i="17"/>
  <c r="D69" i="17"/>
  <c r="E69" i="17"/>
  <c r="F69" i="17"/>
  <c r="G69" i="17"/>
  <c r="C70" i="17"/>
  <c r="D70" i="17"/>
  <c r="E70" i="17"/>
  <c r="F70" i="17"/>
  <c r="G70" i="17"/>
  <c r="C71" i="17"/>
  <c r="D71" i="17"/>
  <c r="E71" i="17"/>
  <c r="F71" i="17"/>
  <c r="G71" i="17"/>
  <c r="C72" i="17"/>
  <c r="D72" i="17"/>
  <c r="E72" i="17"/>
  <c r="F72" i="17"/>
  <c r="G72" i="17"/>
  <c r="C73" i="17"/>
  <c r="D73" i="17"/>
  <c r="E73" i="17"/>
  <c r="F73" i="17"/>
  <c r="G73" i="17"/>
  <c r="C74" i="17"/>
  <c r="D74" i="17"/>
  <c r="E74" i="17"/>
  <c r="F74" i="17"/>
  <c r="G74" i="17"/>
  <c r="C75" i="17"/>
  <c r="D75" i="17"/>
  <c r="E75" i="17"/>
  <c r="F75" i="17"/>
  <c r="G75" i="17"/>
  <c r="C76" i="17"/>
  <c r="D76" i="17"/>
  <c r="E76" i="17"/>
  <c r="F76" i="17"/>
  <c r="G76" i="17"/>
  <c r="G2" i="17"/>
  <c r="F2" i="17"/>
  <c r="E2" i="17"/>
  <c r="D2" i="17"/>
  <c r="C2" i="17"/>
  <c r="C3" i="15"/>
  <c r="D3" i="15"/>
  <c r="E3" i="15"/>
  <c r="F3" i="15"/>
  <c r="G3" i="15"/>
  <c r="C4" i="15"/>
  <c r="D4" i="15"/>
  <c r="E4" i="15"/>
  <c r="F4" i="15"/>
  <c r="G4" i="15"/>
  <c r="C5" i="15"/>
  <c r="D5" i="15"/>
  <c r="E5" i="15"/>
  <c r="F5" i="15"/>
  <c r="G5" i="15"/>
  <c r="C6" i="15"/>
  <c r="D6" i="15"/>
  <c r="E6" i="15"/>
  <c r="F6" i="15"/>
  <c r="G6" i="15"/>
  <c r="C7" i="15"/>
  <c r="D7" i="15"/>
  <c r="E7" i="15"/>
  <c r="F7" i="15"/>
  <c r="G7" i="15"/>
  <c r="C8" i="15"/>
  <c r="D8" i="15"/>
  <c r="E8" i="15"/>
  <c r="F8" i="15"/>
  <c r="G8" i="15"/>
  <c r="C9" i="15"/>
  <c r="D9" i="15"/>
  <c r="E9" i="15"/>
  <c r="F9" i="15"/>
  <c r="G9" i="15"/>
  <c r="C10" i="15"/>
  <c r="D10" i="15"/>
  <c r="E10" i="15"/>
  <c r="F10" i="15"/>
  <c r="G10" i="15"/>
  <c r="C11" i="15"/>
  <c r="D11" i="15"/>
  <c r="E11" i="15"/>
  <c r="F11" i="15"/>
  <c r="G11" i="15"/>
  <c r="C12" i="15"/>
  <c r="D12" i="15"/>
  <c r="E12" i="15"/>
  <c r="F12" i="15"/>
  <c r="G12" i="15"/>
  <c r="C13" i="15"/>
  <c r="D13" i="15"/>
  <c r="E13" i="15"/>
  <c r="F13" i="15"/>
  <c r="G13" i="15"/>
  <c r="C14" i="15"/>
  <c r="D14" i="15"/>
  <c r="E14" i="15"/>
  <c r="F14" i="15"/>
  <c r="G14" i="15"/>
  <c r="C15" i="15"/>
  <c r="D15" i="15"/>
  <c r="E15" i="15"/>
  <c r="F15" i="15"/>
  <c r="G15" i="15"/>
  <c r="C16" i="15"/>
  <c r="D16" i="15"/>
  <c r="E16" i="15"/>
  <c r="F16" i="15"/>
  <c r="G16" i="15"/>
  <c r="C17" i="15"/>
  <c r="D17" i="15"/>
  <c r="E17" i="15"/>
  <c r="F17" i="15"/>
  <c r="G17" i="15"/>
  <c r="C18" i="15"/>
  <c r="D18" i="15"/>
  <c r="E18" i="15"/>
  <c r="F18" i="15"/>
  <c r="G18" i="15"/>
  <c r="C19" i="15"/>
  <c r="D19" i="15"/>
  <c r="E19" i="15"/>
  <c r="F19" i="15"/>
  <c r="G19" i="15"/>
  <c r="C20" i="15"/>
  <c r="D20" i="15"/>
  <c r="E20" i="15"/>
  <c r="F20" i="15"/>
  <c r="G20" i="15"/>
  <c r="C21" i="15"/>
  <c r="D21" i="15"/>
  <c r="E21" i="15"/>
  <c r="F21" i="15"/>
  <c r="G21" i="15"/>
  <c r="C22" i="15"/>
  <c r="D22" i="15"/>
  <c r="E22" i="15"/>
  <c r="F22" i="15"/>
  <c r="G22" i="15"/>
  <c r="C23" i="15"/>
  <c r="D23" i="15"/>
  <c r="E23" i="15"/>
  <c r="F23" i="15"/>
  <c r="G23" i="15"/>
  <c r="C24" i="15"/>
  <c r="D24" i="15"/>
  <c r="E24" i="15"/>
  <c r="F24" i="15"/>
  <c r="G24" i="15"/>
  <c r="C25" i="15"/>
  <c r="D25" i="15"/>
  <c r="E25" i="15"/>
  <c r="F25" i="15"/>
  <c r="G25" i="15"/>
  <c r="C26" i="15"/>
  <c r="D26" i="15"/>
  <c r="E26" i="15"/>
  <c r="F26" i="15"/>
  <c r="G26" i="15"/>
  <c r="C27" i="15"/>
  <c r="D27" i="15"/>
  <c r="E27" i="15"/>
  <c r="F27" i="15"/>
  <c r="G27" i="15"/>
  <c r="C28" i="15"/>
  <c r="D28" i="15"/>
  <c r="E28" i="15"/>
  <c r="F28" i="15"/>
  <c r="G28" i="15"/>
  <c r="C29" i="15"/>
  <c r="D29" i="15"/>
  <c r="E29" i="15"/>
  <c r="F29" i="15"/>
  <c r="G29" i="15"/>
  <c r="C30" i="15"/>
  <c r="D30" i="15"/>
  <c r="E30" i="15"/>
  <c r="F30" i="15"/>
  <c r="G30" i="15"/>
  <c r="C31" i="15"/>
  <c r="D31" i="15"/>
  <c r="E31" i="15"/>
  <c r="F31" i="15"/>
  <c r="G31" i="15"/>
  <c r="C32" i="15"/>
  <c r="D32" i="15"/>
  <c r="E32" i="15"/>
  <c r="F32" i="15"/>
  <c r="G32" i="15"/>
  <c r="C33" i="15"/>
  <c r="D33" i="15"/>
  <c r="E33" i="15"/>
  <c r="F33" i="15"/>
  <c r="G33" i="15"/>
  <c r="C34" i="15"/>
  <c r="D34" i="15"/>
  <c r="E34" i="15"/>
  <c r="F34" i="15"/>
  <c r="G34" i="15"/>
  <c r="C35" i="15"/>
  <c r="D35" i="15"/>
  <c r="E35" i="15"/>
  <c r="F35" i="15"/>
  <c r="G35" i="15"/>
  <c r="C36" i="15"/>
  <c r="D36" i="15"/>
  <c r="E36" i="15"/>
  <c r="F36" i="15"/>
  <c r="G36" i="15"/>
  <c r="C37" i="15"/>
  <c r="D37" i="15"/>
  <c r="E37" i="15"/>
  <c r="F37" i="15"/>
  <c r="G37" i="15"/>
  <c r="C38" i="15"/>
  <c r="D38" i="15"/>
  <c r="E38" i="15"/>
  <c r="F38" i="15"/>
  <c r="G38" i="15"/>
  <c r="C39" i="15"/>
  <c r="D39" i="15"/>
  <c r="E39" i="15"/>
  <c r="F39" i="15"/>
  <c r="G39" i="15"/>
  <c r="C40" i="15"/>
  <c r="D40" i="15"/>
  <c r="E40" i="15"/>
  <c r="F40" i="15"/>
  <c r="G40" i="15"/>
  <c r="C41" i="15"/>
  <c r="D41" i="15"/>
  <c r="E41" i="15"/>
  <c r="F41" i="15"/>
  <c r="G41" i="15"/>
  <c r="C42" i="15"/>
  <c r="D42" i="15"/>
  <c r="E42" i="15"/>
  <c r="F42" i="15"/>
  <c r="G42" i="15"/>
  <c r="C43" i="15"/>
  <c r="D43" i="15"/>
  <c r="E43" i="15"/>
  <c r="F43" i="15"/>
  <c r="G43" i="15"/>
  <c r="C44" i="15"/>
  <c r="D44" i="15"/>
  <c r="E44" i="15"/>
  <c r="F44" i="15"/>
  <c r="G44" i="15"/>
  <c r="C45" i="15"/>
  <c r="D45" i="15"/>
  <c r="E45" i="15"/>
  <c r="F45" i="15"/>
  <c r="G45" i="15"/>
  <c r="C46" i="15"/>
  <c r="D46" i="15"/>
  <c r="E46" i="15"/>
  <c r="F46" i="15"/>
  <c r="G46" i="15"/>
  <c r="C47" i="15"/>
  <c r="D47" i="15"/>
  <c r="E47" i="15"/>
  <c r="F47" i="15"/>
  <c r="G47" i="15"/>
  <c r="C48" i="15"/>
  <c r="D48" i="15"/>
  <c r="E48" i="15"/>
  <c r="F48" i="15"/>
  <c r="G48" i="15"/>
  <c r="C49" i="15"/>
  <c r="D49" i="15"/>
  <c r="E49" i="15"/>
  <c r="F49" i="15"/>
  <c r="G49" i="15"/>
  <c r="C50" i="15"/>
  <c r="D50" i="15"/>
  <c r="E50" i="15"/>
  <c r="F50" i="15"/>
  <c r="G50" i="15"/>
  <c r="C51" i="15"/>
  <c r="D51" i="15"/>
  <c r="E51" i="15"/>
  <c r="F51" i="15"/>
  <c r="G51" i="15"/>
  <c r="C52" i="15"/>
  <c r="D52" i="15"/>
  <c r="E52" i="15"/>
  <c r="F52" i="15"/>
  <c r="G52" i="15"/>
  <c r="C53" i="15"/>
  <c r="D53" i="15"/>
  <c r="E53" i="15"/>
  <c r="F53" i="15"/>
  <c r="G53" i="15"/>
  <c r="C54" i="15"/>
  <c r="D54" i="15"/>
  <c r="E54" i="15"/>
  <c r="F54" i="15"/>
  <c r="G54" i="15"/>
  <c r="C55" i="15"/>
  <c r="D55" i="15"/>
  <c r="E55" i="15"/>
  <c r="F55" i="15"/>
  <c r="G55" i="15"/>
  <c r="C56" i="15"/>
  <c r="D56" i="15"/>
  <c r="E56" i="15"/>
  <c r="F56" i="15"/>
  <c r="G56" i="15"/>
  <c r="C57" i="15"/>
  <c r="D57" i="15"/>
  <c r="E57" i="15"/>
  <c r="F57" i="15"/>
  <c r="G57" i="15"/>
  <c r="C58" i="15"/>
  <c r="D58" i="15"/>
  <c r="E58" i="15"/>
  <c r="F58" i="15"/>
  <c r="G58" i="15"/>
  <c r="C59" i="15"/>
  <c r="D59" i="15"/>
  <c r="E59" i="15"/>
  <c r="F59" i="15"/>
  <c r="G59" i="15"/>
  <c r="C60" i="15"/>
  <c r="D60" i="15"/>
  <c r="E60" i="15"/>
  <c r="F60" i="15"/>
  <c r="G60" i="15"/>
  <c r="C61" i="15"/>
  <c r="D61" i="15"/>
  <c r="E61" i="15"/>
  <c r="F61" i="15"/>
  <c r="G61" i="15"/>
  <c r="C62" i="15"/>
  <c r="D62" i="15"/>
  <c r="E62" i="15"/>
  <c r="F62" i="15"/>
  <c r="G62" i="15"/>
  <c r="C63" i="15"/>
  <c r="D63" i="15"/>
  <c r="E63" i="15"/>
  <c r="F63" i="15"/>
  <c r="G63" i="15"/>
  <c r="C64" i="15"/>
  <c r="D64" i="15"/>
  <c r="E64" i="15"/>
  <c r="F64" i="15"/>
  <c r="G64" i="15"/>
  <c r="C65" i="15"/>
  <c r="D65" i="15"/>
  <c r="E65" i="15"/>
  <c r="F65" i="15"/>
  <c r="G65" i="15"/>
  <c r="C66" i="15"/>
  <c r="D66" i="15"/>
  <c r="E66" i="15"/>
  <c r="F66" i="15"/>
  <c r="G66" i="15"/>
  <c r="C67" i="15"/>
  <c r="D67" i="15"/>
  <c r="E67" i="15"/>
  <c r="F67" i="15"/>
  <c r="G67" i="15"/>
  <c r="C68" i="15"/>
  <c r="D68" i="15"/>
  <c r="E68" i="15"/>
  <c r="F68" i="15"/>
  <c r="G68" i="15"/>
  <c r="C69" i="15"/>
  <c r="D69" i="15"/>
  <c r="E69" i="15"/>
  <c r="F69" i="15"/>
  <c r="G69" i="15"/>
  <c r="C70" i="15"/>
  <c r="D70" i="15"/>
  <c r="E70" i="15"/>
  <c r="F70" i="15"/>
  <c r="G70" i="15"/>
  <c r="C71" i="15"/>
  <c r="D71" i="15"/>
  <c r="E71" i="15"/>
  <c r="F71" i="15"/>
  <c r="G71" i="15"/>
  <c r="C72" i="15"/>
  <c r="D72" i="15"/>
  <c r="E72" i="15"/>
  <c r="F72" i="15"/>
  <c r="G72" i="15"/>
  <c r="C73" i="15"/>
  <c r="D73" i="15"/>
  <c r="E73" i="15"/>
  <c r="F73" i="15"/>
  <c r="G73" i="15"/>
  <c r="C74" i="15"/>
  <c r="D74" i="15"/>
  <c r="E74" i="15"/>
  <c r="F74" i="15"/>
  <c r="G74" i="15"/>
  <c r="C75" i="15"/>
  <c r="D75" i="15"/>
  <c r="E75" i="15"/>
  <c r="F75" i="15"/>
  <c r="G75" i="15"/>
  <c r="C76" i="15"/>
  <c r="D76" i="15"/>
  <c r="E76" i="15"/>
  <c r="F76" i="15"/>
  <c r="G76" i="15"/>
  <c r="G2" i="15"/>
  <c r="F2" i="15"/>
  <c r="E2" i="15"/>
  <c r="D2" i="15"/>
  <c r="C2" i="15"/>
  <c r="H1" i="15"/>
  <c r="G1" i="15"/>
  <c r="F1" i="15"/>
  <c r="E1" i="15"/>
  <c r="D1" i="15"/>
  <c r="C1" i="15"/>
  <c r="B1" i="15"/>
  <c r="A1" i="15"/>
  <c r="C3" i="14"/>
  <c r="D3" i="14"/>
  <c r="E3" i="14"/>
  <c r="F3" i="14"/>
  <c r="G3" i="14"/>
  <c r="C4" i="14"/>
  <c r="D4" i="14"/>
  <c r="E4" i="14"/>
  <c r="F4" i="14"/>
  <c r="G4" i="14"/>
  <c r="C5" i="14"/>
  <c r="D5" i="14"/>
  <c r="E5" i="14"/>
  <c r="F5" i="14"/>
  <c r="G5" i="14"/>
  <c r="C6" i="14"/>
  <c r="D6" i="14"/>
  <c r="E6" i="14"/>
  <c r="F6" i="14"/>
  <c r="G6" i="14"/>
  <c r="C7" i="14"/>
  <c r="D7" i="14"/>
  <c r="E7" i="14"/>
  <c r="F7" i="14"/>
  <c r="G7" i="14"/>
  <c r="C8" i="14"/>
  <c r="D8" i="14"/>
  <c r="E8" i="14"/>
  <c r="F8" i="14"/>
  <c r="G8" i="14"/>
  <c r="C9" i="14"/>
  <c r="D9" i="14"/>
  <c r="E9" i="14"/>
  <c r="F9" i="14"/>
  <c r="G9" i="14"/>
  <c r="C10" i="14"/>
  <c r="D10" i="14"/>
  <c r="E10" i="14"/>
  <c r="F10" i="14"/>
  <c r="G10" i="14"/>
  <c r="C11" i="14"/>
  <c r="D11" i="14"/>
  <c r="E11" i="14"/>
  <c r="F11" i="14"/>
  <c r="G11" i="14"/>
  <c r="C12" i="14"/>
  <c r="D12" i="14"/>
  <c r="E12" i="14"/>
  <c r="F12" i="14"/>
  <c r="G12" i="14"/>
  <c r="C13" i="14"/>
  <c r="D13" i="14"/>
  <c r="E13" i="14"/>
  <c r="F13" i="14"/>
  <c r="G13" i="14"/>
  <c r="C14" i="14"/>
  <c r="D14" i="14"/>
  <c r="E14" i="14"/>
  <c r="F14" i="14"/>
  <c r="G14" i="14"/>
  <c r="C15" i="14"/>
  <c r="D15" i="14"/>
  <c r="E15" i="14"/>
  <c r="F15" i="14"/>
  <c r="G15" i="14"/>
  <c r="C16" i="14"/>
  <c r="D16" i="14"/>
  <c r="E16" i="14"/>
  <c r="F16" i="14"/>
  <c r="G16" i="14"/>
  <c r="C17" i="14"/>
  <c r="D17" i="14"/>
  <c r="E17" i="14"/>
  <c r="F17" i="14"/>
  <c r="G17" i="14"/>
  <c r="C18" i="14"/>
  <c r="D18" i="14"/>
  <c r="E18" i="14"/>
  <c r="F18" i="14"/>
  <c r="G18" i="14"/>
  <c r="C19" i="14"/>
  <c r="D19" i="14"/>
  <c r="E19" i="14"/>
  <c r="F19" i="14"/>
  <c r="G19" i="14"/>
  <c r="C20" i="14"/>
  <c r="D20" i="14"/>
  <c r="E20" i="14"/>
  <c r="F20" i="14"/>
  <c r="G20" i="14"/>
  <c r="C21" i="14"/>
  <c r="D21" i="14"/>
  <c r="E21" i="14"/>
  <c r="F21" i="14"/>
  <c r="G21" i="14"/>
  <c r="C22" i="14"/>
  <c r="D22" i="14"/>
  <c r="E22" i="14"/>
  <c r="F22" i="14"/>
  <c r="G22" i="14"/>
  <c r="C23" i="14"/>
  <c r="D23" i="14"/>
  <c r="E23" i="14"/>
  <c r="F23" i="14"/>
  <c r="G23" i="14"/>
  <c r="C24" i="14"/>
  <c r="D24" i="14"/>
  <c r="E24" i="14"/>
  <c r="F24" i="14"/>
  <c r="G24" i="14"/>
  <c r="C25" i="14"/>
  <c r="D25" i="14"/>
  <c r="E25" i="14"/>
  <c r="F25" i="14"/>
  <c r="G25" i="14"/>
  <c r="C26" i="14"/>
  <c r="D26" i="14"/>
  <c r="E26" i="14"/>
  <c r="F26" i="14"/>
  <c r="G26" i="14"/>
  <c r="C27" i="14"/>
  <c r="D27" i="14"/>
  <c r="E27" i="14"/>
  <c r="F27" i="14"/>
  <c r="G27" i="14"/>
  <c r="C28" i="14"/>
  <c r="D28" i="14"/>
  <c r="E28" i="14"/>
  <c r="F28" i="14"/>
  <c r="G28" i="14"/>
  <c r="C29" i="14"/>
  <c r="D29" i="14"/>
  <c r="E29" i="14"/>
  <c r="F29" i="14"/>
  <c r="G29" i="14"/>
  <c r="C30" i="14"/>
  <c r="D30" i="14"/>
  <c r="E30" i="14"/>
  <c r="F30" i="14"/>
  <c r="G30" i="14"/>
  <c r="C31" i="14"/>
  <c r="D31" i="14"/>
  <c r="E31" i="14"/>
  <c r="F31" i="14"/>
  <c r="G31" i="14"/>
  <c r="C32" i="14"/>
  <c r="D32" i="14"/>
  <c r="E32" i="14"/>
  <c r="F32" i="14"/>
  <c r="G32" i="14"/>
  <c r="C33" i="14"/>
  <c r="D33" i="14"/>
  <c r="E33" i="14"/>
  <c r="F33" i="14"/>
  <c r="G33" i="14"/>
  <c r="C34" i="14"/>
  <c r="D34" i="14"/>
  <c r="E34" i="14"/>
  <c r="F34" i="14"/>
  <c r="G34" i="14"/>
  <c r="C35" i="14"/>
  <c r="D35" i="14"/>
  <c r="E35" i="14"/>
  <c r="F35" i="14"/>
  <c r="G35" i="14"/>
  <c r="C36" i="14"/>
  <c r="D36" i="14"/>
  <c r="E36" i="14"/>
  <c r="F36" i="14"/>
  <c r="G36" i="14"/>
  <c r="C37" i="14"/>
  <c r="D37" i="14"/>
  <c r="E37" i="14"/>
  <c r="F37" i="14"/>
  <c r="G37" i="14"/>
  <c r="C38" i="14"/>
  <c r="D38" i="14"/>
  <c r="E38" i="14"/>
  <c r="F38" i="14"/>
  <c r="G38" i="14"/>
  <c r="C39" i="14"/>
  <c r="D39" i="14"/>
  <c r="E39" i="14"/>
  <c r="F39" i="14"/>
  <c r="G39" i="14"/>
  <c r="C40" i="14"/>
  <c r="D40" i="14"/>
  <c r="E40" i="14"/>
  <c r="F40" i="14"/>
  <c r="G40" i="14"/>
  <c r="C41" i="14"/>
  <c r="D41" i="14"/>
  <c r="E41" i="14"/>
  <c r="F41" i="14"/>
  <c r="G41" i="14"/>
  <c r="C42" i="14"/>
  <c r="D42" i="14"/>
  <c r="E42" i="14"/>
  <c r="F42" i="14"/>
  <c r="G42" i="14"/>
  <c r="C43" i="14"/>
  <c r="D43" i="14"/>
  <c r="E43" i="14"/>
  <c r="F43" i="14"/>
  <c r="G43" i="14"/>
  <c r="C44" i="14"/>
  <c r="D44" i="14"/>
  <c r="E44" i="14"/>
  <c r="F44" i="14"/>
  <c r="G44" i="14"/>
  <c r="C45" i="14"/>
  <c r="D45" i="14"/>
  <c r="E45" i="14"/>
  <c r="F45" i="14"/>
  <c r="G45" i="14"/>
  <c r="C46" i="14"/>
  <c r="D46" i="14"/>
  <c r="E46" i="14"/>
  <c r="F46" i="14"/>
  <c r="G46" i="14"/>
  <c r="C47" i="14"/>
  <c r="D47" i="14"/>
  <c r="E47" i="14"/>
  <c r="F47" i="14"/>
  <c r="G47" i="14"/>
  <c r="C48" i="14"/>
  <c r="D48" i="14"/>
  <c r="E48" i="14"/>
  <c r="F48" i="14"/>
  <c r="G48" i="14"/>
  <c r="C49" i="14"/>
  <c r="D49" i="14"/>
  <c r="E49" i="14"/>
  <c r="F49" i="14"/>
  <c r="G49" i="14"/>
  <c r="C50" i="14"/>
  <c r="D50" i="14"/>
  <c r="E50" i="14"/>
  <c r="F50" i="14"/>
  <c r="G50" i="14"/>
  <c r="C51" i="14"/>
  <c r="D51" i="14"/>
  <c r="E51" i="14"/>
  <c r="F51" i="14"/>
  <c r="G51" i="14"/>
  <c r="C52" i="14"/>
  <c r="D52" i="14"/>
  <c r="E52" i="14"/>
  <c r="F52" i="14"/>
  <c r="G52" i="14"/>
  <c r="C53" i="14"/>
  <c r="D53" i="14"/>
  <c r="E53" i="14"/>
  <c r="F53" i="14"/>
  <c r="G53" i="14"/>
  <c r="C54" i="14"/>
  <c r="D54" i="14"/>
  <c r="E54" i="14"/>
  <c r="F54" i="14"/>
  <c r="G54" i="14"/>
  <c r="C55" i="14"/>
  <c r="D55" i="14"/>
  <c r="E55" i="14"/>
  <c r="F55" i="14"/>
  <c r="G55" i="14"/>
  <c r="C56" i="14"/>
  <c r="D56" i="14"/>
  <c r="E56" i="14"/>
  <c r="F56" i="14"/>
  <c r="G56" i="14"/>
  <c r="C57" i="14"/>
  <c r="D57" i="14"/>
  <c r="E57" i="14"/>
  <c r="F57" i="14"/>
  <c r="G57" i="14"/>
  <c r="C58" i="14"/>
  <c r="D58" i="14"/>
  <c r="E58" i="14"/>
  <c r="F58" i="14"/>
  <c r="G58" i="14"/>
  <c r="C59" i="14"/>
  <c r="D59" i="14"/>
  <c r="E59" i="14"/>
  <c r="F59" i="14"/>
  <c r="G59" i="14"/>
  <c r="C60" i="14"/>
  <c r="D60" i="14"/>
  <c r="E60" i="14"/>
  <c r="F60" i="14"/>
  <c r="G60" i="14"/>
  <c r="C61" i="14"/>
  <c r="D61" i="14"/>
  <c r="E61" i="14"/>
  <c r="F61" i="14"/>
  <c r="G61" i="14"/>
  <c r="C62" i="14"/>
  <c r="D62" i="14"/>
  <c r="E62" i="14"/>
  <c r="F62" i="14"/>
  <c r="G62" i="14"/>
  <c r="C63" i="14"/>
  <c r="D63" i="14"/>
  <c r="E63" i="14"/>
  <c r="F63" i="14"/>
  <c r="G63" i="14"/>
  <c r="C64" i="14"/>
  <c r="D64" i="14"/>
  <c r="E64" i="14"/>
  <c r="F64" i="14"/>
  <c r="G64" i="14"/>
  <c r="C65" i="14"/>
  <c r="D65" i="14"/>
  <c r="E65" i="14"/>
  <c r="F65" i="14"/>
  <c r="G65" i="14"/>
  <c r="C66" i="14"/>
  <c r="D66" i="14"/>
  <c r="E66" i="14"/>
  <c r="F66" i="14"/>
  <c r="G66" i="14"/>
  <c r="C67" i="14"/>
  <c r="D67" i="14"/>
  <c r="E67" i="14"/>
  <c r="F67" i="14"/>
  <c r="G67" i="14"/>
  <c r="C68" i="14"/>
  <c r="D68" i="14"/>
  <c r="E68" i="14"/>
  <c r="F68" i="14"/>
  <c r="G68" i="14"/>
  <c r="C69" i="14"/>
  <c r="D69" i="14"/>
  <c r="E69" i="14"/>
  <c r="F69" i="14"/>
  <c r="G69" i="14"/>
  <c r="C70" i="14"/>
  <c r="D70" i="14"/>
  <c r="E70" i="14"/>
  <c r="F70" i="14"/>
  <c r="G70" i="14"/>
  <c r="C71" i="14"/>
  <c r="D71" i="14"/>
  <c r="E71" i="14"/>
  <c r="F71" i="14"/>
  <c r="G71" i="14"/>
  <c r="C72" i="14"/>
  <c r="D72" i="14"/>
  <c r="E72" i="14"/>
  <c r="F72" i="14"/>
  <c r="G72" i="14"/>
  <c r="C73" i="14"/>
  <c r="D73" i="14"/>
  <c r="E73" i="14"/>
  <c r="F73" i="14"/>
  <c r="G73" i="14"/>
  <c r="C74" i="14"/>
  <c r="D74" i="14"/>
  <c r="E74" i="14"/>
  <c r="F74" i="14"/>
  <c r="G74" i="14"/>
  <c r="C75" i="14"/>
  <c r="D75" i="14"/>
  <c r="E75" i="14"/>
  <c r="F75" i="14"/>
  <c r="G75" i="14"/>
  <c r="C76" i="14"/>
  <c r="D76" i="14"/>
  <c r="E76" i="14"/>
  <c r="F76" i="14"/>
  <c r="G76" i="14"/>
  <c r="G2" i="14"/>
  <c r="F2" i="14"/>
  <c r="E2" i="14"/>
  <c r="D2" i="14"/>
  <c r="C2" i="14"/>
  <c r="H1" i="14"/>
  <c r="G1" i="14"/>
  <c r="F1" i="14"/>
  <c r="E1" i="14"/>
  <c r="D1" i="14"/>
  <c r="C1" i="14"/>
  <c r="B1" i="14"/>
  <c r="A1" i="14"/>
  <c r="C3" i="9"/>
  <c r="D3" i="9"/>
  <c r="E3" i="9"/>
  <c r="F3" i="9"/>
  <c r="G3" i="9"/>
  <c r="C4" i="9"/>
  <c r="D4" i="9"/>
  <c r="E4" i="9"/>
  <c r="F4" i="9"/>
  <c r="G4" i="9"/>
  <c r="C5" i="9"/>
  <c r="D5" i="9"/>
  <c r="E5" i="9"/>
  <c r="F5" i="9"/>
  <c r="G5" i="9"/>
  <c r="C6" i="9"/>
  <c r="D6" i="9"/>
  <c r="E6" i="9"/>
  <c r="F6" i="9"/>
  <c r="G6" i="9"/>
  <c r="C7" i="9"/>
  <c r="D7" i="9"/>
  <c r="E7" i="9"/>
  <c r="F7" i="9"/>
  <c r="G7" i="9"/>
  <c r="C8" i="9"/>
  <c r="D8" i="9"/>
  <c r="E8" i="9"/>
  <c r="F8" i="9"/>
  <c r="G8" i="9"/>
  <c r="C9" i="9"/>
  <c r="D9" i="9"/>
  <c r="E9" i="9"/>
  <c r="F9" i="9"/>
  <c r="G9" i="9"/>
  <c r="C10" i="9"/>
  <c r="D10" i="9"/>
  <c r="E10" i="9"/>
  <c r="F10" i="9"/>
  <c r="G10" i="9"/>
  <c r="C11" i="9"/>
  <c r="D11" i="9"/>
  <c r="E11" i="9"/>
  <c r="F11" i="9"/>
  <c r="G11" i="9"/>
  <c r="C12" i="9"/>
  <c r="D12" i="9"/>
  <c r="E12" i="9"/>
  <c r="F12" i="9"/>
  <c r="G12" i="9"/>
  <c r="C13" i="9"/>
  <c r="D13" i="9"/>
  <c r="E13" i="9"/>
  <c r="F13" i="9"/>
  <c r="G13" i="9"/>
  <c r="C14" i="9"/>
  <c r="D14" i="9"/>
  <c r="E14" i="9"/>
  <c r="F14" i="9"/>
  <c r="G14" i="9"/>
  <c r="C15" i="9"/>
  <c r="D15" i="9"/>
  <c r="E15" i="9"/>
  <c r="F15" i="9"/>
  <c r="G15" i="9"/>
  <c r="C16" i="9"/>
  <c r="D16" i="9"/>
  <c r="E16" i="9"/>
  <c r="F16" i="9"/>
  <c r="G16" i="9"/>
  <c r="C17" i="9"/>
  <c r="D17" i="9"/>
  <c r="E17" i="9"/>
  <c r="F17" i="9"/>
  <c r="G17" i="9"/>
  <c r="C18" i="9"/>
  <c r="D18" i="9"/>
  <c r="E18" i="9"/>
  <c r="F18" i="9"/>
  <c r="G18" i="9"/>
  <c r="C19" i="9"/>
  <c r="D19" i="9"/>
  <c r="E19" i="9"/>
  <c r="F19" i="9"/>
  <c r="G19" i="9"/>
  <c r="C20" i="9"/>
  <c r="D20" i="9"/>
  <c r="E20" i="9"/>
  <c r="F20" i="9"/>
  <c r="G20" i="9"/>
  <c r="C21" i="9"/>
  <c r="D21" i="9"/>
  <c r="E21" i="9"/>
  <c r="F21" i="9"/>
  <c r="G21" i="9"/>
  <c r="C22" i="9"/>
  <c r="D22" i="9"/>
  <c r="E22" i="9"/>
  <c r="F22" i="9"/>
  <c r="G22" i="9"/>
  <c r="C23" i="9"/>
  <c r="D23" i="9"/>
  <c r="E23" i="9"/>
  <c r="F23" i="9"/>
  <c r="G23" i="9"/>
  <c r="C24" i="9"/>
  <c r="D24" i="9"/>
  <c r="E24" i="9"/>
  <c r="F24" i="9"/>
  <c r="G24" i="9"/>
  <c r="C25" i="9"/>
  <c r="D25" i="9"/>
  <c r="E25" i="9"/>
  <c r="F25" i="9"/>
  <c r="G25" i="9"/>
  <c r="C26" i="9"/>
  <c r="D26" i="9"/>
  <c r="E26" i="9"/>
  <c r="F26" i="9"/>
  <c r="G26" i="9"/>
  <c r="C27" i="9"/>
  <c r="D27" i="9"/>
  <c r="E27" i="9"/>
  <c r="F27" i="9"/>
  <c r="G27" i="9"/>
  <c r="C28" i="9"/>
  <c r="D28" i="9"/>
  <c r="E28" i="9"/>
  <c r="F28" i="9"/>
  <c r="G28" i="9"/>
  <c r="C29" i="9"/>
  <c r="D29" i="9"/>
  <c r="E29" i="9"/>
  <c r="F29" i="9"/>
  <c r="G29" i="9"/>
  <c r="C30" i="9"/>
  <c r="D30" i="9"/>
  <c r="E30" i="9"/>
  <c r="F30" i="9"/>
  <c r="G30" i="9"/>
  <c r="C31" i="9"/>
  <c r="D31" i="9"/>
  <c r="E31" i="9"/>
  <c r="F31" i="9"/>
  <c r="G31" i="9"/>
  <c r="C32" i="9"/>
  <c r="D32" i="9"/>
  <c r="E32" i="9"/>
  <c r="F32" i="9"/>
  <c r="G32" i="9"/>
  <c r="C33" i="9"/>
  <c r="D33" i="9"/>
  <c r="E33" i="9"/>
  <c r="F33" i="9"/>
  <c r="G33" i="9"/>
  <c r="C34" i="9"/>
  <c r="D34" i="9"/>
  <c r="E34" i="9"/>
  <c r="F34" i="9"/>
  <c r="G34" i="9"/>
  <c r="C35" i="9"/>
  <c r="D35" i="9"/>
  <c r="E35" i="9"/>
  <c r="F35" i="9"/>
  <c r="G35" i="9"/>
  <c r="C36" i="9"/>
  <c r="D36" i="9"/>
  <c r="E36" i="9"/>
  <c r="F36" i="9"/>
  <c r="G36" i="9"/>
  <c r="C37" i="9"/>
  <c r="D37" i="9"/>
  <c r="E37" i="9"/>
  <c r="F37" i="9"/>
  <c r="G37" i="9"/>
  <c r="C38" i="9"/>
  <c r="D38" i="9"/>
  <c r="E38" i="9"/>
  <c r="F38" i="9"/>
  <c r="G38" i="9"/>
  <c r="C39" i="9"/>
  <c r="D39" i="9"/>
  <c r="E39" i="9"/>
  <c r="F39" i="9"/>
  <c r="G39" i="9"/>
  <c r="C40" i="9"/>
  <c r="D40" i="9"/>
  <c r="E40" i="9"/>
  <c r="F40" i="9"/>
  <c r="G40" i="9"/>
  <c r="C41" i="9"/>
  <c r="D41" i="9"/>
  <c r="E41" i="9"/>
  <c r="F41" i="9"/>
  <c r="G41" i="9"/>
  <c r="C42" i="9"/>
  <c r="D42" i="9"/>
  <c r="E42" i="9"/>
  <c r="F42" i="9"/>
  <c r="G42" i="9"/>
  <c r="C43" i="9"/>
  <c r="D43" i="9"/>
  <c r="E43" i="9"/>
  <c r="F43" i="9"/>
  <c r="G43" i="9"/>
  <c r="C44" i="9"/>
  <c r="D44" i="9"/>
  <c r="E44" i="9"/>
  <c r="F44" i="9"/>
  <c r="G44" i="9"/>
  <c r="C45" i="9"/>
  <c r="D45" i="9"/>
  <c r="E45" i="9"/>
  <c r="F45" i="9"/>
  <c r="G45" i="9"/>
  <c r="C46" i="9"/>
  <c r="D46" i="9"/>
  <c r="E46" i="9"/>
  <c r="F46" i="9"/>
  <c r="G46" i="9"/>
  <c r="C47" i="9"/>
  <c r="D47" i="9"/>
  <c r="E47" i="9"/>
  <c r="F47" i="9"/>
  <c r="G47" i="9"/>
  <c r="C48" i="9"/>
  <c r="D48" i="9"/>
  <c r="E48" i="9"/>
  <c r="F48" i="9"/>
  <c r="G48" i="9"/>
  <c r="C49" i="9"/>
  <c r="D49" i="9"/>
  <c r="E49" i="9"/>
  <c r="F49" i="9"/>
  <c r="G49" i="9"/>
  <c r="C50" i="9"/>
  <c r="D50" i="9"/>
  <c r="E50" i="9"/>
  <c r="F50" i="9"/>
  <c r="G50" i="9"/>
  <c r="C51" i="9"/>
  <c r="D51" i="9"/>
  <c r="E51" i="9"/>
  <c r="F51" i="9"/>
  <c r="G51" i="9"/>
  <c r="C52" i="9"/>
  <c r="D52" i="9"/>
  <c r="E52" i="9"/>
  <c r="F52" i="9"/>
  <c r="G52" i="9"/>
  <c r="C53" i="9"/>
  <c r="D53" i="9"/>
  <c r="E53" i="9"/>
  <c r="F53" i="9"/>
  <c r="G53" i="9"/>
  <c r="C54" i="9"/>
  <c r="D54" i="9"/>
  <c r="E54" i="9"/>
  <c r="F54" i="9"/>
  <c r="G54" i="9"/>
  <c r="C55" i="9"/>
  <c r="D55" i="9"/>
  <c r="E55" i="9"/>
  <c r="F55" i="9"/>
  <c r="G55" i="9"/>
  <c r="C56" i="9"/>
  <c r="D56" i="9"/>
  <c r="E56" i="9"/>
  <c r="F56" i="9"/>
  <c r="G56" i="9"/>
  <c r="C57" i="9"/>
  <c r="D57" i="9"/>
  <c r="E57" i="9"/>
  <c r="F57" i="9"/>
  <c r="G57" i="9"/>
  <c r="C58" i="9"/>
  <c r="D58" i="9"/>
  <c r="E58" i="9"/>
  <c r="F58" i="9"/>
  <c r="G58" i="9"/>
  <c r="C59" i="9"/>
  <c r="D59" i="9"/>
  <c r="E59" i="9"/>
  <c r="F59" i="9"/>
  <c r="G59" i="9"/>
  <c r="C60" i="9"/>
  <c r="D60" i="9"/>
  <c r="E60" i="9"/>
  <c r="F60" i="9"/>
  <c r="G60" i="9"/>
  <c r="C61" i="9"/>
  <c r="D61" i="9"/>
  <c r="E61" i="9"/>
  <c r="F61" i="9"/>
  <c r="G61" i="9"/>
  <c r="C62" i="9"/>
  <c r="D62" i="9"/>
  <c r="E62" i="9"/>
  <c r="F62" i="9"/>
  <c r="G62" i="9"/>
  <c r="C63" i="9"/>
  <c r="D63" i="9"/>
  <c r="E63" i="9"/>
  <c r="F63" i="9"/>
  <c r="G63" i="9"/>
  <c r="C64" i="9"/>
  <c r="D64" i="9"/>
  <c r="E64" i="9"/>
  <c r="F64" i="9"/>
  <c r="G64" i="9"/>
  <c r="C65" i="9"/>
  <c r="D65" i="9"/>
  <c r="E65" i="9"/>
  <c r="F65" i="9"/>
  <c r="G65" i="9"/>
  <c r="C66" i="9"/>
  <c r="D66" i="9"/>
  <c r="E66" i="9"/>
  <c r="F66" i="9"/>
  <c r="G66" i="9"/>
  <c r="C67" i="9"/>
  <c r="D67" i="9"/>
  <c r="E67" i="9"/>
  <c r="F67" i="9"/>
  <c r="G67" i="9"/>
  <c r="C68" i="9"/>
  <c r="D68" i="9"/>
  <c r="E68" i="9"/>
  <c r="F68" i="9"/>
  <c r="G68" i="9"/>
  <c r="C69" i="9"/>
  <c r="D69" i="9"/>
  <c r="E69" i="9"/>
  <c r="F69" i="9"/>
  <c r="G69" i="9"/>
  <c r="C70" i="9"/>
  <c r="D70" i="9"/>
  <c r="E70" i="9"/>
  <c r="F70" i="9"/>
  <c r="G70" i="9"/>
  <c r="C71" i="9"/>
  <c r="D71" i="9"/>
  <c r="E71" i="9"/>
  <c r="F71" i="9"/>
  <c r="G71" i="9"/>
  <c r="C72" i="9"/>
  <c r="D72" i="9"/>
  <c r="E72" i="9"/>
  <c r="F72" i="9"/>
  <c r="G72" i="9"/>
  <c r="C73" i="9"/>
  <c r="D73" i="9"/>
  <c r="E73" i="9"/>
  <c r="F73" i="9"/>
  <c r="G73" i="9"/>
  <c r="C74" i="9"/>
  <c r="D74" i="9"/>
  <c r="E74" i="9"/>
  <c r="F74" i="9"/>
  <c r="G74" i="9"/>
  <c r="C75" i="9"/>
  <c r="D75" i="9"/>
  <c r="E75" i="9"/>
  <c r="F75" i="9"/>
  <c r="G75" i="9"/>
  <c r="C76" i="9"/>
  <c r="D76" i="9"/>
  <c r="E76" i="9"/>
  <c r="F76" i="9"/>
  <c r="G76" i="9"/>
  <c r="G2" i="9"/>
  <c r="F2" i="9"/>
  <c r="E2" i="9"/>
  <c r="D2" i="9"/>
  <c r="C2" i="9"/>
  <c r="H1" i="9"/>
  <c r="G1" i="9"/>
  <c r="F1" i="9"/>
  <c r="E1" i="9"/>
  <c r="D1" i="9"/>
  <c r="C1" i="9"/>
  <c r="B1" i="9"/>
  <c r="A1" i="9"/>
  <c r="C3" i="5"/>
  <c r="D3" i="5"/>
  <c r="E3" i="5"/>
  <c r="F3" i="5"/>
  <c r="G3" i="5"/>
  <c r="C4" i="5"/>
  <c r="D4" i="5"/>
  <c r="E4" i="5"/>
  <c r="F4" i="5"/>
  <c r="G4" i="5"/>
  <c r="C5" i="5"/>
  <c r="D5" i="5"/>
  <c r="E5" i="5"/>
  <c r="F5" i="5"/>
  <c r="G5" i="5"/>
  <c r="C6" i="5"/>
  <c r="D6" i="5"/>
  <c r="E6" i="5"/>
  <c r="F6" i="5"/>
  <c r="G6" i="5"/>
  <c r="C7" i="5"/>
  <c r="D7" i="5"/>
  <c r="E7" i="5"/>
  <c r="F7" i="5"/>
  <c r="G7" i="5"/>
  <c r="C8" i="5"/>
  <c r="D8" i="5"/>
  <c r="E8" i="5"/>
  <c r="F8" i="5"/>
  <c r="G8" i="5"/>
  <c r="C9" i="5"/>
  <c r="D9" i="5"/>
  <c r="E9" i="5"/>
  <c r="F9" i="5"/>
  <c r="G9" i="5"/>
  <c r="C10" i="5"/>
  <c r="D10" i="5"/>
  <c r="E10" i="5"/>
  <c r="F10" i="5"/>
  <c r="G10" i="5"/>
  <c r="C11" i="5"/>
  <c r="D11" i="5"/>
  <c r="E11" i="5"/>
  <c r="F11" i="5"/>
  <c r="G11" i="5"/>
  <c r="C12" i="5"/>
  <c r="D12" i="5"/>
  <c r="E12" i="5"/>
  <c r="F12" i="5"/>
  <c r="G12" i="5"/>
  <c r="C13" i="5"/>
  <c r="D13" i="5"/>
  <c r="E13" i="5"/>
  <c r="F13" i="5"/>
  <c r="G13" i="5"/>
  <c r="C14" i="5"/>
  <c r="D14" i="5"/>
  <c r="E14" i="5"/>
  <c r="F14" i="5"/>
  <c r="G14" i="5"/>
  <c r="C15" i="5"/>
  <c r="D15" i="5"/>
  <c r="E15" i="5"/>
  <c r="F15" i="5"/>
  <c r="G15" i="5"/>
  <c r="C16" i="5"/>
  <c r="D16" i="5"/>
  <c r="E16" i="5"/>
  <c r="F16" i="5"/>
  <c r="G16" i="5"/>
  <c r="C17" i="5"/>
  <c r="D17" i="5"/>
  <c r="E17" i="5"/>
  <c r="F17" i="5"/>
  <c r="G17" i="5"/>
  <c r="C18" i="5"/>
  <c r="D18" i="5"/>
  <c r="E18" i="5"/>
  <c r="F18" i="5"/>
  <c r="G18" i="5"/>
  <c r="C19" i="5"/>
  <c r="D19" i="5"/>
  <c r="E19" i="5"/>
  <c r="F19" i="5"/>
  <c r="G19" i="5"/>
  <c r="C20" i="5"/>
  <c r="D20" i="5"/>
  <c r="E20" i="5"/>
  <c r="F20" i="5"/>
  <c r="G20" i="5"/>
  <c r="C21" i="5"/>
  <c r="D21" i="5"/>
  <c r="E21" i="5"/>
  <c r="F21" i="5"/>
  <c r="G21" i="5"/>
  <c r="C22" i="5"/>
  <c r="D22" i="5"/>
  <c r="E22" i="5"/>
  <c r="F22" i="5"/>
  <c r="G22" i="5"/>
  <c r="C23" i="5"/>
  <c r="D23" i="5"/>
  <c r="E23" i="5"/>
  <c r="F23" i="5"/>
  <c r="G23" i="5"/>
  <c r="C24" i="5"/>
  <c r="D24" i="5"/>
  <c r="E24" i="5"/>
  <c r="F24" i="5"/>
  <c r="G24" i="5"/>
  <c r="C25" i="5"/>
  <c r="D25" i="5"/>
  <c r="E25" i="5"/>
  <c r="F25" i="5"/>
  <c r="G25" i="5"/>
  <c r="C26" i="5"/>
  <c r="D26" i="5"/>
  <c r="E26" i="5"/>
  <c r="F26" i="5"/>
  <c r="G26" i="5"/>
  <c r="C27" i="5"/>
  <c r="D27" i="5"/>
  <c r="E27" i="5"/>
  <c r="F27" i="5"/>
  <c r="G27" i="5"/>
  <c r="C28" i="5"/>
  <c r="D28" i="5"/>
  <c r="E28" i="5"/>
  <c r="F28" i="5"/>
  <c r="G28" i="5"/>
  <c r="C29" i="5"/>
  <c r="D29" i="5"/>
  <c r="E29" i="5"/>
  <c r="F29" i="5"/>
  <c r="G29" i="5"/>
  <c r="C30" i="5"/>
  <c r="D30" i="5"/>
  <c r="E30" i="5"/>
  <c r="F30" i="5"/>
  <c r="G30" i="5"/>
  <c r="C31" i="5"/>
  <c r="D31" i="5"/>
  <c r="E31" i="5"/>
  <c r="F31" i="5"/>
  <c r="G31" i="5"/>
  <c r="C32" i="5"/>
  <c r="D32" i="5"/>
  <c r="E32" i="5"/>
  <c r="F32" i="5"/>
  <c r="G32" i="5"/>
  <c r="C33" i="5"/>
  <c r="D33" i="5"/>
  <c r="E33" i="5"/>
  <c r="F33" i="5"/>
  <c r="G33" i="5"/>
  <c r="C34" i="5"/>
  <c r="D34" i="5"/>
  <c r="E34" i="5"/>
  <c r="F34" i="5"/>
  <c r="G34" i="5"/>
  <c r="C35" i="5"/>
  <c r="D35" i="5"/>
  <c r="E35" i="5"/>
  <c r="F35" i="5"/>
  <c r="G35" i="5"/>
  <c r="C36" i="5"/>
  <c r="D36" i="5"/>
  <c r="E36" i="5"/>
  <c r="F36" i="5"/>
  <c r="G36" i="5"/>
  <c r="C37" i="5"/>
  <c r="D37" i="5"/>
  <c r="E37" i="5"/>
  <c r="F37" i="5"/>
  <c r="G37" i="5"/>
  <c r="C38" i="5"/>
  <c r="D38" i="5"/>
  <c r="E38" i="5"/>
  <c r="F38" i="5"/>
  <c r="G38" i="5"/>
  <c r="C39" i="5"/>
  <c r="D39" i="5"/>
  <c r="E39" i="5"/>
  <c r="F39" i="5"/>
  <c r="G39" i="5"/>
  <c r="C40" i="5"/>
  <c r="D40" i="5"/>
  <c r="E40" i="5"/>
  <c r="F40" i="5"/>
  <c r="G40" i="5"/>
  <c r="C41" i="5"/>
  <c r="D41" i="5"/>
  <c r="E41" i="5"/>
  <c r="F41" i="5"/>
  <c r="G41" i="5"/>
  <c r="C42" i="5"/>
  <c r="D42" i="5"/>
  <c r="E42" i="5"/>
  <c r="F42" i="5"/>
  <c r="G42" i="5"/>
  <c r="C43" i="5"/>
  <c r="D43" i="5"/>
  <c r="E43" i="5"/>
  <c r="F43" i="5"/>
  <c r="G43" i="5"/>
  <c r="C44" i="5"/>
  <c r="D44" i="5"/>
  <c r="E44" i="5"/>
  <c r="F44" i="5"/>
  <c r="G44" i="5"/>
  <c r="C45" i="5"/>
  <c r="D45" i="5"/>
  <c r="E45" i="5"/>
  <c r="F45" i="5"/>
  <c r="G45" i="5"/>
  <c r="C46" i="5"/>
  <c r="D46" i="5"/>
  <c r="E46" i="5"/>
  <c r="F46" i="5"/>
  <c r="G46" i="5"/>
  <c r="C47" i="5"/>
  <c r="D47" i="5"/>
  <c r="E47" i="5"/>
  <c r="F47" i="5"/>
  <c r="G47" i="5"/>
  <c r="C48" i="5"/>
  <c r="D48" i="5"/>
  <c r="E48" i="5"/>
  <c r="F48" i="5"/>
  <c r="G48" i="5"/>
  <c r="C49" i="5"/>
  <c r="D49" i="5"/>
  <c r="E49" i="5"/>
  <c r="F49" i="5"/>
  <c r="G49" i="5"/>
  <c r="C50" i="5"/>
  <c r="D50" i="5"/>
  <c r="E50" i="5"/>
  <c r="F50" i="5"/>
  <c r="G50" i="5"/>
  <c r="C51" i="5"/>
  <c r="D51" i="5"/>
  <c r="E51" i="5"/>
  <c r="F51" i="5"/>
  <c r="G51" i="5"/>
  <c r="C52" i="5"/>
  <c r="D52" i="5"/>
  <c r="E52" i="5"/>
  <c r="F52" i="5"/>
  <c r="G52" i="5"/>
  <c r="C53" i="5"/>
  <c r="D53" i="5"/>
  <c r="E53" i="5"/>
  <c r="F53" i="5"/>
  <c r="G53" i="5"/>
  <c r="C54" i="5"/>
  <c r="D54" i="5"/>
  <c r="E54" i="5"/>
  <c r="F54" i="5"/>
  <c r="G54" i="5"/>
  <c r="C55" i="5"/>
  <c r="D55" i="5"/>
  <c r="E55" i="5"/>
  <c r="F55" i="5"/>
  <c r="G55" i="5"/>
  <c r="C56" i="5"/>
  <c r="D56" i="5"/>
  <c r="E56" i="5"/>
  <c r="F56" i="5"/>
  <c r="G56" i="5"/>
  <c r="C57" i="5"/>
  <c r="D57" i="5"/>
  <c r="E57" i="5"/>
  <c r="F57" i="5"/>
  <c r="G57" i="5"/>
  <c r="C58" i="5"/>
  <c r="D58" i="5"/>
  <c r="E58" i="5"/>
  <c r="F58" i="5"/>
  <c r="G58" i="5"/>
  <c r="C59" i="5"/>
  <c r="D59" i="5"/>
  <c r="E59" i="5"/>
  <c r="F59" i="5"/>
  <c r="G59" i="5"/>
  <c r="C60" i="5"/>
  <c r="D60" i="5"/>
  <c r="E60" i="5"/>
  <c r="F60" i="5"/>
  <c r="G60" i="5"/>
  <c r="C61" i="5"/>
  <c r="D61" i="5"/>
  <c r="E61" i="5"/>
  <c r="F61" i="5"/>
  <c r="G61" i="5"/>
  <c r="C62" i="5"/>
  <c r="D62" i="5"/>
  <c r="E62" i="5"/>
  <c r="F62" i="5"/>
  <c r="G62" i="5"/>
  <c r="C63" i="5"/>
  <c r="D63" i="5"/>
  <c r="E63" i="5"/>
  <c r="F63" i="5"/>
  <c r="G63" i="5"/>
  <c r="C64" i="5"/>
  <c r="D64" i="5"/>
  <c r="E64" i="5"/>
  <c r="F64" i="5"/>
  <c r="G64" i="5"/>
  <c r="C65" i="5"/>
  <c r="D65" i="5"/>
  <c r="E65" i="5"/>
  <c r="F65" i="5"/>
  <c r="G65" i="5"/>
  <c r="C66" i="5"/>
  <c r="D66" i="5"/>
  <c r="E66" i="5"/>
  <c r="F66" i="5"/>
  <c r="G66" i="5"/>
  <c r="C67" i="5"/>
  <c r="D67" i="5"/>
  <c r="E67" i="5"/>
  <c r="F67" i="5"/>
  <c r="G67" i="5"/>
  <c r="C68" i="5"/>
  <c r="D68" i="5"/>
  <c r="E68" i="5"/>
  <c r="F68" i="5"/>
  <c r="G68" i="5"/>
  <c r="C69" i="5"/>
  <c r="D69" i="5"/>
  <c r="E69" i="5"/>
  <c r="F69" i="5"/>
  <c r="G69" i="5"/>
  <c r="C70" i="5"/>
  <c r="D70" i="5"/>
  <c r="E70" i="5"/>
  <c r="F70" i="5"/>
  <c r="G70" i="5"/>
  <c r="C71" i="5"/>
  <c r="D71" i="5"/>
  <c r="E71" i="5"/>
  <c r="F71" i="5"/>
  <c r="G71" i="5"/>
  <c r="C72" i="5"/>
  <c r="D72" i="5"/>
  <c r="E72" i="5"/>
  <c r="F72" i="5"/>
  <c r="G72" i="5"/>
  <c r="C73" i="5"/>
  <c r="D73" i="5"/>
  <c r="E73" i="5"/>
  <c r="F73" i="5"/>
  <c r="G73" i="5"/>
  <c r="C74" i="5"/>
  <c r="D74" i="5"/>
  <c r="E74" i="5"/>
  <c r="F74" i="5"/>
  <c r="G74" i="5"/>
  <c r="C75" i="5"/>
  <c r="D75" i="5"/>
  <c r="E75" i="5"/>
  <c r="F75" i="5"/>
  <c r="G75" i="5"/>
  <c r="C76" i="5"/>
  <c r="D76" i="5"/>
  <c r="E76" i="5"/>
  <c r="F76" i="5"/>
  <c r="G76" i="5"/>
  <c r="G2" i="5"/>
  <c r="F2" i="5"/>
  <c r="E2" i="5"/>
  <c r="D2" i="5"/>
  <c r="C2" i="5"/>
  <c r="H1" i="5"/>
  <c r="G1" i="5"/>
  <c r="F1" i="5"/>
  <c r="E1" i="5"/>
  <c r="D1" i="5"/>
  <c r="C1" i="5"/>
  <c r="B1" i="5"/>
  <c r="A1" i="5"/>
  <c r="C4" i="2"/>
  <c r="D4" i="2"/>
  <c r="E4" i="2"/>
  <c r="F4" i="2"/>
  <c r="G4" i="2"/>
  <c r="C5" i="2"/>
  <c r="D5" i="2"/>
  <c r="E5" i="2"/>
  <c r="F5" i="2"/>
  <c r="G5" i="2"/>
  <c r="C6" i="2"/>
  <c r="D6" i="2"/>
  <c r="E6" i="2"/>
  <c r="F6" i="2"/>
  <c r="G6" i="2"/>
  <c r="C9" i="2"/>
  <c r="D9" i="2"/>
  <c r="E9" i="2"/>
  <c r="F9" i="2"/>
  <c r="G9" i="2"/>
  <c r="C10" i="2"/>
  <c r="D10" i="2"/>
  <c r="E10" i="2"/>
  <c r="F10" i="2"/>
  <c r="G10" i="2"/>
  <c r="C11" i="2"/>
  <c r="D11" i="2"/>
  <c r="E11" i="2"/>
  <c r="F11" i="2"/>
  <c r="G11" i="2"/>
  <c r="C12" i="2"/>
  <c r="D12" i="2"/>
  <c r="E12" i="2"/>
  <c r="F12" i="2"/>
  <c r="G12" i="2"/>
  <c r="C13" i="2"/>
  <c r="D13" i="2"/>
  <c r="E13" i="2"/>
  <c r="F13" i="2"/>
  <c r="G13" i="2"/>
  <c r="C14" i="2"/>
  <c r="D14" i="2"/>
  <c r="E14" i="2"/>
  <c r="F14" i="2"/>
  <c r="G14" i="2"/>
  <c r="C15" i="2"/>
  <c r="D15" i="2"/>
  <c r="E15" i="2"/>
  <c r="F15" i="2"/>
  <c r="G15" i="2"/>
  <c r="C16" i="2"/>
  <c r="D16" i="2"/>
  <c r="E16" i="2"/>
  <c r="F16" i="2"/>
  <c r="G16" i="2"/>
  <c r="C17" i="2"/>
  <c r="D17" i="2"/>
  <c r="E17" i="2"/>
  <c r="F17" i="2"/>
  <c r="G17" i="2"/>
  <c r="C18" i="2"/>
  <c r="D18" i="2"/>
  <c r="E18" i="2"/>
  <c r="F18" i="2"/>
  <c r="G18" i="2"/>
  <c r="C19" i="2"/>
  <c r="D19" i="2"/>
  <c r="E19" i="2"/>
  <c r="F19" i="2"/>
  <c r="G19" i="2"/>
  <c r="C20" i="2"/>
  <c r="D20" i="2"/>
  <c r="E20" i="2"/>
  <c r="F20" i="2"/>
  <c r="G20" i="2"/>
  <c r="C21" i="2"/>
  <c r="D21" i="2"/>
  <c r="E21" i="2"/>
  <c r="F21" i="2"/>
  <c r="G21" i="2"/>
  <c r="C22" i="2"/>
  <c r="D22" i="2"/>
  <c r="E22" i="2"/>
  <c r="F22" i="2"/>
  <c r="G22" i="2"/>
  <c r="C23" i="2"/>
  <c r="D23" i="2"/>
  <c r="E23" i="2"/>
  <c r="F23" i="2"/>
  <c r="G23" i="2"/>
  <c r="C24" i="2"/>
  <c r="D24" i="2"/>
  <c r="E24" i="2"/>
  <c r="F24" i="2"/>
  <c r="G24" i="2"/>
  <c r="C25" i="2"/>
  <c r="D25" i="2"/>
  <c r="E25" i="2"/>
  <c r="F25" i="2"/>
  <c r="G25" i="2"/>
  <c r="C26" i="2"/>
  <c r="D26" i="2"/>
  <c r="E26" i="2"/>
  <c r="F26" i="2"/>
  <c r="G26" i="2"/>
  <c r="C27" i="2"/>
  <c r="D27" i="2"/>
  <c r="E27" i="2"/>
  <c r="F27" i="2"/>
  <c r="G27" i="2"/>
  <c r="C28" i="2"/>
  <c r="D28" i="2"/>
  <c r="E28" i="2"/>
  <c r="F28" i="2"/>
  <c r="G28" i="2"/>
  <c r="C29" i="2"/>
  <c r="D29" i="2"/>
  <c r="E29" i="2"/>
  <c r="F29" i="2"/>
  <c r="G29" i="2"/>
  <c r="C30" i="2"/>
  <c r="D30" i="2"/>
  <c r="E30" i="2"/>
  <c r="F30" i="2"/>
  <c r="G30" i="2"/>
  <c r="C31" i="2"/>
  <c r="D31" i="2"/>
  <c r="E31" i="2"/>
  <c r="F31" i="2"/>
  <c r="G31" i="2"/>
  <c r="C32" i="2"/>
  <c r="D32" i="2"/>
  <c r="E32" i="2"/>
  <c r="F32" i="2"/>
  <c r="G32" i="2"/>
  <c r="C33" i="2"/>
  <c r="D33" i="2"/>
  <c r="E33" i="2"/>
  <c r="F33" i="2"/>
  <c r="G33" i="2"/>
  <c r="C34" i="2"/>
  <c r="D34" i="2"/>
  <c r="E34" i="2"/>
  <c r="F34" i="2"/>
  <c r="G34" i="2"/>
  <c r="C35" i="2"/>
  <c r="D35" i="2"/>
  <c r="E35" i="2"/>
  <c r="F35" i="2"/>
  <c r="G35" i="2"/>
  <c r="C36" i="2"/>
  <c r="D36" i="2"/>
  <c r="E36" i="2"/>
  <c r="F36" i="2"/>
  <c r="G36" i="2"/>
  <c r="C37" i="2"/>
  <c r="D37" i="2"/>
  <c r="E37" i="2"/>
  <c r="F37" i="2"/>
  <c r="G37" i="2"/>
  <c r="C38" i="2"/>
  <c r="D38" i="2"/>
  <c r="E38" i="2"/>
  <c r="F38" i="2"/>
  <c r="G38" i="2"/>
  <c r="C39" i="2"/>
  <c r="D39" i="2"/>
  <c r="E39" i="2"/>
  <c r="F39" i="2"/>
  <c r="G39" i="2"/>
  <c r="C40" i="2"/>
  <c r="D40" i="2"/>
  <c r="E40" i="2"/>
  <c r="F40" i="2"/>
  <c r="G40" i="2"/>
  <c r="C41" i="2"/>
  <c r="D41" i="2"/>
  <c r="E41" i="2"/>
  <c r="F41" i="2"/>
  <c r="G41" i="2"/>
  <c r="C42" i="2"/>
  <c r="D42" i="2"/>
  <c r="E42" i="2"/>
  <c r="F42" i="2"/>
  <c r="G42" i="2"/>
  <c r="C43" i="2"/>
  <c r="D43" i="2"/>
  <c r="E43" i="2"/>
  <c r="F43" i="2"/>
  <c r="G43" i="2"/>
  <c r="C44" i="2"/>
  <c r="D44" i="2"/>
  <c r="E44" i="2"/>
  <c r="F44" i="2"/>
  <c r="G44" i="2"/>
  <c r="C45" i="2"/>
  <c r="D45" i="2"/>
  <c r="E45" i="2"/>
  <c r="F45" i="2"/>
  <c r="G45" i="2"/>
  <c r="C46" i="2"/>
  <c r="D46" i="2"/>
  <c r="E46" i="2"/>
  <c r="F46" i="2"/>
  <c r="G46" i="2"/>
  <c r="C47" i="2"/>
  <c r="D47" i="2"/>
  <c r="E47" i="2"/>
  <c r="F47" i="2"/>
  <c r="G47" i="2"/>
  <c r="C48" i="2"/>
  <c r="D48" i="2"/>
  <c r="E48" i="2"/>
  <c r="F48" i="2"/>
  <c r="G48" i="2"/>
  <c r="C49" i="2"/>
  <c r="D49" i="2"/>
  <c r="E49" i="2"/>
  <c r="F49" i="2"/>
  <c r="G49" i="2"/>
  <c r="C50" i="2"/>
  <c r="D50" i="2"/>
  <c r="E50" i="2"/>
  <c r="F50" i="2"/>
  <c r="G50" i="2"/>
  <c r="C51" i="2"/>
  <c r="D51" i="2"/>
  <c r="E51" i="2"/>
  <c r="F51" i="2"/>
  <c r="G51" i="2"/>
  <c r="C52" i="2"/>
  <c r="D52" i="2"/>
  <c r="E52" i="2"/>
  <c r="F52" i="2"/>
  <c r="G52" i="2"/>
  <c r="C53" i="2"/>
  <c r="D53" i="2"/>
  <c r="E53" i="2"/>
  <c r="F53" i="2"/>
  <c r="G53" i="2"/>
  <c r="C54" i="2"/>
  <c r="D54" i="2"/>
  <c r="E54" i="2"/>
  <c r="F54" i="2"/>
  <c r="G54" i="2"/>
  <c r="C55" i="2"/>
  <c r="D55" i="2"/>
  <c r="E55" i="2"/>
  <c r="F55" i="2"/>
  <c r="G55" i="2"/>
  <c r="C56" i="2"/>
  <c r="D56" i="2"/>
  <c r="E56" i="2"/>
  <c r="F56" i="2"/>
  <c r="G56" i="2"/>
  <c r="C57" i="2"/>
  <c r="D57" i="2"/>
  <c r="E57" i="2"/>
  <c r="F57" i="2"/>
  <c r="G57" i="2"/>
  <c r="C58" i="2"/>
  <c r="D58" i="2"/>
  <c r="E58" i="2"/>
  <c r="F58" i="2"/>
  <c r="G58" i="2"/>
  <c r="C59" i="2"/>
  <c r="D59" i="2"/>
  <c r="E59" i="2"/>
  <c r="F59" i="2"/>
  <c r="G59" i="2"/>
  <c r="C60" i="2"/>
  <c r="D60" i="2"/>
  <c r="E60" i="2"/>
  <c r="F60" i="2"/>
  <c r="G60" i="2"/>
  <c r="C61" i="2"/>
  <c r="D61" i="2"/>
  <c r="E61" i="2"/>
  <c r="F61" i="2"/>
  <c r="G61" i="2"/>
  <c r="C62" i="2"/>
  <c r="D62" i="2"/>
  <c r="E62" i="2"/>
  <c r="F62" i="2"/>
  <c r="G62" i="2"/>
  <c r="C63" i="2"/>
  <c r="D63" i="2"/>
  <c r="E63" i="2"/>
  <c r="F63" i="2"/>
  <c r="G63" i="2"/>
  <c r="C64" i="2"/>
  <c r="D64" i="2"/>
  <c r="E64" i="2"/>
  <c r="F64" i="2"/>
  <c r="G64" i="2"/>
  <c r="C65" i="2"/>
  <c r="D65" i="2"/>
  <c r="E65" i="2"/>
  <c r="F65" i="2"/>
  <c r="G65" i="2"/>
  <c r="C66" i="2"/>
  <c r="D66" i="2"/>
  <c r="E66" i="2"/>
  <c r="F66" i="2"/>
  <c r="G66" i="2"/>
  <c r="C67" i="2"/>
  <c r="D67" i="2"/>
  <c r="E67" i="2"/>
  <c r="F67" i="2"/>
  <c r="G67" i="2"/>
  <c r="C68" i="2"/>
  <c r="D68" i="2"/>
  <c r="E68" i="2"/>
  <c r="F68" i="2"/>
  <c r="G68" i="2"/>
  <c r="C69" i="2"/>
  <c r="D69" i="2"/>
  <c r="E69" i="2"/>
  <c r="F69" i="2"/>
  <c r="G69" i="2"/>
  <c r="C70" i="2"/>
  <c r="D70" i="2"/>
  <c r="E70" i="2"/>
  <c r="F70" i="2"/>
  <c r="G70" i="2"/>
  <c r="C71" i="2"/>
  <c r="D71" i="2"/>
  <c r="E71" i="2"/>
  <c r="F71" i="2"/>
  <c r="G71" i="2"/>
  <c r="C72" i="2"/>
  <c r="D72" i="2"/>
  <c r="E72" i="2"/>
  <c r="F72" i="2"/>
  <c r="G72" i="2"/>
  <c r="C73" i="2"/>
  <c r="D73" i="2"/>
  <c r="E73" i="2"/>
  <c r="F73" i="2"/>
  <c r="G73" i="2"/>
  <c r="C74" i="2"/>
  <c r="D74" i="2"/>
  <c r="E74" i="2"/>
  <c r="F74" i="2"/>
  <c r="G74" i="2"/>
  <c r="C75" i="2"/>
  <c r="D75" i="2"/>
  <c r="E75" i="2"/>
  <c r="F75" i="2"/>
  <c r="G75" i="2"/>
  <c r="C76" i="2"/>
  <c r="D76" i="2"/>
  <c r="E76" i="2"/>
  <c r="F76" i="2"/>
  <c r="G76" i="2"/>
  <c r="C77" i="2"/>
  <c r="D77" i="2"/>
  <c r="E77" i="2"/>
  <c r="F77" i="2"/>
  <c r="G77" i="2"/>
  <c r="C78" i="2"/>
  <c r="D78" i="2"/>
  <c r="E78" i="2"/>
  <c r="F78" i="2"/>
  <c r="G78" i="2"/>
  <c r="G3" i="2"/>
  <c r="F3" i="2"/>
  <c r="E3" i="2"/>
  <c r="D3" i="2"/>
  <c r="C3" i="2"/>
  <c r="H2" i="2"/>
  <c r="G2" i="2"/>
  <c r="F2" i="2"/>
  <c r="E2" i="2"/>
  <c r="D2" i="2"/>
  <c r="C2" i="2"/>
  <c r="B2" i="2"/>
  <c r="A2" i="2"/>
  <c r="C3" i="4"/>
  <c r="D3" i="4"/>
  <c r="E3" i="4"/>
  <c r="F3" i="4"/>
  <c r="G3" i="4"/>
  <c r="C4" i="4"/>
  <c r="D4" i="4"/>
  <c r="E4" i="4"/>
  <c r="F4" i="4"/>
  <c r="G4" i="4"/>
  <c r="C5" i="4"/>
  <c r="D5" i="4"/>
  <c r="E5" i="4"/>
  <c r="F5" i="4"/>
  <c r="G5" i="4"/>
  <c r="C8" i="4"/>
  <c r="D8" i="4"/>
  <c r="E8" i="4"/>
  <c r="F8" i="4"/>
  <c r="G8" i="4"/>
  <c r="C9" i="4"/>
  <c r="D9" i="4"/>
  <c r="E9" i="4"/>
  <c r="F9" i="4"/>
  <c r="G9" i="4"/>
  <c r="C10" i="4"/>
  <c r="D10" i="4"/>
  <c r="E10" i="4"/>
  <c r="F10" i="4"/>
  <c r="G10" i="4"/>
  <c r="C11" i="4"/>
  <c r="D11" i="4"/>
  <c r="E11" i="4"/>
  <c r="F11" i="4"/>
  <c r="G11" i="4"/>
  <c r="C12" i="4"/>
  <c r="D12" i="4"/>
  <c r="E12" i="4"/>
  <c r="F12" i="4"/>
  <c r="G12" i="4"/>
  <c r="C13" i="4"/>
  <c r="D13" i="4"/>
  <c r="E13" i="4"/>
  <c r="F13" i="4"/>
  <c r="G13" i="4"/>
  <c r="C14" i="4"/>
  <c r="D14" i="4"/>
  <c r="E14" i="4"/>
  <c r="F14" i="4"/>
  <c r="G14" i="4"/>
  <c r="C15" i="4"/>
  <c r="D15" i="4"/>
  <c r="E15" i="4"/>
  <c r="F15" i="4"/>
  <c r="G15" i="4"/>
  <c r="C16" i="4"/>
  <c r="D16" i="4"/>
  <c r="E16" i="4"/>
  <c r="F16" i="4"/>
  <c r="G16" i="4"/>
  <c r="C17" i="4"/>
  <c r="D17" i="4"/>
  <c r="E17" i="4"/>
  <c r="F17" i="4"/>
  <c r="G17" i="4"/>
  <c r="C18" i="4"/>
  <c r="D18" i="4"/>
  <c r="E18" i="4"/>
  <c r="F18" i="4"/>
  <c r="G18" i="4"/>
  <c r="C19" i="4"/>
  <c r="D19" i="4"/>
  <c r="E19" i="4"/>
  <c r="F19" i="4"/>
  <c r="G19" i="4"/>
  <c r="C20" i="4"/>
  <c r="D20" i="4"/>
  <c r="E20" i="4"/>
  <c r="F20" i="4"/>
  <c r="G20" i="4"/>
  <c r="C21" i="4"/>
  <c r="D21" i="4"/>
  <c r="E21" i="4"/>
  <c r="F21" i="4"/>
  <c r="G21" i="4"/>
  <c r="C22" i="4"/>
  <c r="D22" i="4"/>
  <c r="E22" i="4"/>
  <c r="F22" i="4"/>
  <c r="G22" i="4"/>
  <c r="C23" i="4"/>
  <c r="D23" i="4"/>
  <c r="E23" i="4"/>
  <c r="F23" i="4"/>
  <c r="G23" i="4"/>
  <c r="C24" i="4"/>
  <c r="D24" i="4"/>
  <c r="E24" i="4"/>
  <c r="F24" i="4"/>
  <c r="G24" i="4"/>
  <c r="C25" i="4"/>
  <c r="D25" i="4"/>
  <c r="E25" i="4"/>
  <c r="F25" i="4"/>
  <c r="G25" i="4"/>
  <c r="C26" i="4"/>
  <c r="D26" i="4"/>
  <c r="E26" i="4"/>
  <c r="F26" i="4"/>
  <c r="G26" i="4"/>
  <c r="C27" i="4"/>
  <c r="D27" i="4"/>
  <c r="E27" i="4"/>
  <c r="F27" i="4"/>
  <c r="G27" i="4"/>
  <c r="C28" i="4"/>
  <c r="D28" i="4"/>
  <c r="E28" i="4"/>
  <c r="F28" i="4"/>
  <c r="G28" i="4"/>
  <c r="C29" i="4"/>
  <c r="D29" i="4"/>
  <c r="E29" i="4"/>
  <c r="F29" i="4"/>
  <c r="G29" i="4"/>
  <c r="C30" i="4"/>
  <c r="D30" i="4"/>
  <c r="E30" i="4"/>
  <c r="F30" i="4"/>
  <c r="G30" i="4"/>
  <c r="C31" i="4"/>
  <c r="D31" i="4"/>
  <c r="E31" i="4"/>
  <c r="F31" i="4"/>
  <c r="G31" i="4"/>
  <c r="C32" i="4"/>
  <c r="D32" i="4"/>
  <c r="E32" i="4"/>
  <c r="F32" i="4"/>
  <c r="G32" i="4"/>
  <c r="C33" i="4"/>
  <c r="D33" i="4"/>
  <c r="E33" i="4"/>
  <c r="F33" i="4"/>
  <c r="G33" i="4"/>
  <c r="C34" i="4"/>
  <c r="D34" i="4"/>
  <c r="E34" i="4"/>
  <c r="F34" i="4"/>
  <c r="G34" i="4"/>
  <c r="C35" i="4"/>
  <c r="D35" i="4"/>
  <c r="E35" i="4"/>
  <c r="F35" i="4"/>
  <c r="G35" i="4"/>
  <c r="C36" i="4"/>
  <c r="D36" i="4"/>
  <c r="E36" i="4"/>
  <c r="F36" i="4"/>
  <c r="G36" i="4"/>
  <c r="C37" i="4"/>
  <c r="D37" i="4"/>
  <c r="E37" i="4"/>
  <c r="F37" i="4"/>
  <c r="G37" i="4"/>
  <c r="C38" i="4"/>
  <c r="D38" i="4"/>
  <c r="E38" i="4"/>
  <c r="F38" i="4"/>
  <c r="G38" i="4"/>
  <c r="C39" i="4"/>
  <c r="D39" i="4"/>
  <c r="E39" i="4"/>
  <c r="F39" i="4"/>
  <c r="G39" i="4"/>
  <c r="C40" i="4"/>
  <c r="D40" i="4"/>
  <c r="E40" i="4"/>
  <c r="F40" i="4"/>
  <c r="G40" i="4"/>
  <c r="C41" i="4"/>
  <c r="D41" i="4"/>
  <c r="E41" i="4"/>
  <c r="F41" i="4"/>
  <c r="G41" i="4"/>
  <c r="C42" i="4"/>
  <c r="D42" i="4"/>
  <c r="E42" i="4"/>
  <c r="F42" i="4"/>
  <c r="G42" i="4"/>
  <c r="C43" i="4"/>
  <c r="D43" i="4"/>
  <c r="E43" i="4"/>
  <c r="F43" i="4"/>
  <c r="G43" i="4"/>
  <c r="C44" i="4"/>
  <c r="D44" i="4"/>
  <c r="E44" i="4"/>
  <c r="F44" i="4"/>
  <c r="G44" i="4"/>
  <c r="C45" i="4"/>
  <c r="D45" i="4"/>
  <c r="E45" i="4"/>
  <c r="F45" i="4"/>
  <c r="G45" i="4"/>
  <c r="C46" i="4"/>
  <c r="D46" i="4"/>
  <c r="E46" i="4"/>
  <c r="F46" i="4"/>
  <c r="G46" i="4"/>
  <c r="C47" i="4"/>
  <c r="D47" i="4"/>
  <c r="E47" i="4"/>
  <c r="F47" i="4"/>
  <c r="G47" i="4"/>
  <c r="C48" i="4"/>
  <c r="D48" i="4"/>
  <c r="E48" i="4"/>
  <c r="F48" i="4"/>
  <c r="G48" i="4"/>
  <c r="C49" i="4"/>
  <c r="D49" i="4"/>
  <c r="E49" i="4"/>
  <c r="F49" i="4"/>
  <c r="G49" i="4"/>
  <c r="C50" i="4"/>
  <c r="D50" i="4"/>
  <c r="E50" i="4"/>
  <c r="F50" i="4"/>
  <c r="G50" i="4"/>
  <c r="C51" i="4"/>
  <c r="D51" i="4"/>
  <c r="E51" i="4"/>
  <c r="F51" i="4"/>
  <c r="G51" i="4"/>
  <c r="C52" i="4"/>
  <c r="D52" i="4"/>
  <c r="E52" i="4"/>
  <c r="F52" i="4"/>
  <c r="G52" i="4"/>
  <c r="C53" i="4"/>
  <c r="D53" i="4"/>
  <c r="E53" i="4"/>
  <c r="F53" i="4"/>
  <c r="G53" i="4"/>
  <c r="C54" i="4"/>
  <c r="D54" i="4"/>
  <c r="E54" i="4"/>
  <c r="F54" i="4"/>
  <c r="G54" i="4"/>
  <c r="C55" i="4"/>
  <c r="D55" i="4"/>
  <c r="E55" i="4"/>
  <c r="F55" i="4"/>
  <c r="G55" i="4"/>
  <c r="C56" i="4"/>
  <c r="D56" i="4"/>
  <c r="E56" i="4"/>
  <c r="F56" i="4"/>
  <c r="G56" i="4"/>
  <c r="C57" i="4"/>
  <c r="D57" i="4"/>
  <c r="E57" i="4"/>
  <c r="F57" i="4"/>
  <c r="G57" i="4"/>
  <c r="C58" i="4"/>
  <c r="D58" i="4"/>
  <c r="E58" i="4"/>
  <c r="F58" i="4"/>
  <c r="G58" i="4"/>
  <c r="C59" i="4"/>
  <c r="D59" i="4"/>
  <c r="E59" i="4"/>
  <c r="F59" i="4"/>
  <c r="G59" i="4"/>
  <c r="C60" i="4"/>
  <c r="D60" i="4"/>
  <c r="E60" i="4"/>
  <c r="F60" i="4"/>
  <c r="G60" i="4"/>
  <c r="C61" i="4"/>
  <c r="D61" i="4"/>
  <c r="E61" i="4"/>
  <c r="F61" i="4"/>
  <c r="G61" i="4"/>
  <c r="C62" i="4"/>
  <c r="D62" i="4"/>
  <c r="E62" i="4"/>
  <c r="F62" i="4"/>
  <c r="G62" i="4"/>
  <c r="C63" i="4"/>
  <c r="D63" i="4"/>
  <c r="E63" i="4"/>
  <c r="F63" i="4"/>
  <c r="G63" i="4"/>
  <c r="C64" i="4"/>
  <c r="D64" i="4"/>
  <c r="E64" i="4"/>
  <c r="F64" i="4"/>
  <c r="G64" i="4"/>
  <c r="C65" i="4"/>
  <c r="D65" i="4"/>
  <c r="E65" i="4"/>
  <c r="F65" i="4"/>
  <c r="G65" i="4"/>
  <c r="C66" i="4"/>
  <c r="D66" i="4"/>
  <c r="E66" i="4"/>
  <c r="F66" i="4"/>
  <c r="G66" i="4"/>
  <c r="C67" i="4"/>
  <c r="D67" i="4"/>
  <c r="E67" i="4"/>
  <c r="F67" i="4"/>
  <c r="G67" i="4"/>
  <c r="C68" i="4"/>
  <c r="D68" i="4"/>
  <c r="E68" i="4"/>
  <c r="F68" i="4"/>
  <c r="G68" i="4"/>
  <c r="C69" i="4"/>
  <c r="D69" i="4"/>
  <c r="E69" i="4"/>
  <c r="F69" i="4"/>
  <c r="G69" i="4"/>
  <c r="C70" i="4"/>
  <c r="D70" i="4"/>
  <c r="E70" i="4"/>
  <c r="F70" i="4"/>
  <c r="G70" i="4"/>
  <c r="C71" i="4"/>
  <c r="D71" i="4"/>
  <c r="E71" i="4"/>
  <c r="F71" i="4"/>
  <c r="G71" i="4"/>
  <c r="C72" i="4"/>
  <c r="D72" i="4"/>
  <c r="E72" i="4"/>
  <c r="F72" i="4"/>
  <c r="G72" i="4"/>
  <c r="C73" i="4"/>
  <c r="D73" i="4"/>
  <c r="E73" i="4"/>
  <c r="F73" i="4"/>
  <c r="G73" i="4"/>
  <c r="C74" i="4"/>
  <c r="D74" i="4"/>
  <c r="E74" i="4"/>
  <c r="F74" i="4"/>
  <c r="G74" i="4"/>
  <c r="C75" i="4"/>
  <c r="D75" i="4"/>
  <c r="E75" i="4"/>
  <c r="F75" i="4"/>
  <c r="G75" i="4"/>
  <c r="C76" i="4"/>
  <c r="D76" i="4"/>
  <c r="E76" i="4"/>
  <c r="F76" i="4"/>
  <c r="G76" i="4"/>
  <c r="C77" i="4"/>
  <c r="D77" i="4"/>
  <c r="E77" i="4"/>
  <c r="F77" i="4"/>
  <c r="G77" i="4"/>
  <c r="G2" i="4"/>
  <c r="F2" i="4"/>
  <c r="E2" i="4"/>
  <c r="D2" i="4"/>
  <c r="C2" i="4"/>
  <c r="H1" i="4"/>
  <c r="G1" i="4"/>
  <c r="F1" i="4"/>
  <c r="E1" i="4"/>
  <c r="D1" i="4"/>
  <c r="C1" i="4"/>
  <c r="B1" i="4"/>
  <c r="H1" i="3"/>
  <c r="G1" i="3"/>
  <c r="F1" i="3"/>
  <c r="C3" i="3"/>
  <c r="D3" i="3"/>
  <c r="E3" i="3"/>
  <c r="F3" i="3"/>
  <c r="G3" i="3"/>
  <c r="C4" i="3"/>
  <c r="D4" i="3"/>
  <c r="E4" i="3"/>
  <c r="F4" i="3"/>
  <c r="G4" i="3"/>
  <c r="C5" i="3"/>
  <c r="D5" i="3"/>
  <c r="E5" i="3"/>
  <c r="F5" i="3"/>
  <c r="G5" i="3"/>
  <c r="D6" i="3"/>
  <c r="E6" i="3"/>
  <c r="F6" i="3"/>
  <c r="G6" i="3"/>
  <c r="C8" i="3"/>
  <c r="D8" i="3"/>
  <c r="E8" i="3"/>
  <c r="F8" i="3"/>
  <c r="G8" i="3"/>
  <c r="C9" i="3"/>
  <c r="D9" i="3"/>
  <c r="E9" i="3"/>
  <c r="F9" i="3"/>
  <c r="G9" i="3"/>
  <c r="C10" i="3"/>
  <c r="D10" i="3"/>
  <c r="E10" i="3"/>
  <c r="F10" i="3"/>
  <c r="G10" i="3"/>
  <c r="C11" i="3"/>
  <c r="D11" i="3"/>
  <c r="E11" i="3"/>
  <c r="F11" i="3"/>
  <c r="G11" i="3"/>
  <c r="C12" i="3"/>
  <c r="D12" i="3"/>
  <c r="E12" i="3"/>
  <c r="F12" i="3"/>
  <c r="G12" i="3"/>
  <c r="C13" i="3"/>
  <c r="D13" i="3"/>
  <c r="E13" i="3"/>
  <c r="F13" i="3"/>
  <c r="G13" i="3"/>
  <c r="C14" i="3"/>
  <c r="D14" i="3"/>
  <c r="E14" i="3"/>
  <c r="F14" i="3"/>
  <c r="G14" i="3"/>
  <c r="C15" i="3"/>
  <c r="D15" i="3"/>
  <c r="E15" i="3"/>
  <c r="F15" i="3"/>
  <c r="G15" i="3"/>
  <c r="C16" i="3"/>
  <c r="D16" i="3"/>
  <c r="E16" i="3"/>
  <c r="F16" i="3"/>
  <c r="G16" i="3"/>
  <c r="C17" i="3"/>
  <c r="D17" i="3"/>
  <c r="E17" i="3"/>
  <c r="F17" i="3"/>
  <c r="G17" i="3"/>
  <c r="C18" i="3"/>
  <c r="D18" i="3"/>
  <c r="E18" i="3"/>
  <c r="F18" i="3"/>
  <c r="G18" i="3"/>
  <c r="C19" i="3"/>
  <c r="D19" i="3"/>
  <c r="E19" i="3"/>
  <c r="F19" i="3"/>
  <c r="G19" i="3"/>
  <c r="C20" i="3"/>
  <c r="D20" i="3"/>
  <c r="E20" i="3"/>
  <c r="F20" i="3"/>
  <c r="G20" i="3"/>
  <c r="C21" i="3"/>
  <c r="D21" i="3"/>
  <c r="E21" i="3"/>
  <c r="F21" i="3"/>
  <c r="G21" i="3"/>
  <c r="C22" i="3"/>
  <c r="D22" i="3"/>
  <c r="E22" i="3"/>
  <c r="F22" i="3"/>
  <c r="G22" i="3"/>
  <c r="C23" i="3"/>
  <c r="D23" i="3"/>
  <c r="E23" i="3"/>
  <c r="F23" i="3"/>
  <c r="G23" i="3"/>
  <c r="C24" i="3"/>
  <c r="D24" i="3"/>
  <c r="E24" i="3"/>
  <c r="F24" i="3"/>
  <c r="G24" i="3"/>
  <c r="C25" i="3"/>
  <c r="D25" i="3"/>
  <c r="E25" i="3"/>
  <c r="F25" i="3"/>
  <c r="G25" i="3"/>
  <c r="C26" i="3"/>
  <c r="D26" i="3"/>
  <c r="E26" i="3"/>
  <c r="F26" i="3"/>
  <c r="G26" i="3"/>
  <c r="C27" i="3"/>
  <c r="D27" i="3"/>
  <c r="E27" i="3"/>
  <c r="F27" i="3"/>
  <c r="G27" i="3"/>
  <c r="C28" i="3"/>
  <c r="D28" i="3"/>
  <c r="E28" i="3"/>
  <c r="F28" i="3"/>
  <c r="G28" i="3"/>
  <c r="C29" i="3"/>
  <c r="D29" i="3"/>
  <c r="E29" i="3"/>
  <c r="F29" i="3"/>
  <c r="G29" i="3"/>
  <c r="C30" i="3"/>
  <c r="D30" i="3"/>
  <c r="E30" i="3"/>
  <c r="F30" i="3"/>
  <c r="G30" i="3"/>
  <c r="C31" i="3"/>
  <c r="D31" i="3"/>
  <c r="E31" i="3"/>
  <c r="F31" i="3"/>
  <c r="G31" i="3"/>
  <c r="C32" i="3"/>
  <c r="D32" i="3"/>
  <c r="E32" i="3"/>
  <c r="F32" i="3"/>
  <c r="G32" i="3"/>
  <c r="C33" i="3"/>
  <c r="D33" i="3"/>
  <c r="E33" i="3"/>
  <c r="F33" i="3"/>
  <c r="G33" i="3"/>
  <c r="C34" i="3"/>
  <c r="D34" i="3"/>
  <c r="E34" i="3"/>
  <c r="F34" i="3"/>
  <c r="G34" i="3"/>
  <c r="C35" i="3"/>
  <c r="D35" i="3"/>
  <c r="E35" i="3"/>
  <c r="F35" i="3"/>
  <c r="G35" i="3"/>
  <c r="C36" i="3"/>
  <c r="D36" i="3"/>
  <c r="E36" i="3"/>
  <c r="F36" i="3"/>
  <c r="G36" i="3"/>
  <c r="C37" i="3"/>
  <c r="D37" i="3"/>
  <c r="E37" i="3"/>
  <c r="F37" i="3"/>
  <c r="G37" i="3"/>
  <c r="C38" i="3"/>
  <c r="D38" i="3"/>
  <c r="E38" i="3"/>
  <c r="F38" i="3"/>
  <c r="G38" i="3"/>
  <c r="C39" i="3"/>
  <c r="D39" i="3"/>
  <c r="E39" i="3"/>
  <c r="F39" i="3"/>
  <c r="G39" i="3"/>
  <c r="C40" i="3"/>
  <c r="D40" i="3"/>
  <c r="E40" i="3"/>
  <c r="F40" i="3"/>
  <c r="G40" i="3"/>
  <c r="C41" i="3"/>
  <c r="D41" i="3"/>
  <c r="E41" i="3"/>
  <c r="F41" i="3"/>
  <c r="G41" i="3"/>
  <c r="C42" i="3"/>
  <c r="D42" i="3"/>
  <c r="E42" i="3"/>
  <c r="F42" i="3"/>
  <c r="G42" i="3"/>
  <c r="C43" i="3"/>
  <c r="D43" i="3"/>
  <c r="E43" i="3"/>
  <c r="F43" i="3"/>
  <c r="G43" i="3"/>
  <c r="C44" i="3"/>
  <c r="D44" i="3"/>
  <c r="E44" i="3"/>
  <c r="F44" i="3"/>
  <c r="G44" i="3"/>
  <c r="C45" i="3"/>
  <c r="D45" i="3"/>
  <c r="E45" i="3"/>
  <c r="F45" i="3"/>
  <c r="G45" i="3"/>
  <c r="C46" i="3"/>
  <c r="D46" i="3"/>
  <c r="E46" i="3"/>
  <c r="F46" i="3"/>
  <c r="G46" i="3"/>
  <c r="C47" i="3"/>
  <c r="D47" i="3"/>
  <c r="E47" i="3"/>
  <c r="F47" i="3"/>
  <c r="G47" i="3"/>
  <c r="C48" i="3"/>
  <c r="D48" i="3"/>
  <c r="E48" i="3"/>
  <c r="F48" i="3"/>
  <c r="G48" i="3"/>
  <c r="C49" i="3"/>
  <c r="D49" i="3"/>
  <c r="E49" i="3"/>
  <c r="F49" i="3"/>
  <c r="G49" i="3"/>
  <c r="C50" i="3"/>
  <c r="D50" i="3"/>
  <c r="E50" i="3"/>
  <c r="F50" i="3"/>
  <c r="G50" i="3"/>
  <c r="C51" i="3"/>
  <c r="D51" i="3"/>
  <c r="E51" i="3"/>
  <c r="F51" i="3"/>
  <c r="G51" i="3"/>
  <c r="C52" i="3"/>
  <c r="D52" i="3"/>
  <c r="E52" i="3"/>
  <c r="F52" i="3"/>
  <c r="G52" i="3"/>
  <c r="C53" i="3"/>
  <c r="D53" i="3"/>
  <c r="E53" i="3"/>
  <c r="F53" i="3"/>
  <c r="G53" i="3"/>
  <c r="C54" i="3"/>
  <c r="D54" i="3"/>
  <c r="E54" i="3"/>
  <c r="F54" i="3"/>
  <c r="G54" i="3"/>
  <c r="C55" i="3"/>
  <c r="D55" i="3"/>
  <c r="E55" i="3"/>
  <c r="F55" i="3"/>
  <c r="G55" i="3"/>
  <c r="C56" i="3"/>
  <c r="D56" i="3"/>
  <c r="E56" i="3"/>
  <c r="F56" i="3"/>
  <c r="G56" i="3"/>
  <c r="C57" i="3"/>
  <c r="D57" i="3"/>
  <c r="E57" i="3"/>
  <c r="F57" i="3"/>
  <c r="G57" i="3"/>
  <c r="C58" i="3"/>
  <c r="D58" i="3"/>
  <c r="E58" i="3"/>
  <c r="F58" i="3"/>
  <c r="G58" i="3"/>
  <c r="C59" i="3"/>
  <c r="D59" i="3"/>
  <c r="E59" i="3"/>
  <c r="F59" i="3"/>
  <c r="G59" i="3"/>
  <c r="C60" i="3"/>
  <c r="D60" i="3"/>
  <c r="E60" i="3"/>
  <c r="F60" i="3"/>
  <c r="G60" i="3"/>
  <c r="C61" i="3"/>
  <c r="D61" i="3"/>
  <c r="E61" i="3"/>
  <c r="F61" i="3"/>
  <c r="G61" i="3"/>
  <c r="C62" i="3"/>
  <c r="D62" i="3"/>
  <c r="E62" i="3"/>
  <c r="F62" i="3"/>
  <c r="G62" i="3"/>
  <c r="C63" i="3"/>
  <c r="D63" i="3"/>
  <c r="E63" i="3"/>
  <c r="F63" i="3"/>
  <c r="G63" i="3"/>
  <c r="C64" i="3"/>
  <c r="D64" i="3"/>
  <c r="E64" i="3"/>
  <c r="F64" i="3"/>
  <c r="G64" i="3"/>
  <c r="C65" i="3"/>
  <c r="D65" i="3"/>
  <c r="E65" i="3"/>
  <c r="F65" i="3"/>
  <c r="G65" i="3"/>
  <c r="C66" i="3"/>
  <c r="D66" i="3"/>
  <c r="E66" i="3"/>
  <c r="F66" i="3"/>
  <c r="G66" i="3"/>
  <c r="C67" i="3"/>
  <c r="D67" i="3"/>
  <c r="E67" i="3"/>
  <c r="F67" i="3"/>
  <c r="G67" i="3"/>
  <c r="C68" i="3"/>
  <c r="D68" i="3"/>
  <c r="E68" i="3"/>
  <c r="F68" i="3"/>
  <c r="G68" i="3"/>
  <c r="C69" i="3"/>
  <c r="D69" i="3"/>
  <c r="E69" i="3"/>
  <c r="F69" i="3"/>
  <c r="G69" i="3"/>
  <c r="C70" i="3"/>
  <c r="D70" i="3"/>
  <c r="E70" i="3"/>
  <c r="F70" i="3"/>
  <c r="G70" i="3"/>
  <c r="C71" i="3"/>
  <c r="D71" i="3"/>
  <c r="E71" i="3"/>
  <c r="F71" i="3"/>
  <c r="G71" i="3"/>
  <c r="C72" i="3"/>
  <c r="D72" i="3"/>
  <c r="E72" i="3"/>
  <c r="F72" i="3"/>
  <c r="G72" i="3"/>
  <c r="C73" i="3"/>
  <c r="D73" i="3"/>
  <c r="E73" i="3"/>
  <c r="F73" i="3"/>
  <c r="G73" i="3"/>
  <c r="C74" i="3"/>
  <c r="D74" i="3"/>
  <c r="E74" i="3"/>
  <c r="F74" i="3"/>
  <c r="G74" i="3"/>
  <c r="C75" i="3"/>
  <c r="D75" i="3"/>
  <c r="E75" i="3"/>
  <c r="F75" i="3"/>
  <c r="G75" i="3"/>
  <c r="C76" i="3"/>
  <c r="D76" i="3"/>
  <c r="E76" i="3"/>
  <c r="F76" i="3"/>
  <c r="G76" i="3"/>
  <c r="C77" i="3"/>
  <c r="D77" i="3"/>
  <c r="E77" i="3"/>
  <c r="F77" i="3"/>
  <c r="G77" i="3"/>
  <c r="G2" i="3"/>
  <c r="F2" i="3"/>
  <c r="E2" i="3"/>
  <c r="D2" i="3"/>
  <c r="C2" i="3"/>
  <c r="B1" i="3"/>
  <c r="C1" i="3"/>
  <c r="D1" i="3"/>
  <c r="E1" i="3"/>
  <c r="A1" i="3"/>
  <c r="C4" i="1"/>
  <c r="D4" i="1"/>
  <c r="E4" i="1"/>
  <c r="F4" i="1"/>
  <c r="G4" i="1"/>
  <c r="C5" i="1"/>
  <c r="D5" i="1"/>
  <c r="E5" i="1"/>
  <c r="F5" i="1"/>
  <c r="G5" i="1"/>
  <c r="C6" i="1"/>
  <c r="D6" i="1"/>
  <c r="E6" i="1"/>
  <c r="F6" i="1"/>
  <c r="G6" i="1"/>
  <c r="C9" i="1"/>
  <c r="D9" i="1"/>
  <c r="E9" i="1"/>
  <c r="F9" i="1"/>
  <c r="G9" i="1"/>
  <c r="C10" i="1"/>
  <c r="D10" i="1"/>
  <c r="E10" i="1"/>
  <c r="F10" i="1"/>
  <c r="G10" i="1"/>
  <c r="C11" i="1"/>
  <c r="D11" i="1"/>
  <c r="E11" i="1"/>
  <c r="F11" i="1"/>
  <c r="G11" i="1"/>
  <c r="C12" i="1"/>
  <c r="D12" i="1"/>
  <c r="E12" i="1"/>
  <c r="F12" i="1"/>
  <c r="G12" i="1"/>
  <c r="C13" i="1"/>
  <c r="D13" i="1"/>
  <c r="E13" i="1"/>
  <c r="F13" i="1"/>
  <c r="G13" i="1"/>
  <c r="C14" i="1"/>
  <c r="D14" i="1"/>
  <c r="E14" i="1"/>
  <c r="F14" i="1"/>
  <c r="G14" i="1"/>
  <c r="C15" i="1"/>
  <c r="D15" i="1"/>
  <c r="E15" i="1"/>
  <c r="F15" i="1"/>
  <c r="G15" i="1"/>
  <c r="C16" i="1"/>
  <c r="D16" i="1"/>
  <c r="E16" i="1"/>
  <c r="F16" i="1"/>
  <c r="G16" i="1"/>
  <c r="C17" i="1"/>
  <c r="D17" i="1"/>
  <c r="E17" i="1"/>
  <c r="F17" i="1"/>
  <c r="G17" i="1"/>
  <c r="C18" i="1"/>
  <c r="D18" i="1"/>
  <c r="E18" i="1"/>
  <c r="F18" i="1"/>
  <c r="G18" i="1"/>
  <c r="C19" i="1"/>
  <c r="D19" i="1"/>
  <c r="E19" i="1"/>
  <c r="F19" i="1"/>
  <c r="G19" i="1"/>
  <c r="C20" i="1"/>
  <c r="D20" i="1"/>
  <c r="E20" i="1"/>
  <c r="F20" i="1"/>
  <c r="G20" i="1"/>
  <c r="C21" i="1"/>
  <c r="D21" i="1"/>
  <c r="E21" i="1"/>
  <c r="F21" i="1"/>
  <c r="G21" i="1"/>
  <c r="C22" i="1"/>
  <c r="D22" i="1"/>
  <c r="E22" i="1"/>
  <c r="F22" i="1"/>
  <c r="G22" i="1"/>
  <c r="C23" i="1"/>
  <c r="D23" i="1"/>
  <c r="E23" i="1"/>
  <c r="F23" i="1"/>
  <c r="G23" i="1"/>
  <c r="C24" i="1"/>
  <c r="D24" i="1"/>
  <c r="E24" i="1"/>
  <c r="F24" i="1"/>
  <c r="G24" i="1"/>
  <c r="C25" i="1"/>
  <c r="D25" i="1"/>
  <c r="E25" i="1"/>
  <c r="F25" i="1"/>
  <c r="G25" i="1"/>
  <c r="C26" i="1"/>
  <c r="D26" i="1"/>
  <c r="E26" i="1"/>
  <c r="F26" i="1"/>
  <c r="G26" i="1"/>
  <c r="C27" i="1"/>
  <c r="D27" i="1"/>
  <c r="E27" i="1"/>
  <c r="F27" i="1"/>
  <c r="G27" i="1"/>
  <c r="C28" i="1"/>
  <c r="D28" i="1"/>
  <c r="E28" i="1"/>
  <c r="F28" i="1"/>
  <c r="G28" i="1"/>
  <c r="C29" i="1"/>
  <c r="D29" i="1"/>
  <c r="E29" i="1"/>
  <c r="F29" i="1"/>
  <c r="G29" i="1"/>
  <c r="C30" i="1"/>
  <c r="D30" i="1"/>
  <c r="E30" i="1"/>
  <c r="F30" i="1"/>
  <c r="G30" i="1"/>
  <c r="C31" i="1"/>
  <c r="D31" i="1"/>
  <c r="E31" i="1"/>
  <c r="F31" i="1"/>
  <c r="G31" i="1"/>
  <c r="C32" i="1"/>
  <c r="D32" i="1"/>
  <c r="E32" i="1"/>
  <c r="F32" i="1"/>
  <c r="G32" i="1"/>
  <c r="C33" i="1"/>
  <c r="D33" i="1"/>
  <c r="E33" i="1"/>
  <c r="F33" i="1"/>
  <c r="G33" i="1"/>
  <c r="C34" i="1"/>
  <c r="D34" i="1"/>
  <c r="E34" i="1"/>
  <c r="F34" i="1"/>
  <c r="G34" i="1"/>
  <c r="C35" i="1"/>
  <c r="D35" i="1"/>
  <c r="E35" i="1"/>
  <c r="F35" i="1"/>
  <c r="G35" i="1"/>
  <c r="C36" i="1"/>
  <c r="D36" i="1"/>
  <c r="E36" i="1"/>
  <c r="F36" i="1"/>
  <c r="G36" i="1"/>
  <c r="C37" i="1"/>
  <c r="D37" i="1"/>
  <c r="E37" i="1"/>
  <c r="F37" i="1"/>
  <c r="G37" i="1"/>
  <c r="C38" i="1"/>
  <c r="D38" i="1"/>
  <c r="E38" i="1"/>
  <c r="F38" i="1"/>
  <c r="G38" i="1"/>
  <c r="C39" i="1"/>
  <c r="D39" i="1"/>
  <c r="E39" i="1"/>
  <c r="F39" i="1"/>
  <c r="G39" i="1"/>
  <c r="C40" i="1"/>
  <c r="D40" i="1"/>
  <c r="E40" i="1"/>
  <c r="F40" i="1"/>
  <c r="G40" i="1"/>
  <c r="C41" i="1"/>
  <c r="D41" i="1"/>
  <c r="E41" i="1"/>
  <c r="F41" i="1"/>
  <c r="G41" i="1"/>
  <c r="C42" i="1"/>
  <c r="D42" i="1"/>
  <c r="E42" i="1"/>
  <c r="F42" i="1"/>
  <c r="G42" i="1"/>
  <c r="C43" i="1"/>
  <c r="D43" i="1"/>
  <c r="E43" i="1"/>
  <c r="F43" i="1"/>
  <c r="G43" i="1"/>
  <c r="C44" i="1"/>
  <c r="D44" i="1"/>
  <c r="E44" i="1"/>
  <c r="F44" i="1"/>
  <c r="G44" i="1"/>
  <c r="C45" i="1"/>
  <c r="D45" i="1"/>
  <c r="E45" i="1"/>
  <c r="F45" i="1"/>
  <c r="G45" i="1"/>
  <c r="C46" i="1"/>
  <c r="D46" i="1"/>
  <c r="E46" i="1"/>
  <c r="F46" i="1"/>
  <c r="G46" i="1"/>
  <c r="C47" i="1"/>
  <c r="D47" i="1"/>
  <c r="E47" i="1"/>
  <c r="F47" i="1"/>
  <c r="G47" i="1"/>
  <c r="C48" i="1"/>
  <c r="D48" i="1"/>
  <c r="E48" i="1"/>
  <c r="F48" i="1"/>
  <c r="G48" i="1"/>
  <c r="C49" i="1"/>
  <c r="D49" i="1"/>
  <c r="E49" i="1"/>
  <c r="F49" i="1"/>
  <c r="G49" i="1"/>
  <c r="C50" i="1"/>
  <c r="D50" i="1"/>
  <c r="E50" i="1"/>
  <c r="F50" i="1"/>
  <c r="G50" i="1"/>
  <c r="C51" i="1"/>
  <c r="D51" i="1"/>
  <c r="E51" i="1"/>
  <c r="F51" i="1"/>
  <c r="G51" i="1"/>
  <c r="C52" i="1"/>
  <c r="D52" i="1"/>
  <c r="E52" i="1"/>
  <c r="F52" i="1"/>
  <c r="G52" i="1"/>
  <c r="C53" i="1"/>
  <c r="D53" i="1"/>
  <c r="E53" i="1"/>
  <c r="F53" i="1"/>
  <c r="G53" i="1"/>
  <c r="C54" i="1"/>
  <c r="D54" i="1"/>
  <c r="E54" i="1"/>
  <c r="F54" i="1"/>
  <c r="G54" i="1"/>
  <c r="C55" i="1"/>
  <c r="D55" i="1"/>
  <c r="E55" i="1"/>
  <c r="F55" i="1"/>
  <c r="G55" i="1"/>
  <c r="C56" i="1"/>
  <c r="D56" i="1"/>
  <c r="E56" i="1"/>
  <c r="F56" i="1"/>
  <c r="G56" i="1"/>
  <c r="C57" i="1"/>
  <c r="D57" i="1"/>
  <c r="E57" i="1"/>
  <c r="F57" i="1"/>
  <c r="G57" i="1"/>
  <c r="C58" i="1"/>
  <c r="D58" i="1"/>
  <c r="E58" i="1"/>
  <c r="F58" i="1"/>
  <c r="G58" i="1"/>
  <c r="C59" i="1"/>
  <c r="D59" i="1"/>
  <c r="E59" i="1"/>
  <c r="F59" i="1"/>
  <c r="G59" i="1"/>
  <c r="C60" i="1"/>
  <c r="D60" i="1"/>
  <c r="E60" i="1"/>
  <c r="F60" i="1"/>
  <c r="G60" i="1"/>
  <c r="C61" i="1"/>
  <c r="D61" i="1"/>
  <c r="E61" i="1"/>
  <c r="F61" i="1"/>
  <c r="G61" i="1"/>
  <c r="C62" i="1"/>
  <c r="D62" i="1"/>
  <c r="E62" i="1"/>
  <c r="F62" i="1"/>
  <c r="G62" i="1"/>
  <c r="C63" i="1"/>
  <c r="D63" i="1"/>
  <c r="E63" i="1"/>
  <c r="F63" i="1"/>
  <c r="G63" i="1"/>
  <c r="C64" i="1"/>
  <c r="D64" i="1"/>
  <c r="E64" i="1"/>
  <c r="F64" i="1"/>
  <c r="G64" i="1"/>
  <c r="C65" i="1"/>
  <c r="D65" i="1"/>
  <c r="E65" i="1"/>
  <c r="F65" i="1"/>
  <c r="G65" i="1"/>
  <c r="C66" i="1"/>
  <c r="D66" i="1"/>
  <c r="E66" i="1"/>
  <c r="F66" i="1"/>
  <c r="G66" i="1"/>
  <c r="C67" i="1"/>
  <c r="D67" i="1"/>
  <c r="E67" i="1"/>
  <c r="F67" i="1"/>
  <c r="G67" i="1"/>
  <c r="C68" i="1"/>
  <c r="D68" i="1"/>
  <c r="E68" i="1"/>
  <c r="F68" i="1"/>
  <c r="G68" i="1"/>
  <c r="C69" i="1"/>
  <c r="D69" i="1"/>
  <c r="E69" i="1"/>
  <c r="F69" i="1"/>
  <c r="G69" i="1"/>
  <c r="C70" i="1"/>
  <c r="D70" i="1"/>
  <c r="E70" i="1"/>
  <c r="F70" i="1"/>
  <c r="G70" i="1"/>
  <c r="C71" i="1"/>
  <c r="D71" i="1"/>
  <c r="E71" i="1"/>
  <c r="F71" i="1"/>
  <c r="G71" i="1"/>
  <c r="C72" i="1"/>
  <c r="D72" i="1"/>
  <c r="E72" i="1"/>
  <c r="F72" i="1"/>
  <c r="G72" i="1"/>
  <c r="C73" i="1"/>
  <c r="D73" i="1"/>
  <c r="E73" i="1"/>
  <c r="F73" i="1"/>
  <c r="G73" i="1"/>
  <c r="C74" i="1"/>
  <c r="D74" i="1"/>
  <c r="E74" i="1"/>
  <c r="F74" i="1"/>
  <c r="G74" i="1"/>
  <c r="C75" i="1"/>
  <c r="D75" i="1"/>
  <c r="E75" i="1"/>
  <c r="F75" i="1"/>
  <c r="G75" i="1"/>
  <c r="C76" i="1"/>
  <c r="D76" i="1"/>
  <c r="E76" i="1"/>
  <c r="F76" i="1"/>
  <c r="G76" i="1"/>
  <c r="C77" i="1"/>
  <c r="D77" i="1"/>
  <c r="E77" i="1"/>
  <c r="F77" i="1"/>
  <c r="G77" i="1"/>
  <c r="C78" i="1"/>
  <c r="D78" i="1"/>
  <c r="E78" i="1"/>
  <c r="F78" i="1"/>
  <c r="G78" i="1"/>
  <c r="E3" i="1"/>
  <c r="D3" i="1"/>
  <c r="C3" i="1"/>
  <c r="G3" i="1"/>
  <c r="F3" i="1"/>
  <c r="X2" i="24"/>
  <c r="Y2" i="24"/>
  <c r="Z2" i="24"/>
  <c r="AA2" i="24"/>
  <c r="AB2" i="24"/>
  <c r="AC2" i="24"/>
  <c r="AD2" i="24"/>
  <c r="H3" i="5" l="1"/>
  <c r="I3" i="5"/>
  <c r="J3" i="5"/>
  <c r="K3" i="5"/>
  <c r="L3" i="5"/>
  <c r="M3" i="5"/>
  <c r="N3" i="5"/>
  <c r="O3" i="5"/>
  <c r="P3" i="5"/>
  <c r="Q3" i="5"/>
  <c r="R3" i="5"/>
  <c r="S3" i="5"/>
  <c r="H4" i="5"/>
  <c r="I4" i="5"/>
  <c r="J4" i="5"/>
  <c r="K4" i="5"/>
  <c r="L4" i="5"/>
  <c r="M4" i="5"/>
  <c r="N4" i="5"/>
  <c r="O4" i="5"/>
  <c r="P4" i="5"/>
  <c r="Q4" i="5"/>
  <c r="R4" i="5"/>
  <c r="S4" i="5"/>
  <c r="H5" i="5"/>
  <c r="I5" i="5"/>
  <c r="J5" i="5"/>
  <c r="K5" i="5"/>
  <c r="L5" i="5"/>
  <c r="M5" i="5"/>
  <c r="N5" i="5"/>
  <c r="O5" i="5"/>
  <c r="P5" i="5"/>
  <c r="Q5" i="5"/>
  <c r="R5" i="5"/>
  <c r="S5" i="5"/>
  <c r="H6" i="5"/>
  <c r="I6" i="5"/>
  <c r="J6" i="5"/>
  <c r="K6" i="5"/>
  <c r="L6" i="5"/>
  <c r="M6" i="5"/>
  <c r="N6" i="5"/>
  <c r="O6" i="5"/>
  <c r="P6" i="5"/>
  <c r="Q6" i="5"/>
  <c r="R6" i="5"/>
  <c r="S6" i="5"/>
  <c r="H7" i="5"/>
  <c r="I7" i="5"/>
  <c r="J7" i="5"/>
  <c r="K7" i="5"/>
  <c r="L7" i="5"/>
  <c r="M7" i="5"/>
  <c r="N7" i="5"/>
  <c r="O7" i="5"/>
  <c r="P7" i="5"/>
  <c r="Q7" i="5"/>
  <c r="R7" i="5"/>
  <c r="S7" i="5"/>
  <c r="H8" i="5"/>
  <c r="I8" i="5"/>
  <c r="J8" i="5"/>
  <c r="K8" i="5"/>
  <c r="L8" i="5"/>
  <c r="M8" i="5"/>
  <c r="N8" i="5"/>
  <c r="O8" i="5"/>
  <c r="P8" i="5"/>
  <c r="Q8" i="5"/>
  <c r="R8" i="5"/>
  <c r="S8" i="5"/>
  <c r="H9" i="5"/>
  <c r="I9" i="5"/>
  <c r="J9" i="5"/>
  <c r="K9" i="5"/>
  <c r="L9" i="5"/>
  <c r="M9" i="5"/>
  <c r="N9" i="5"/>
  <c r="O9" i="5"/>
  <c r="P9" i="5"/>
  <c r="Q9" i="5"/>
  <c r="R9" i="5"/>
  <c r="S9" i="5"/>
  <c r="H10" i="5"/>
  <c r="I10" i="5"/>
  <c r="J10" i="5"/>
  <c r="K10" i="5"/>
  <c r="L10" i="5"/>
  <c r="M10" i="5"/>
  <c r="N10" i="5"/>
  <c r="O10" i="5"/>
  <c r="P10" i="5"/>
  <c r="Q10" i="5"/>
  <c r="R10" i="5"/>
  <c r="S10" i="5"/>
  <c r="H11" i="5"/>
  <c r="I11" i="5"/>
  <c r="J11" i="5"/>
  <c r="K11" i="5"/>
  <c r="L11" i="5"/>
  <c r="M11" i="5"/>
  <c r="N11" i="5"/>
  <c r="O11" i="5"/>
  <c r="P11" i="5"/>
  <c r="Q11" i="5"/>
  <c r="R11" i="5"/>
  <c r="S11" i="5"/>
  <c r="H12" i="5"/>
  <c r="I12" i="5"/>
  <c r="J12" i="5"/>
  <c r="K12" i="5"/>
  <c r="L12" i="5"/>
  <c r="M12" i="5"/>
  <c r="N12" i="5"/>
  <c r="O12" i="5"/>
  <c r="P12" i="5"/>
  <c r="Q12" i="5"/>
  <c r="R12" i="5"/>
  <c r="S12" i="5"/>
  <c r="H13" i="5"/>
  <c r="I13" i="5"/>
  <c r="J13" i="5"/>
  <c r="K13" i="5"/>
  <c r="L13" i="5"/>
  <c r="M13" i="5"/>
  <c r="N13" i="5"/>
  <c r="O13" i="5"/>
  <c r="P13" i="5"/>
  <c r="Q13" i="5"/>
  <c r="R13" i="5"/>
  <c r="S13" i="5"/>
  <c r="H14" i="5"/>
  <c r="I14" i="5"/>
  <c r="J14" i="5"/>
  <c r="K14" i="5"/>
  <c r="L14" i="5"/>
  <c r="M14" i="5"/>
  <c r="N14" i="5"/>
  <c r="O14" i="5"/>
  <c r="P14" i="5"/>
  <c r="Q14" i="5"/>
  <c r="R14" i="5"/>
  <c r="S14" i="5"/>
  <c r="H15" i="5"/>
  <c r="I15" i="5"/>
  <c r="J15" i="5"/>
  <c r="K15" i="5"/>
  <c r="L15" i="5"/>
  <c r="M15" i="5"/>
  <c r="N15" i="5"/>
  <c r="O15" i="5"/>
  <c r="P15" i="5"/>
  <c r="Q15" i="5"/>
  <c r="R15" i="5"/>
  <c r="S15" i="5"/>
  <c r="H16" i="5"/>
  <c r="I16" i="5"/>
  <c r="J16" i="5"/>
  <c r="K16" i="5"/>
  <c r="L16" i="5"/>
  <c r="M16" i="5"/>
  <c r="N16" i="5"/>
  <c r="O16" i="5"/>
  <c r="P16" i="5"/>
  <c r="Q16" i="5"/>
  <c r="R16" i="5"/>
  <c r="S16" i="5"/>
  <c r="H17" i="5"/>
  <c r="I17" i="5"/>
  <c r="J17" i="5"/>
  <c r="K17" i="5"/>
  <c r="L17" i="5"/>
  <c r="M17" i="5"/>
  <c r="N17" i="5"/>
  <c r="O17" i="5"/>
  <c r="P17" i="5"/>
  <c r="Q17" i="5"/>
  <c r="R17" i="5"/>
  <c r="S17" i="5"/>
  <c r="H18" i="5"/>
  <c r="I18" i="5"/>
  <c r="J18" i="5"/>
  <c r="K18" i="5"/>
  <c r="L18" i="5"/>
  <c r="M18" i="5"/>
  <c r="N18" i="5"/>
  <c r="O18" i="5"/>
  <c r="P18" i="5"/>
  <c r="Q18" i="5"/>
  <c r="R18" i="5"/>
  <c r="S18" i="5"/>
  <c r="H19" i="5"/>
  <c r="I19" i="5"/>
  <c r="J19" i="5"/>
  <c r="K19" i="5"/>
  <c r="L19" i="5"/>
  <c r="M19" i="5"/>
  <c r="N19" i="5"/>
  <c r="O19" i="5"/>
  <c r="P19" i="5"/>
  <c r="Q19" i="5"/>
  <c r="R19" i="5"/>
  <c r="S19" i="5"/>
  <c r="H20" i="5"/>
  <c r="I20" i="5"/>
  <c r="J20" i="5"/>
  <c r="K20" i="5"/>
  <c r="L20" i="5"/>
  <c r="M20" i="5"/>
  <c r="N20" i="5"/>
  <c r="O20" i="5"/>
  <c r="P20" i="5"/>
  <c r="Q20" i="5"/>
  <c r="R20" i="5"/>
  <c r="S20" i="5"/>
  <c r="H21" i="5"/>
  <c r="I21" i="5"/>
  <c r="J21" i="5"/>
  <c r="K21" i="5"/>
  <c r="L21" i="5"/>
  <c r="M21" i="5"/>
  <c r="N21" i="5"/>
  <c r="O21" i="5"/>
  <c r="P21" i="5"/>
  <c r="Q21" i="5"/>
  <c r="R21" i="5"/>
  <c r="S21" i="5"/>
  <c r="H22" i="5"/>
  <c r="I22" i="5"/>
  <c r="J22" i="5"/>
  <c r="K22" i="5"/>
  <c r="L22" i="5"/>
  <c r="M22" i="5"/>
  <c r="N22" i="5"/>
  <c r="O22" i="5"/>
  <c r="P22" i="5"/>
  <c r="Q22" i="5"/>
  <c r="R22" i="5"/>
  <c r="S22" i="5"/>
  <c r="H23" i="5"/>
  <c r="I23" i="5"/>
  <c r="J23" i="5"/>
  <c r="K23" i="5"/>
  <c r="L23" i="5"/>
  <c r="M23" i="5"/>
  <c r="N23" i="5"/>
  <c r="O23" i="5"/>
  <c r="P23" i="5"/>
  <c r="Q23" i="5"/>
  <c r="R23" i="5"/>
  <c r="S23" i="5"/>
  <c r="H24" i="5"/>
  <c r="I24" i="5"/>
  <c r="J24" i="5"/>
  <c r="K24" i="5"/>
  <c r="L24" i="5"/>
  <c r="M24" i="5"/>
  <c r="N24" i="5"/>
  <c r="O24" i="5"/>
  <c r="P24" i="5"/>
  <c r="Q24" i="5"/>
  <c r="R24" i="5"/>
  <c r="S24" i="5"/>
  <c r="H25" i="5"/>
  <c r="I25" i="5"/>
  <c r="J25" i="5"/>
  <c r="K25" i="5"/>
  <c r="L25" i="5"/>
  <c r="M25" i="5"/>
  <c r="N25" i="5"/>
  <c r="O25" i="5"/>
  <c r="P25" i="5"/>
  <c r="Q25" i="5"/>
  <c r="R25" i="5"/>
  <c r="S25" i="5"/>
  <c r="H26" i="5"/>
  <c r="I26" i="5"/>
  <c r="J26" i="5"/>
  <c r="K26" i="5"/>
  <c r="L26" i="5"/>
  <c r="M26" i="5"/>
  <c r="N26" i="5"/>
  <c r="O26" i="5"/>
  <c r="P26" i="5"/>
  <c r="Q26" i="5"/>
  <c r="R26" i="5"/>
  <c r="S26" i="5"/>
  <c r="H27" i="5"/>
  <c r="I27" i="5"/>
  <c r="J27" i="5"/>
  <c r="K27" i="5"/>
  <c r="L27" i="5"/>
  <c r="M27" i="5"/>
  <c r="N27" i="5"/>
  <c r="O27" i="5"/>
  <c r="P27" i="5"/>
  <c r="Q27" i="5"/>
  <c r="R27" i="5"/>
  <c r="S27" i="5"/>
  <c r="H28" i="5"/>
  <c r="I28" i="5"/>
  <c r="J28" i="5"/>
  <c r="K28" i="5"/>
  <c r="L28" i="5"/>
  <c r="M28" i="5"/>
  <c r="N28" i="5"/>
  <c r="O28" i="5"/>
  <c r="P28" i="5"/>
  <c r="Q28" i="5"/>
  <c r="R28" i="5"/>
  <c r="S28" i="5"/>
  <c r="H29" i="5"/>
  <c r="I29" i="5"/>
  <c r="J29" i="5"/>
  <c r="K29" i="5"/>
  <c r="L29" i="5"/>
  <c r="M29" i="5"/>
  <c r="N29" i="5"/>
  <c r="O29" i="5"/>
  <c r="P29" i="5"/>
  <c r="Q29" i="5"/>
  <c r="R29" i="5"/>
  <c r="S29" i="5"/>
  <c r="H30" i="5"/>
  <c r="I30" i="5"/>
  <c r="J30" i="5"/>
  <c r="K30" i="5"/>
  <c r="L30" i="5"/>
  <c r="M30" i="5"/>
  <c r="N30" i="5"/>
  <c r="O30" i="5"/>
  <c r="P30" i="5"/>
  <c r="Q30" i="5"/>
  <c r="R30" i="5"/>
  <c r="S30" i="5"/>
  <c r="H31" i="5"/>
  <c r="I31" i="5"/>
  <c r="J31" i="5"/>
  <c r="K31" i="5"/>
  <c r="L31" i="5"/>
  <c r="M31" i="5"/>
  <c r="N31" i="5"/>
  <c r="O31" i="5"/>
  <c r="P31" i="5"/>
  <c r="Q31" i="5"/>
  <c r="R31" i="5"/>
  <c r="S31" i="5"/>
  <c r="H32" i="5"/>
  <c r="I32" i="5"/>
  <c r="J32" i="5"/>
  <c r="K32" i="5"/>
  <c r="L32" i="5"/>
  <c r="M32" i="5"/>
  <c r="N32" i="5"/>
  <c r="O32" i="5"/>
  <c r="P32" i="5"/>
  <c r="Q32" i="5"/>
  <c r="R32" i="5"/>
  <c r="S32" i="5"/>
  <c r="H33" i="5"/>
  <c r="I33" i="5"/>
  <c r="J33" i="5"/>
  <c r="K33" i="5"/>
  <c r="L33" i="5"/>
  <c r="M33" i="5"/>
  <c r="N33" i="5"/>
  <c r="O33" i="5"/>
  <c r="P33" i="5"/>
  <c r="Q33" i="5"/>
  <c r="R33" i="5"/>
  <c r="S33" i="5"/>
  <c r="H34" i="5"/>
  <c r="I34" i="5"/>
  <c r="J34" i="5"/>
  <c r="K34" i="5"/>
  <c r="L34" i="5"/>
  <c r="M34" i="5"/>
  <c r="N34" i="5"/>
  <c r="O34" i="5"/>
  <c r="P34" i="5"/>
  <c r="Q34" i="5"/>
  <c r="R34" i="5"/>
  <c r="S34" i="5"/>
  <c r="H35" i="5"/>
  <c r="I35" i="5"/>
  <c r="J35" i="5"/>
  <c r="K35" i="5"/>
  <c r="L35" i="5"/>
  <c r="M35" i="5"/>
  <c r="N35" i="5"/>
  <c r="O35" i="5"/>
  <c r="P35" i="5"/>
  <c r="Q35" i="5"/>
  <c r="R35" i="5"/>
  <c r="S35" i="5"/>
  <c r="H36" i="5"/>
  <c r="I36" i="5"/>
  <c r="J36" i="5"/>
  <c r="K36" i="5"/>
  <c r="L36" i="5"/>
  <c r="M36" i="5"/>
  <c r="N36" i="5"/>
  <c r="O36" i="5"/>
  <c r="P36" i="5"/>
  <c r="Q36" i="5"/>
  <c r="R36" i="5"/>
  <c r="S36" i="5"/>
  <c r="H37" i="5"/>
  <c r="I37" i="5"/>
  <c r="J37" i="5"/>
  <c r="K37" i="5"/>
  <c r="L37" i="5"/>
  <c r="M37" i="5"/>
  <c r="N37" i="5"/>
  <c r="O37" i="5"/>
  <c r="P37" i="5"/>
  <c r="Q37" i="5"/>
  <c r="R37" i="5"/>
  <c r="S37" i="5"/>
  <c r="H38" i="5"/>
  <c r="I38" i="5"/>
  <c r="J38" i="5"/>
  <c r="K38" i="5"/>
  <c r="L38" i="5"/>
  <c r="M38" i="5"/>
  <c r="N38" i="5"/>
  <c r="O38" i="5"/>
  <c r="P38" i="5"/>
  <c r="Q38" i="5"/>
  <c r="R38" i="5"/>
  <c r="S38" i="5"/>
  <c r="H39" i="5"/>
  <c r="I39" i="5"/>
  <c r="J39" i="5"/>
  <c r="K39" i="5"/>
  <c r="L39" i="5"/>
  <c r="M39" i="5"/>
  <c r="N39" i="5"/>
  <c r="O39" i="5"/>
  <c r="P39" i="5"/>
  <c r="Q39" i="5"/>
  <c r="R39" i="5"/>
  <c r="S39" i="5"/>
  <c r="H40" i="5"/>
  <c r="I40" i="5"/>
  <c r="J40" i="5"/>
  <c r="K40" i="5"/>
  <c r="L40" i="5"/>
  <c r="M40" i="5"/>
  <c r="N40" i="5"/>
  <c r="O40" i="5"/>
  <c r="P40" i="5"/>
  <c r="Q40" i="5"/>
  <c r="R40" i="5"/>
  <c r="S40" i="5"/>
  <c r="H41" i="5"/>
  <c r="I41" i="5"/>
  <c r="J41" i="5"/>
  <c r="K41" i="5"/>
  <c r="L41" i="5"/>
  <c r="M41" i="5"/>
  <c r="N41" i="5"/>
  <c r="O41" i="5"/>
  <c r="P41" i="5"/>
  <c r="Q41" i="5"/>
  <c r="R41" i="5"/>
  <c r="S41" i="5"/>
  <c r="H42" i="5"/>
  <c r="I42" i="5"/>
  <c r="J42" i="5"/>
  <c r="K42" i="5"/>
  <c r="L42" i="5"/>
  <c r="M42" i="5"/>
  <c r="N42" i="5"/>
  <c r="O42" i="5"/>
  <c r="P42" i="5"/>
  <c r="Q42" i="5"/>
  <c r="R42" i="5"/>
  <c r="S42" i="5"/>
  <c r="H43" i="5"/>
  <c r="I43" i="5"/>
  <c r="J43" i="5"/>
  <c r="K43" i="5"/>
  <c r="L43" i="5"/>
  <c r="M43" i="5"/>
  <c r="N43" i="5"/>
  <c r="O43" i="5"/>
  <c r="P43" i="5"/>
  <c r="Q43" i="5"/>
  <c r="R43" i="5"/>
  <c r="S43" i="5"/>
  <c r="H44" i="5"/>
  <c r="I44" i="5"/>
  <c r="J44" i="5"/>
  <c r="K44" i="5"/>
  <c r="L44" i="5"/>
  <c r="M44" i="5"/>
  <c r="N44" i="5"/>
  <c r="O44" i="5"/>
  <c r="P44" i="5"/>
  <c r="Q44" i="5"/>
  <c r="R44" i="5"/>
  <c r="S44" i="5"/>
  <c r="H45" i="5"/>
  <c r="I45" i="5"/>
  <c r="J45" i="5"/>
  <c r="K45" i="5"/>
  <c r="L45" i="5"/>
  <c r="M45" i="5"/>
  <c r="N45" i="5"/>
  <c r="O45" i="5"/>
  <c r="P45" i="5"/>
  <c r="Q45" i="5"/>
  <c r="R45" i="5"/>
  <c r="S45" i="5"/>
  <c r="H46" i="5"/>
  <c r="I46" i="5"/>
  <c r="J46" i="5"/>
  <c r="K46" i="5"/>
  <c r="L46" i="5"/>
  <c r="M46" i="5"/>
  <c r="N46" i="5"/>
  <c r="O46" i="5"/>
  <c r="P46" i="5"/>
  <c r="Q46" i="5"/>
  <c r="R46" i="5"/>
  <c r="S46" i="5"/>
  <c r="H47" i="5"/>
  <c r="I47" i="5"/>
  <c r="J47" i="5"/>
  <c r="K47" i="5"/>
  <c r="L47" i="5"/>
  <c r="M47" i="5"/>
  <c r="N47" i="5"/>
  <c r="O47" i="5"/>
  <c r="P47" i="5"/>
  <c r="Q47" i="5"/>
  <c r="R47" i="5"/>
  <c r="S47" i="5"/>
  <c r="H48" i="5"/>
  <c r="I48" i="5"/>
  <c r="J48" i="5"/>
  <c r="K48" i="5"/>
  <c r="L48" i="5"/>
  <c r="M48" i="5"/>
  <c r="N48" i="5"/>
  <c r="O48" i="5"/>
  <c r="P48" i="5"/>
  <c r="Q48" i="5"/>
  <c r="R48" i="5"/>
  <c r="S48" i="5"/>
  <c r="H49" i="5"/>
  <c r="I49" i="5"/>
  <c r="J49" i="5"/>
  <c r="K49" i="5"/>
  <c r="L49" i="5"/>
  <c r="M49" i="5"/>
  <c r="N49" i="5"/>
  <c r="O49" i="5"/>
  <c r="P49" i="5"/>
  <c r="Q49" i="5"/>
  <c r="R49" i="5"/>
  <c r="S49" i="5"/>
  <c r="H50" i="5"/>
  <c r="I50" i="5"/>
  <c r="J50" i="5"/>
  <c r="K50" i="5"/>
  <c r="L50" i="5"/>
  <c r="M50" i="5"/>
  <c r="N50" i="5"/>
  <c r="O50" i="5"/>
  <c r="P50" i="5"/>
  <c r="Q50" i="5"/>
  <c r="R50" i="5"/>
  <c r="S50" i="5"/>
  <c r="H51" i="5"/>
  <c r="I51" i="5"/>
  <c r="J51" i="5"/>
  <c r="K51" i="5"/>
  <c r="L51" i="5"/>
  <c r="M51" i="5"/>
  <c r="N51" i="5"/>
  <c r="O51" i="5"/>
  <c r="P51" i="5"/>
  <c r="Q51" i="5"/>
  <c r="R51" i="5"/>
  <c r="S51" i="5"/>
  <c r="H52" i="5"/>
  <c r="I52" i="5"/>
  <c r="J52" i="5"/>
  <c r="K52" i="5"/>
  <c r="L52" i="5"/>
  <c r="M52" i="5"/>
  <c r="N52" i="5"/>
  <c r="O52" i="5"/>
  <c r="P52" i="5"/>
  <c r="Q52" i="5"/>
  <c r="R52" i="5"/>
  <c r="S52" i="5"/>
  <c r="H53" i="5"/>
  <c r="I53" i="5"/>
  <c r="J53" i="5"/>
  <c r="K53" i="5"/>
  <c r="L53" i="5"/>
  <c r="M53" i="5"/>
  <c r="N53" i="5"/>
  <c r="O53" i="5"/>
  <c r="P53" i="5"/>
  <c r="Q53" i="5"/>
  <c r="R53" i="5"/>
  <c r="S53" i="5"/>
  <c r="H54" i="5"/>
  <c r="I54" i="5"/>
  <c r="J54" i="5"/>
  <c r="K54" i="5"/>
  <c r="L54" i="5"/>
  <c r="M54" i="5"/>
  <c r="N54" i="5"/>
  <c r="O54" i="5"/>
  <c r="P54" i="5"/>
  <c r="Q54" i="5"/>
  <c r="R54" i="5"/>
  <c r="S54" i="5"/>
  <c r="H55" i="5"/>
  <c r="I55" i="5"/>
  <c r="J55" i="5"/>
  <c r="K55" i="5"/>
  <c r="L55" i="5"/>
  <c r="M55" i="5"/>
  <c r="N55" i="5"/>
  <c r="O55" i="5"/>
  <c r="P55" i="5"/>
  <c r="Q55" i="5"/>
  <c r="R55" i="5"/>
  <c r="S55" i="5"/>
  <c r="H56" i="5"/>
  <c r="I56" i="5"/>
  <c r="J56" i="5"/>
  <c r="K56" i="5"/>
  <c r="L56" i="5"/>
  <c r="M56" i="5"/>
  <c r="N56" i="5"/>
  <c r="O56" i="5"/>
  <c r="P56" i="5"/>
  <c r="Q56" i="5"/>
  <c r="R56" i="5"/>
  <c r="S56" i="5"/>
  <c r="H57" i="5"/>
  <c r="I57" i="5"/>
  <c r="J57" i="5"/>
  <c r="K57" i="5"/>
  <c r="L57" i="5"/>
  <c r="M57" i="5"/>
  <c r="N57" i="5"/>
  <c r="O57" i="5"/>
  <c r="P57" i="5"/>
  <c r="Q57" i="5"/>
  <c r="R57" i="5"/>
  <c r="S57" i="5"/>
  <c r="H58" i="5"/>
  <c r="I58" i="5"/>
  <c r="J58" i="5"/>
  <c r="K58" i="5"/>
  <c r="L58" i="5"/>
  <c r="M58" i="5"/>
  <c r="N58" i="5"/>
  <c r="O58" i="5"/>
  <c r="P58" i="5"/>
  <c r="Q58" i="5"/>
  <c r="R58" i="5"/>
  <c r="S58" i="5"/>
  <c r="H59" i="5"/>
  <c r="I59" i="5"/>
  <c r="J59" i="5"/>
  <c r="K59" i="5"/>
  <c r="L59" i="5"/>
  <c r="M59" i="5"/>
  <c r="N59" i="5"/>
  <c r="O59" i="5"/>
  <c r="P59" i="5"/>
  <c r="Q59" i="5"/>
  <c r="R59" i="5"/>
  <c r="S59" i="5"/>
  <c r="H60" i="5"/>
  <c r="I60" i="5"/>
  <c r="J60" i="5"/>
  <c r="K60" i="5"/>
  <c r="L60" i="5"/>
  <c r="M60" i="5"/>
  <c r="N60" i="5"/>
  <c r="O60" i="5"/>
  <c r="P60" i="5"/>
  <c r="Q60" i="5"/>
  <c r="R60" i="5"/>
  <c r="S60" i="5"/>
  <c r="H61" i="5"/>
  <c r="I61" i="5"/>
  <c r="J61" i="5"/>
  <c r="K61" i="5"/>
  <c r="L61" i="5"/>
  <c r="M61" i="5"/>
  <c r="N61" i="5"/>
  <c r="O61" i="5"/>
  <c r="P61" i="5"/>
  <c r="Q61" i="5"/>
  <c r="R61" i="5"/>
  <c r="S61" i="5"/>
  <c r="H62" i="5"/>
  <c r="I62" i="5"/>
  <c r="J62" i="5"/>
  <c r="K62" i="5"/>
  <c r="L62" i="5"/>
  <c r="M62" i="5"/>
  <c r="N62" i="5"/>
  <c r="O62" i="5"/>
  <c r="P62" i="5"/>
  <c r="Q62" i="5"/>
  <c r="R62" i="5"/>
  <c r="S62" i="5"/>
  <c r="H63" i="5"/>
  <c r="I63" i="5"/>
  <c r="J63" i="5"/>
  <c r="K63" i="5"/>
  <c r="L63" i="5"/>
  <c r="M63" i="5"/>
  <c r="N63" i="5"/>
  <c r="O63" i="5"/>
  <c r="P63" i="5"/>
  <c r="Q63" i="5"/>
  <c r="R63" i="5"/>
  <c r="S63" i="5"/>
  <c r="H64" i="5"/>
  <c r="I64" i="5"/>
  <c r="J64" i="5"/>
  <c r="K64" i="5"/>
  <c r="L64" i="5"/>
  <c r="M64" i="5"/>
  <c r="N64" i="5"/>
  <c r="O64" i="5"/>
  <c r="P64" i="5"/>
  <c r="Q64" i="5"/>
  <c r="R64" i="5"/>
  <c r="S64" i="5"/>
  <c r="H65" i="5"/>
  <c r="I65" i="5"/>
  <c r="J65" i="5"/>
  <c r="K65" i="5"/>
  <c r="L65" i="5"/>
  <c r="M65" i="5"/>
  <c r="N65" i="5"/>
  <c r="O65" i="5"/>
  <c r="P65" i="5"/>
  <c r="Q65" i="5"/>
  <c r="R65" i="5"/>
  <c r="S65" i="5"/>
  <c r="H66" i="5"/>
  <c r="I66" i="5"/>
  <c r="J66" i="5"/>
  <c r="K66" i="5"/>
  <c r="L66" i="5"/>
  <c r="M66" i="5"/>
  <c r="N66" i="5"/>
  <c r="O66" i="5"/>
  <c r="P66" i="5"/>
  <c r="Q66" i="5"/>
  <c r="R66" i="5"/>
  <c r="S66" i="5"/>
  <c r="H67" i="5"/>
  <c r="I67" i="5"/>
  <c r="J67" i="5"/>
  <c r="K67" i="5"/>
  <c r="L67" i="5"/>
  <c r="M67" i="5"/>
  <c r="N67" i="5"/>
  <c r="O67" i="5"/>
  <c r="P67" i="5"/>
  <c r="Q67" i="5"/>
  <c r="R67" i="5"/>
  <c r="S67" i="5"/>
  <c r="H68" i="5"/>
  <c r="I68" i="5"/>
  <c r="J68" i="5"/>
  <c r="K68" i="5"/>
  <c r="L68" i="5"/>
  <c r="M68" i="5"/>
  <c r="N68" i="5"/>
  <c r="O68" i="5"/>
  <c r="P68" i="5"/>
  <c r="Q68" i="5"/>
  <c r="R68" i="5"/>
  <c r="S68" i="5"/>
  <c r="H69" i="5"/>
  <c r="I69" i="5"/>
  <c r="J69" i="5"/>
  <c r="K69" i="5"/>
  <c r="L69" i="5"/>
  <c r="M69" i="5"/>
  <c r="N69" i="5"/>
  <c r="O69" i="5"/>
  <c r="P69" i="5"/>
  <c r="Q69" i="5"/>
  <c r="R69" i="5"/>
  <c r="S69" i="5"/>
  <c r="H70" i="5"/>
  <c r="I70" i="5"/>
  <c r="J70" i="5"/>
  <c r="K70" i="5"/>
  <c r="L70" i="5"/>
  <c r="M70" i="5"/>
  <c r="N70" i="5"/>
  <c r="O70" i="5"/>
  <c r="P70" i="5"/>
  <c r="Q70" i="5"/>
  <c r="R70" i="5"/>
  <c r="S70" i="5"/>
  <c r="H71" i="5"/>
  <c r="I71" i="5"/>
  <c r="J71" i="5"/>
  <c r="K71" i="5"/>
  <c r="L71" i="5"/>
  <c r="M71" i="5"/>
  <c r="N71" i="5"/>
  <c r="O71" i="5"/>
  <c r="P71" i="5"/>
  <c r="Q71" i="5"/>
  <c r="R71" i="5"/>
  <c r="S71" i="5"/>
  <c r="H72" i="5"/>
  <c r="I72" i="5"/>
  <c r="J72" i="5"/>
  <c r="K72" i="5"/>
  <c r="L72" i="5"/>
  <c r="M72" i="5"/>
  <c r="N72" i="5"/>
  <c r="O72" i="5"/>
  <c r="P72" i="5"/>
  <c r="Q72" i="5"/>
  <c r="R72" i="5"/>
  <c r="S72" i="5"/>
  <c r="H73" i="5"/>
  <c r="I73" i="5"/>
  <c r="J73" i="5"/>
  <c r="K73" i="5"/>
  <c r="L73" i="5"/>
  <c r="M73" i="5"/>
  <c r="N73" i="5"/>
  <c r="O73" i="5"/>
  <c r="P73" i="5"/>
  <c r="Q73" i="5"/>
  <c r="R73" i="5"/>
  <c r="S73" i="5"/>
  <c r="H74" i="5"/>
  <c r="I74" i="5"/>
  <c r="J74" i="5"/>
  <c r="K74" i="5"/>
  <c r="L74" i="5"/>
  <c r="M74" i="5"/>
  <c r="N74" i="5"/>
  <c r="O74" i="5"/>
  <c r="P74" i="5"/>
  <c r="Q74" i="5"/>
  <c r="R74" i="5"/>
  <c r="S74" i="5"/>
  <c r="H75" i="5"/>
  <c r="I75" i="5"/>
  <c r="J75" i="5"/>
  <c r="K75" i="5"/>
  <c r="L75" i="5"/>
  <c r="M75" i="5"/>
  <c r="N75" i="5"/>
  <c r="O75" i="5"/>
  <c r="P75" i="5"/>
  <c r="Q75" i="5"/>
  <c r="R75" i="5"/>
  <c r="S75" i="5"/>
  <c r="H76" i="5"/>
  <c r="I76" i="5"/>
  <c r="J76" i="5"/>
  <c r="K76" i="5"/>
  <c r="L76" i="5"/>
  <c r="M76" i="5"/>
  <c r="N76" i="5"/>
  <c r="O76" i="5"/>
  <c r="P76" i="5"/>
  <c r="Q76" i="5"/>
  <c r="R76" i="5"/>
  <c r="S76" i="5"/>
  <c r="I2" i="5"/>
  <c r="J2" i="5"/>
  <c r="K2" i="5"/>
  <c r="L2" i="5"/>
  <c r="M2" i="5"/>
  <c r="N2" i="5"/>
  <c r="O2" i="5"/>
  <c r="P2" i="5"/>
  <c r="Q2" i="5"/>
  <c r="R2" i="5"/>
  <c r="S2" i="5"/>
  <c r="H2" i="5"/>
  <c r="I2" i="1" l="1"/>
  <c r="J2" i="1" l="1"/>
  <c r="I1" i="32"/>
  <c r="I1" i="25"/>
  <c r="I1" i="15"/>
  <c r="I1" i="17"/>
  <c r="I1" i="3"/>
  <c r="I2" i="22"/>
  <c r="I1" i="9"/>
  <c r="I1" i="31"/>
  <c r="I1" i="20"/>
  <c r="I1" i="5"/>
  <c r="I1" i="14"/>
  <c r="I2" i="19"/>
  <c r="I2" i="2"/>
  <c r="I1" i="4"/>
  <c r="I1" i="24"/>
  <c r="I1" i="23"/>
  <c r="I1" i="21"/>
  <c r="K2" i="1" l="1"/>
  <c r="J1" i="32"/>
  <c r="J1" i="17"/>
  <c r="J1" i="23"/>
  <c r="J1" i="14"/>
  <c r="J2" i="22"/>
  <c r="J1" i="9"/>
  <c r="J1" i="31"/>
  <c r="J1" i="20"/>
  <c r="J1" i="5"/>
  <c r="J2" i="19"/>
  <c r="J2" i="2"/>
  <c r="J1" i="25"/>
  <c r="J1" i="24"/>
  <c r="J1" i="21"/>
  <c r="J1" i="4"/>
  <c r="J1" i="15"/>
  <c r="J1" i="3"/>
  <c r="L2" i="1" l="1"/>
  <c r="K1" i="32"/>
  <c r="K1" i="23"/>
  <c r="K1" i="14"/>
  <c r="K1" i="3"/>
  <c r="K1" i="21"/>
  <c r="K2" i="19"/>
  <c r="K2" i="2"/>
  <c r="K2" i="22"/>
  <c r="K1" i="31"/>
  <c r="K1" i="20"/>
  <c r="K1" i="5"/>
  <c r="K1" i="4"/>
  <c r="K1" i="25"/>
  <c r="K1" i="15"/>
  <c r="K1" i="9"/>
  <c r="K1" i="24"/>
  <c r="K1" i="17"/>
  <c r="M2" i="1" l="1"/>
  <c r="L1" i="32"/>
  <c r="L1" i="3"/>
  <c r="L2" i="22"/>
  <c r="L1" i="9"/>
  <c r="L1" i="21"/>
  <c r="L2" i="19"/>
  <c r="L2" i="2"/>
  <c r="L1" i="4"/>
  <c r="L1" i="23"/>
  <c r="L1" i="5"/>
  <c r="L1" i="20"/>
  <c r="L1" i="24"/>
  <c r="L1" i="14"/>
  <c r="L1" i="25"/>
  <c r="L1" i="15"/>
  <c r="L1" i="17"/>
  <c r="L1" i="31"/>
  <c r="N2" i="1" l="1"/>
  <c r="M1" i="32"/>
  <c r="M2" i="22"/>
  <c r="M1" i="9"/>
  <c r="M1" i="31"/>
  <c r="M1" i="20"/>
  <c r="M1" i="5"/>
  <c r="M1" i="21"/>
  <c r="M1" i="4"/>
  <c r="M1" i="24"/>
  <c r="M1" i="3"/>
  <c r="M2" i="2"/>
  <c r="M1" i="25"/>
  <c r="M1" i="15"/>
  <c r="M1" i="14"/>
  <c r="M2" i="19"/>
  <c r="M1" i="17"/>
  <c r="M1" i="23"/>
  <c r="O2" i="1" l="1"/>
  <c r="N1" i="32"/>
  <c r="N1" i="21"/>
  <c r="N1" i="31"/>
  <c r="N1" i="20"/>
  <c r="N1" i="5"/>
  <c r="N1" i="4"/>
  <c r="N1" i="15"/>
  <c r="N1" i="24"/>
  <c r="N1" i="25"/>
  <c r="N2" i="19"/>
  <c r="N2" i="2"/>
  <c r="N1" i="17"/>
  <c r="N1" i="9"/>
  <c r="N1" i="23"/>
  <c r="N1" i="14"/>
  <c r="N1" i="3"/>
  <c r="N2" i="22"/>
  <c r="P2" i="1" l="1"/>
  <c r="O1" i="32"/>
  <c r="O1" i="21"/>
  <c r="O2" i="19"/>
  <c r="O2" i="2"/>
  <c r="O1" i="24"/>
  <c r="O1" i="17"/>
  <c r="O1" i="25"/>
  <c r="O1" i="15"/>
  <c r="O1" i="5"/>
  <c r="O1" i="23"/>
  <c r="O1" i="14"/>
  <c r="O2" i="22"/>
  <c r="O1" i="31"/>
  <c r="O1" i="20"/>
  <c r="O1" i="4"/>
  <c r="O1" i="3"/>
  <c r="O1" i="9"/>
  <c r="Q2" i="1" l="1"/>
  <c r="P1" i="32"/>
  <c r="P1" i="31"/>
  <c r="P1" i="20"/>
  <c r="P1" i="5"/>
  <c r="P2" i="19"/>
  <c r="P2" i="2"/>
  <c r="P1" i="25"/>
  <c r="P1" i="15"/>
  <c r="P1" i="23"/>
  <c r="P1" i="4"/>
  <c r="P1" i="17"/>
  <c r="P1" i="14"/>
  <c r="P1" i="3"/>
  <c r="P1" i="21"/>
  <c r="P2" i="22"/>
  <c r="P1" i="9"/>
  <c r="P1" i="24"/>
  <c r="R2" i="1" l="1"/>
  <c r="Q1" i="32"/>
  <c r="Q1" i="31"/>
  <c r="Q1" i="20"/>
  <c r="Q1" i="5"/>
  <c r="Q1" i="4"/>
  <c r="Q1" i="17"/>
  <c r="Q2" i="19"/>
  <c r="Q1" i="24"/>
  <c r="Q1" i="23"/>
  <c r="Q1" i="14"/>
  <c r="Q1" i="3"/>
  <c r="Q2" i="22"/>
  <c r="Q1" i="9"/>
  <c r="Q2" i="2"/>
  <c r="Q1" i="25"/>
  <c r="Q1" i="15"/>
  <c r="Q1" i="21"/>
  <c r="S2" i="1" l="1"/>
  <c r="R1" i="32"/>
  <c r="R2" i="19"/>
  <c r="R2" i="2"/>
  <c r="R1" i="4"/>
  <c r="R1" i="24"/>
  <c r="R1" i="23"/>
  <c r="R1" i="14"/>
  <c r="R1" i="9"/>
  <c r="R1" i="3"/>
  <c r="R2" i="22"/>
  <c r="R1" i="25"/>
  <c r="R1" i="21"/>
  <c r="R1" i="31"/>
  <c r="R1" i="20"/>
  <c r="R1" i="5"/>
  <c r="R1" i="15"/>
  <c r="R1" i="17"/>
  <c r="S1" i="32" l="1"/>
  <c r="S2" i="19"/>
  <c r="S2" i="2"/>
  <c r="S1" i="24"/>
  <c r="S1" i="15"/>
  <c r="S1" i="25"/>
  <c r="S1" i="3"/>
  <c r="S2" i="22"/>
  <c r="S1" i="9"/>
  <c r="S1" i="21"/>
  <c r="S1" i="5"/>
  <c r="S1" i="4"/>
  <c r="S1" i="17"/>
  <c r="S1" i="31"/>
  <c r="S1" i="20"/>
  <c r="S1" i="23"/>
  <c r="S1" i="14"/>
</calcChain>
</file>

<file path=xl/sharedStrings.xml><?xml version="1.0" encoding="utf-8"?>
<sst xmlns="http://schemas.openxmlformats.org/spreadsheetml/2006/main" count="3826" uniqueCount="150">
  <si>
    <t>Project</t>
  </si>
  <si>
    <t>Region</t>
  </si>
  <si>
    <t>Honeywell</t>
  </si>
  <si>
    <t>Bapi</t>
  </si>
  <si>
    <t>Pfizer</t>
  </si>
  <si>
    <t>West</t>
  </si>
  <si>
    <t>Anjli</t>
  </si>
  <si>
    <t>Usha</t>
  </si>
  <si>
    <t>Tata Motors</t>
  </si>
  <si>
    <t>Shweta</t>
  </si>
  <si>
    <t>SKF India</t>
  </si>
  <si>
    <t>North</t>
  </si>
  <si>
    <t>Siemens</t>
  </si>
  <si>
    <t>South</t>
  </si>
  <si>
    <t>Sulabh</t>
  </si>
  <si>
    <t>Kunal</t>
  </si>
  <si>
    <t>Pidilite</t>
  </si>
  <si>
    <t>Vertiv</t>
  </si>
  <si>
    <t>Birla Paints</t>
  </si>
  <si>
    <t>Geetu</t>
  </si>
  <si>
    <t>Ingram Micro</t>
  </si>
  <si>
    <t>HPE</t>
  </si>
  <si>
    <t>Mahak</t>
  </si>
  <si>
    <t>Isuzu</t>
  </si>
  <si>
    <t>Satya</t>
  </si>
  <si>
    <t>Mahindra Holidays</t>
  </si>
  <si>
    <t>BITS</t>
  </si>
  <si>
    <t>Krishna</t>
  </si>
  <si>
    <t>M&amp;M</t>
  </si>
  <si>
    <t>P&amp;G</t>
  </si>
  <si>
    <t>Wipro</t>
  </si>
  <si>
    <t>Subu</t>
  </si>
  <si>
    <t>Tata Marcopolo</t>
  </si>
  <si>
    <t>DP World</t>
  </si>
  <si>
    <t>Ametek</t>
  </si>
  <si>
    <t>AMNS</t>
  </si>
  <si>
    <t>Alifia</t>
  </si>
  <si>
    <t>Tata Electronics</t>
  </si>
  <si>
    <t>Jindal Stainless</t>
  </si>
  <si>
    <t>Nomiso</t>
  </si>
  <si>
    <t>Schaeffler</t>
  </si>
  <si>
    <t>Royal Enfield</t>
  </si>
  <si>
    <t>SBI Card</t>
  </si>
  <si>
    <t>Hyundai Motor</t>
  </si>
  <si>
    <t>Maruti Suzuki(MSIL)</t>
  </si>
  <si>
    <t>Excelacom</t>
  </si>
  <si>
    <t>Tata Consumer</t>
  </si>
  <si>
    <t>Tata Play</t>
  </si>
  <si>
    <t>Mahindra Finance</t>
  </si>
  <si>
    <t>Suzuki R&amp;D</t>
  </si>
  <si>
    <t>Subros Ltd</t>
  </si>
  <si>
    <t>Atomberg Technologies</t>
  </si>
  <si>
    <t>Bridgestone</t>
  </si>
  <si>
    <t>Ambuja Cement</t>
  </si>
  <si>
    <t>Ankit</t>
  </si>
  <si>
    <t>Ashok Leyland</t>
  </si>
  <si>
    <t>Sterling Tools</t>
  </si>
  <si>
    <t>M2P Fintech</t>
  </si>
  <si>
    <t>Tata Power</t>
  </si>
  <si>
    <t>Elton</t>
  </si>
  <si>
    <t>ThyssenKrupp</t>
  </si>
  <si>
    <t>Fedex</t>
  </si>
  <si>
    <t>Titan</t>
  </si>
  <si>
    <t>Ultratech</t>
  </si>
  <si>
    <t>L&amp;T (New)</t>
  </si>
  <si>
    <t>DRL</t>
  </si>
  <si>
    <t>Robert Bosch</t>
  </si>
  <si>
    <t>Abhilash</t>
  </si>
  <si>
    <t>Tata Teleservices</t>
  </si>
  <si>
    <t>Honeywell Leadership</t>
  </si>
  <si>
    <t>Parul</t>
  </si>
  <si>
    <t>Siemens Leadership</t>
  </si>
  <si>
    <t>Vertiv Leadership</t>
  </si>
  <si>
    <t>M&amp;M Leadership</t>
  </si>
  <si>
    <t>AMNS Leadership</t>
  </si>
  <si>
    <t>Nagarjuna Leadership</t>
  </si>
  <si>
    <t>Royal Enfield Leadership</t>
  </si>
  <si>
    <t>Sterling Tools Leadership</t>
  </si>
  <si>
    <t>Mahindra Holidays Leadership</t>
  </si>
  <si>
    <t>Hyundai Motor Leadership</t>
  </si>
  <si>
    <t>JINDAL STAINLESS Leadership</t>
  </si>
  <si>
    <t>SUZUKI R&amp;D Leadership</t>
  </si>
  <si>
    <t>Pfizer Leadership</t>
  </si>
  <si>
    <t>Subros Leadership</t>
  </si>
  <si>
    <t>Optum</t>
  </si>
  <si>
    <t>Ashish</t>
  </si>
  <si>
    <t>New Sales + Mining</t>
  </si>
  <si>
    <t>New Sales</t>
  </si>
  <si>
    <t>Nizar</t>
  </si>
  <si>
    <t>Pernod Ricard</t>
  </si>
  <si>
    <t>Archana</t>
  </si>
  <si>
    <t>UniCharm</t>
  </si>
  <si>
    <t>Saint Gobain</t>
  </si>
  <si>
    <t>Leap India</t>
  </si>
  <si>
    <t>NeoSoft</t>
  </si>
  <si>
    <t>Siemens Healthnier</t>
  </si>
  <si>
    <t>Lekhana</t>
  </si>
  <si>
    <t>ABB</t>
  </si>
  <si>
    <t>TCG Group</t>
  </si>
  <si>
    <t>Proterial</t>
  </si>
  <si>
    <t>CG Power</t>
  </si>
  <si>
    <t>South 1</t>
  </si>
  <si>
    <t>West 1</t>
  </si>
  <si>
    <t>West 2</t>
  </si>
  <si>
    <t>South 2</t>
  </si>
  <si>
    <t>Region Head</t>
  </si>
  <si>
    <t>Practice Head</t>
  </si>
  <si>
    <t>Dhriti</t>
  </si>
  <si>
    <t>IBM</t>
  </si>
  <si>
    <t>Centum</t>
  </si>
  <si>
    <t>Kale Logistics</t>
  </si>
  <si>
    <t>Vertical</t>
  </si>
  <si>
    <t>Leadership</t>
  </si>
  <si>
    <t>Lateral</t>
  </si>
  <si>
    <t>FY</t>
  </si>
  <si>
    <t>FY2025-26</t>
  </si>
  <si>
    <t>Sub Region</t>
  </si>
  <si>
    <t>FY'26</t>
  </si>
  <si>
    <t>Triveni</t>
  </si>
  <si>
    <t>Banswara</t>
  </si>
  <si>
    <t>Gala Precision</t>
  </si>
  <si>
    <t>ITW India</t>
  </si>
  <si>
    <t>Primetals Technologies</t>
  </si>
  <si>
    <t>Arvind Smartspaces</t>
  </si>
  <si>
    <t>Autofit</t>
  </si>
  <si>
    <t xml:space="preserve">Carplai </t>
  </si>
  <si>
    <t>Middle East</t>
  </si>
  <si>
    <t>Exclusive</t>
  </si>
  <si>
    <t>Naved</t>
  </si>
  <si>
    <t>Amit Jain</t>
  </si>
  <si>
    <t>Metglas</t>
  </si>
  <si>
    <t xml:space="preserve">Saint Gobain </t>
  </si>
  <si>
    <t>FY'26 Total</t>
  </si>
  <si>
    <t>L&amp;T Energy</t>
  </si>
  <si>
    <t>Ace Designers</t>
  </si>
  <si>
    <t>Total</t>
  </si>
  <si>
    <t>Dag Exclusive</t>
  </si>
  <si>
    <t>Triveni Eng</t>
  </si>
  <si>
    <t>Arvind</t>
  </si>
  <si>
    <t>Siemens (Advatnta &amp; GBS)</t>
  </si>
  <si>
    <t>Siemens Energy</t>
  </si>
  <si>
    <t>Manish Malhotra</t>
  </si>
  <si>
    <t>FY2026-27</t>
  </si>
  <si>
    <t>Reliance</t>
  </si>
  <si>
    <t>RPO</t>
  </si>
  <si>
    <t>CG Power Leadership</t>
  </si>
  <si>
    <t>Hyundai Leadership</t>
  </si>
  <si>
    <t>Quantiphi</t>
  </si>
  <si>
    <t>LAAP India</t>
  </si>
  <si>
    <t>Rahul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</si>
</sst>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0.59999389629810485"/>
      </left>
      <right style="thin">
        <color theme="3" tint="0.59999389629810485"/>
      </right>
      <top style="thin">
        <color theme="3" tint="0.59999389629810485"/>
      </top>
      <bottom style="thin">
        <color theme="3" tint="0.59999389629810485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 applyAlignment="1">
      <alignment horizontal="center"/>
    </xf>
    <xf numFmtId="164" fontId="0" fillId="0" borderId="0" xfId="0" applyNumberFormat="1"/>
    <xf numFmtId="1" fontId="0" fillId="0" borderId="0" xfId="0" applyNumberFormat="1"/>
    <xf numFmtId="9" fontId="0" fillId="0" borderId="0" xfId="0" applyNumberFormat="1"/>
    <xf numFmtId="3" fontId="0" fillId="0" borderId="0" xfId="0" applyNumberFormat="1"/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2" xfId="0" applyBorder="1" applyAlignment="1">
      <alignment horizontal="center"/>
    </xf>
    <xf numFmtId="0" fontId="0" fillId="0" borderId="2" xfId="0" applyBorder="1"/>
    <xf numFmtId="164" fontId="0" fillId="0" borderId="2" xfId="0" applyNumberFormat="1" applyBorder="1" applyAlignment="1">
      <alignment horizontal="right"/>
    </xf>
    <xf numFmtId="1" fontId="0" fillId="0" borderId="2" xfId="0" applyNumberFormat="1" applyBorder="1"/>
    <xf numFmtId="0" fontId="0" fillId="2" borderId="2" xfId="0" applyFill="1" applyBorder="1"/>
    <xf numFmtId="0" fontId="0" fillId="2" borderId="3" xfId="0" applyFill="1" applyBorder="1" applyAlignment="1">
      <alignment horizontal="center"/>
    </xf>
    <xf numFmtId="17" fontId="0" fillId="2" borderId="3" xfId="0" applyNumberForma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1" fontId="0" fillId="0" borderId="3" xfId="0" applyNumberFormat="1" applyBorder="1"/>
    <xf numFmtId="164" fontId="0" fillId="0" borderId="3" xfId="0" applyNumberFormat="1" applyBorder="1"/>
    <xf numFmtId="1" fontId="0" fillId="0" borderId="3" xfId="0" applyNumberFormat="1" applyBorder="1" applyAlignment="1">
      <alignment horizontal="right"/>
    </xf>
    <xf numFmtId="164" fontId="0" fillId="0" borderId="3" xfId="0" applyNumberFormat="1" applyBorder="1" applyAlignment="1">
      <alignment horizontal="right"/>
    </xf>
    <xf numFmtId="4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17" fontId="0" fillId="2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17" fontId="0" fillId="2" borderId="6" xfId="0" applyNumberFormat="1" applyFill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1" fontId="0" fillId="0" borderId="1" xfId="0" applyNumberFormat="1" applyBorder="1"/>
    <xf numFmtId="9" fontId="0" fillId="0" borderId="1" xfId="0" applyNumberFormat="1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7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3" tint="-0.249977111117893"/>
  </sheetPr>
  <dimension ref="A1:Y80"/>
  <sheetViews>
    <sheetView tabSelected="1" topLeftCell="C1" workbookViewId="0">
      <selection activeCell="D79" sqref="D79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5.26953125" bestFit="1" customWidth="1"/>
    <col min="7" max="7" width="13.1796875" bestFit="1" customWidth="1"/>
    <col min="8" max="8" width="6.90625" bestFit="1" customWidth="1"/>
    <col min="9" max="9" width="7.54296875" bestFit="1" customWidth="1"/>
    <col min="10" max="10" width="6.81640625" bestFit="1" customWidth="1"/>
    <col min="11" max="11" width="6.36328125" bestFit="1" customWidth="1"/>
    <col min="12" max="12" width="7.26953125" bestFit="1" customWidth="1"/>
    <col min="13" max="13" width="7.08984375" bestFit="1" customWidth="1"/>
    <col min="14" max="14" width="6.81640625" bestFit="1" customWidth="1"/>
    <col min="15" max="15" width="7.36328125" bestFit="1" customWidth="1"/>
    <col min="16" max="16" width="7.08984375" bestFit="1" customWidth="1"/>
    <col min="17" max="17" width="6.6328125" bestFit="1" customWidth="1"/>
    <col min="18" max="18" width="7.08984375" bestFit="1" customWidth="1"/>
    <col min="19" max="19" width="7.26953125" bestFit="1" customWidth="1"/>
    <col min="22" max="25" width="9.81640625" bestFit="1" customWidth="1"/>
  </cols>
  <sheetData>
    <row r="1" spans="1:20" x14ac:dyDescent="0.35">
      <c r="H1" s="3">
        <f>SUM(H3:H80)</f>
        <v>951.29671711000003</v>
      </c>
      <c r="I1" s="3">
        <f t="shared" ref="I1:S1" si="0">SUM(I3:I80)</f>
        <v>1057.6644171100002</v>
      </c>
      <c r="J1" s="3">
        <f t="shared" si="0"/>
        <v>1086.9387571100001</v>
      </c>
      <c r="K1" s="3">
        <f t="shared" si="0"/>
        <v>1162.2971706533335</v>
      </c>
      <c r="L1" s="3">
        <f t="shared" si="0"/>
        <v>1228.5571706533335</v>
      </c>
      <c r="M1" s="3">
        <f t="shared" si="0"/>
        <v>1272.2821706533334</v>
      </c>
      <c r="N1" s="3">
        <f t="shared" si="0"/>
        <v>1241.7384295633337</v>
      </c>
      <c r="O1" s="3">
        <f t="shared" si="0"/>
        <v>1269.0074095633338</v>
      </c>
      <c r="P1" s="3">
        <f t="shared" si="0"/>
        <v>1299.1224595633337</v>
      </c>
      <c r="Q1" s="3">
        <f t="shared" si="0"/>
        <v>1425.5290726733335</v>
      </c>
      <c r="R1" s="3">
        <f t="shared" si="0"/>
        <v>1493.0331126733338</v>
      </c>
      <c r="S1" s="3">
        <f t="shared" si="0"/>
        <v>1512.533112673334</v>
      </c>
      <c r="T1" s="3">
        <f>SUM(T3:T80)</f>
        <v>15000.000000000004</v>
      </c>
    </row>
    <row r="2" spans="1:20" x14ac:dyDescent="0.35">
      <c r="A2" s="40" t="s">
        <v>114</v>
      </c>
      <c r="B2" s="25" t="s">
        <v>0</v>
      </c>
      <c r="C2" s="41" t="s">
        <v>111</v>
      </c>
      <c r="D2" s="41" t="s">
        <v>1</v>
      </c>
      <c r="E2" s="41" t="s">
        <v>116</v>
      </c>
      <c r="F2" s="41" t="s">
        <v>105</v>
      </c>
      <c r="G2" s="41" t="s">
        <v>106</v>
      </c>
      <c r="H2" s="26">
        <v>46113</v>
      </c>
      <c r="I2" s="26">
        <f>EDATE(H2,1)</f>
        <v>46143</v>
      </c>
      <c r="J2" s="26">
        <f t="shared" ref="J2:S2" si="1">EDATE(I2,1)</f>
        <v>46174</v>
      </c>
      <c r="K2" s="26">
        <f t="shared" si="1"/>
        <v>46204</v>
      </c>
      <c r="L2" s="26">
        <f t="shared" si="1"/>
        <v>46235</v>
      </c>
      <c r="M2" s="26">
        <f t="shared" si="1"/>
        <v>46266</v>
      </c>
      <c r="N2" s="26">
        <f t="shared" si="1"/>
        <v>46296</v>
      </c>
      <c r="O2" s="26">
        <f t="shared" si="1"/>
        <v>46327</v>
      </c>
      <c r="P2" s="26">
        <f t="shared" si="1"/>
        <v>46357</v>
      </c>
      <c r="Q2" s="26">
        <f t="shared" si="1"/>
        <v>46388</v>
      </c>
      <c r="R2" s="26">
        <f t="shared" si="1"/>
        <v>46419</v>
      </c>
      <c r="S2" s="26">
        <f t="shared" si="1"/>
        <v>46447</v>
      </c>
      <c r="T2" s="40" t="s">
        <v>135</v>
      </c>
    </row>
    <row r="3" spans="1:20" x14ac:dyDescent="0.35">
      <c r="A3" s="40" t="s">
        <v>142</v>
      </c>
      <c r="B3" s="1" t="s">
        <v>2</v>
      </c>
      <c r="C3" s="1" t="str">
        <f>VLOOKUP(B3,Mapping!A:B,2,0)</f>
        <v>Lateral</v>
      </c>
      <c r="D3" s="1" t="str">
        <f>VLOOKUP(B3,Mapping!A:C,3,0)</f>
        <v>South</v>
      </c>
      <c r="E3" s="40" t="str">
        <f>VLOOKUP(B3,Mapping!A:D,4,0)</f>
        <v>South 1</v>
      </c>
      <c r="F3" s="40" t="str">
        <f>VLOOKUP(B3,Mapping!A:E,5,0)</f>
        <v>Bapi</v>
      </c>
      <c r="G3" s="40" t="str">
        <f>VLOOKUP(B3,Mapping!A:F,6,0)</f>
        <v>Bapi</v>
      </c>
      <c r="H3" s="42">
        <v>120</v>
      </c>
      <c r="I3" s="42">
        <v>167</v>
      </c>
      <c r="J3" s="42">
        <v>188</v>
      </c>
      <c r="K3" s="42">
        <v>108</v>
      </c>
      <c r="L3" s="42">
        <v>155</v>
      </c>
      <c r="M3" s="42">
        <v>177</v>
      </c>
      <c r="N3" s="42">
        <v>82</v>
      </c>
      <c r="O3" s="42">
        <v>116</v>
      </c>
      <c r="P3" s="42">
        <v>132</v>
      </c>
      <c r="Q3" s="42">
        <v>120</v>
      </c>
      <c r="R3" s="42">
        <v>168</v>
      </c>
      <c r="S3" s="42">
        <v>192</v>
      </c>
      <c r="T3" s="42">
        <f>SUM(H3:S3)</f>
        <v>1725</v>
      </c>
    </row>
    <row r="4" spans="1:20" x14ac:dyDescent="0.35">
      <c r="A4" s="40" t="s">
        <v>142</v>
      </c>
      <c r="B4" s="1" t="s">
        <v>4</v>
      </c>
      <c r="C4" s="1" t="str">
        <f>VLOOKUP(B4,Mapping!A:B,2,0)</f>
        <v>Lateral</v>
      </c>
      <c r="D4" s="1" t="str">
        <f>VLOOKUP(B4,Mapping!A:C,3,0)</f>
        <v>West</v>
      </c>
      <c r="E4" s="40" t="str">
        <f>VLOOKUP(B4,Mapping!A:D,4,0)</f>
        <v>West 1</v>
      </c>
      <c r="F4" s="40" t="str">
        <f>VLOOKUP(B4,Mapping!A:E,5,0)</f>
        <v>Anjli</v>
      </c>
      <c r="G4" s="40" t="str">
        <f>VLOOKUP(B4,Mapping!A:F,6,0)</f>
        <v>Usha</v>
      </c>
      <c r="H4" s="42">
        <v>8</v>
      </c>
      <c r="I4" s="42">
        <v>8</v>
      </c>
      <c r="J4" s="42">
        <v>8</v>
      </c>
      <c r="K4" s="42">
        <v>8</v>
      </c>
      <c r="L4" s="42">
        <v>8</v>
      </c>
      <c r="M4" s="42">
        <v>8</v>
      </c>
      <c r="N4" s="42">
        <v>5</v>
      </c>
      <c r="O4" s="42">
        <v>5</v>
      </c>
      <c r="P4" s="42">
        <v>5</v>
      </c>
      <c r="Q4" s="42">
        <v>5</v>
      </c>
      <c r="R4" s="42">
        <v>6</v>
      </c>
      <c r="S4" s="42">
        <v>6</v>
      </c>
      <c r="T4" s="42">
        <f t="shared" ref="T4:T67" si="2">SUM(H4:S4)</f>
        <v>80</v>
      </c>
    </row>
    <row r="5" spans="1:20" x14ac:dyDescent="0.35">
      <c r="A5" s="40" t="s">
        <v>142</v>
      </c>
      <c r="B5" s="1" t="s">
        <v>8</v>
      </c>
      <c r="C5" s="1" t="str">
        <f>VLOOKUP(B5,Mapping!A:B,2,0)</f>
        <v>Lateral</v>
      </c>
      <c r="D5" s="1" t="str">
        <f>VLOOKUP(B5,Mapping!A:C,3,0)</f>
        <v>West</v>
      </c>
      <c r="E5" s="40" t="str">
        <f>VLOOKUP(B5,Mapping!A:D,4,0)</f>
        <v>West 2</v>
      </c>
      <c r="F5" s="40" t="str">
        <f>VLOOKUP(B5,Mapping!A:E,5,0)</f>
        <v>Anjli</v>
      </c>
      <c r="G5" s="40" t="str">
        <f>VLOOKUP(B5,Mapping!A:F,6,0)</f>
        <v>Shweta</v>
      </c>
      <c r="H5" s="42">
        <v>0</v>
      </c>
      <c r="I5" s="42">
        <v>0</v>
      </c>
      <c r="J5" s="42">
        <v>0</v>
      </c>
      <c r="K5" s="42">
        <v>0</v>
      </c>
      <c r="L5" s="42">
        <v>0</v>
      </c>
      <c r="M5" s="42">
        <v>0</v>
      </c>
      <c r="N5" s="42">
        <v>0</v>
      </c>
      <c r="O5" s="42">
        <v>0</v>
      </c>
      <c r="P5" s="42">
        <v>0</v>
      </c>
      <c r="Q5" s="42">
        <v>0</v>
      </c>
      <c r="R5" s="42">
        <v>0</v>
      </c>
      <c r="S5" s="42">
        <v>0</v>
      </c>
      <c r="T5" s="42">
        <f t="shared" si="2"/>
        <v>0</v>
      </c>
    </row>
    <row r="6" spans="1:20" x14ac:dyDescent="0.35">
      <c r="A6" s="40" t="s">
        <v>142</v>
      </c>
      <c r="B6" s="1" t="s">
        <v>10</v>
      </c>
      <c r="C6" s="1" t="str">
        <f>VLOOKUP(B6,Mapping!A:B,2,0)</f>
        <v>Lateral</v>
      </c>
      <c r="D6" s="1" t="str">
        <f>VLOOKUP(B6,Mapping!A:C,3,0)</f>
        <v>North</v>
      </c>
      <c r="E6" s="40" t="str">
        <f>VLOOKUP(B6,Mapping!A:D,4,0)</f>
        <v>North</v>
      </c>
      <c r="F6" s="40" t="str">
        <f>VLOOKUP(B6,Mapping!A:E,5,0)</f>
        <v>Anjli</v>
      </c>
      <c r="G6" s="40" t="str">
        <f>VLOOKUP(B6,Mapping!A:F,6,0)</f>
        <v>Archana</v>
      </c>
      <c r="H6" s="42">
        <v>20</v>
      </c>
      <c r="I6" s="42">
        <v>17</v>
      </c>
      <c r="J6" s="42">
        <v>19</v>
      </c>
      <c r="K6" s="42">
        <v>18</v>
      </c>
      <c r="L6" s="42">
        <v>23</v>
      </c>
      <c r="M6" s="42">
        <v>22</v>
      </c>
      <c r="N6" s="42">
        <v>19</v>
      </c>
      <c r="O6" s="42">
        <v>20</v>
      </c>
      <c r="P6" s="42">
        <v>18</v>
      </c>
      <c r="Q6" s="42">
        <v>17</v>
      </c>
      <c r="R6" s="42">
        <v>15</v>
      </c>
      <c r="S6" s="42">
        <v>14</v>
      </c>
      <c r="T6" s="42">
        <f t="shared" si="2"/>
        <v>222</v>
      </c>
    </row>
    <row r="7" spans="1:20" x14ac:dyDescent="0.35">
      <c r="A7" s="40" t="s">
        <v>142</v>
      </c>
      <c r="B7" s="1" t="s">
        <v>139</v>
      </c>
      <c r="C7" s="1" t="s">
        <v>113</v>
      </c>
      <c r="D7" s="1" t="s">
        <v>13</v>
      </c>
      <c r="E7" s="40" t="s">
        <v>101</v>
      </c>
      <c r="F7" s="40" t="s">
        <v>141</v>
      </c>
      <c r="G7" s="40" t="s">
        <v>15</v>
      </c>
      <c r="H7" s="42">
        <v>8.6999999999999993</v>
      </c>
      <c r="I7" s="42">
        <v>9.6</v>
      </c>
      <c r="J7" s="42">
        <v>10.199999999999999</v>
      </c>
      <c r="K7" s="42">
        <v>9</v>
      </c>
      <c r="L7" s="42">
        <v>9.4</v>
      </c>
      <c r="M7" s="42">
        <v>9</v>
      </c>
      <c r="N7" s="42">
        <v>9.1999999999999993</v>
      </c>
      <c r="O7" s="42">
        <v>10.7</v>
      </c>
      <c r="P7" s="42">
        <v>11.6</v>
      </c>
      <c r="Q7" s="42">
        <v>11.9</v>
      </c>
      <c r="R7" s="42">
        <v>11.9</v>
      </c>
      <c r="S7" s="42">
        <v>11.9</v>
      </c>
      <c r="T7" s="42">
        <f t="shared" si="2"/>
        <v>123.10000000000001</v>
      </c>
    </row>
    <row r="8" spans="1:20" x14ac:dyDescent="0.35">
      <c r="A8" s="40" t="s">
        <v>142</v>
      </c>
      <c r="B8" s="1" t="s">
        <v>140</v>
      </c>
      <c r="C8" s="1" t="s">
        <v>113</v>
      </c>
      <c r="D8" s="1" t="s">
        <v>11</v>
      </c>
      <c r="E8" s="40" t="s">
        <v>11</v>
      </c>
      <c r="F8" s="40" t="s">
        <v>6</v>
      </c>
      <c r="G8" s="40" t="s">
        <v>90</v>
      </c>
      <c r="H8" s="42">
        <v>11</v>
      </c>
      <c r="I8" s="42">
        <v>11</v>
      </c>
      <c r="J8" s="42">
        <v>11</v>
      </c>
      <c r="K8" s="42">
        <v>11.5</v>
      </c>
      <c r="L8" s="42">
        <v>12</v>
      </c>
      <c r="M8" s="42">
        <v>11</v>
      </c>
      <c r="N8" s="42">
        <v>10</v>
      </c>
      <c r="O8" s="42">
        <v>10</v>
      </c>
      <c r="P8" s="42">
        <v>10.6</v>
      </c>
      <c r="Q8" s="42">
        <v>11.6</v>
      </c>
      <c r="R8" s="42">
        <v>12.5</v>
      </c>
      <c r="S8" s="42">
        <v>12.5</v>
      </c>
      <c r="T8" s="42">
        <f t="shared" si="2"/>
        <v>134.69999999999999</v>
      </c>
    </row>
    <row r="9" spans="1:20" x14ac:dyDescent="0.35">
      <c r="A9" s="40" t="s">
        <v>142</v>
      </c>
      <c r="B9" s="1" t="s">
        <v>16</v>
      </c>
      <c r="C9" s="1" t="str">
        <f>VLOOKUP(B9,Mapping!A:B,2,0)</f>
        <v>Lateral</v>
      </c>
      <c r="D9" s="1" t="str">
        <f>VLOOKUP(B9,Mapping!A:C,3,0)</f>
        <v>West</v>
      </c>
      <c r="E9" s="40" t="str">
        <f>VLOOKUP(B9,Mapping!A:D,4,0)</f>
        <v>West 1</v>
      </c>
      <c r="F9" s="40" t="str">
        <f>VLOOKUP(B9,Mapping!A:E,5,0)</f>
        <v>Anjli</v>
      </c>
      <c r="G9" s="40" t="str">
        <f>VLOOKUP(B9,Mapping!A:F,6,0)</f>
        <v>Usha</v>
      </c>
      <c r="H9" s="42">
        <v>17.25</v>
      </c>
      <c r="I9" s="42">
        <v>17.25</v>
      </c>
      <c r="J9" s="42">
        <v>17.25</v>
      </c>
      <c r="K9" s="42">
        <v>15.166666666666668</v>
      </c>
      <c r="L9" s="42">
        <v>15.166666666666668</v>
      </c>
      <c r="M9" s="42">
        <v>15.166666666666668</v>
      </c>
      <c r="N9" s="42">
        <v>16</v>
      </c>
      <c r="O9" s="42">
        <v>16</v>
      </c>
      <c r="P9" s="42">
        <v>16</v>
      </c>
      <c r="Q9" s="42">
        <v>16.833333333333332</v>
      </c>
      <c r="R9" s="42">
        <v>16.833333333333332</v>
      </c>
      <c r="S9" s="42">
        <v>16.833333333333332</v>
      </c>
      <c r="T9" s="42">
        <f t="shared" si="2"/>
        <v>195.75000000000003</v>
      </c>
    </row>
    <row r="10" spans="1:20" x14ac:dyDescent="0.35">
      <c r="A10" s="40" t="s">
        <v>142</v>
      </c>
      <c r="B10" s="1" t="s">
        <v>17</v>
      </c>
      <c r="C10" s="1" t="str">
        <f>VLOOKUP(B10,Mapping!A:B,2,0)</f>
        <v>Lateral</v>
      </c>
      <c r="D10" s="1" t="str">
        <f>VLOOKUP(B10,Mapping!A:C,3,0)</f>
        <v>West</v>
      </c>
      <c r="E10" s="40" t="str">
        <f>VLOOKUP(B10,Mapping!A:D,4,0)</f>
        <v>West 2</v>
      </c>
      <c r="F10" s="40" t="str">
        <f>VLOOKUP(B10,Mapping!A:E,5,0)</f>
        <v>Anjli</v>
      </c>
      <c r="G10" s="40" t="str">
        <f>VLOOKUP(B10,Mapping!A:F,6,0)</f>
        <v>Shweta</v>
      </c>
      <c r="H10" s="42">
        <v>3</v>
      </c>
      <c r="I10" s="42">
        <v>3</v>
      </c>
      <c r="J10" s="42">
        <v>4</v>
      </c>
      <c r="K10" s="42">
        <v>4</v>
      </c>
      <c r="L10" s="42">
        <v>4</v>
      </c>
      <c r="M10" s="42">
        <v>4</v>
      </c>
      <c r="N10" s="42">
        <v>4.5</v>
      </c>
      <c r="O10" s="42">
        <v>4</v>
      </c>
      <c r="P10" s="42">
        <v>4.5</v>
      </c>
      <c r="Q10" s="42">
        <v>4.5</v>
      </c>
      <c r="R10" s="42">
        <v>4.5</v>
      </c>
      <c r="S10" s="42">
        <v>4</v>
      </c>
      <c r="T10" s="42">
        <f t="shared" si="2"/>
        <v>48</v>
      </c>
    </row>
    <row r="11" spans="1:20" x14ac:dyDescent="0.35">
      <c r="A11" s="40" t="s">
        <v>142</v>
      </c>
      <c r="B11" s="1" t="s">
        <v>18</v>
      </c>
      <c r="C11" s="1" t="str">
        <f>VLOOKUP(B11,Mapping!A:B,2,0)</f>
        <v>Lateral</v>
      </c>
      <c r="D11" s="1" t="str">
        <f>VLOOKUP(B11,Mapping!A:C,3,0)</f>
        <v>West</v>
      </c>
      <c r="E11" s="40" t="str">
        <f>VLOOKUP(B11,Mapping!A:D,4,0)</f>
        <v>West 1</v>
      </c>
      <c r="F11" s="40" t="str">
        <f>VLOOKUP(B11,Mapping!A:E,5,0)</f>
        <v>Anjli</v>
      </c>
      <c r="G11" s="40" t="str">
        <f>VLOOKUP(B11,Mapping!A:F,6,0)</f>
        <v>Geetu</v>
      </c>
      <c r="H11" s="42">
        <v>17.166666666666668</v>
      </c>
      <c r="I11" s="42">
        <v>17.166666666666668</v>
      </c>
      <c r="J11" s="42">
        <v>17.166666666666668</v>
      </c>
      <c r="K11" s="42">
        <v>15.733333333333333</v>
      </c>
      <c r="L11" s="42">
        <v>15.733333333333333</v>
      </c>
      <c r="M11" s="42">
        <v>15.733333333333333</v>
      </c>
      <c r="N11" s="42">
        <v>16.600000000000001</v>
      </c>
      <c r="O11" s="42">
        <v>16.600000000000001</v>
      </c>
      <c r="P11" s="42">
        <v>16.600000000000001</v>
      </c>
      <c r="Q11" s="42">
        <v>15.533333333333333</v>
      </c>
      <c r="R11" s="42">
        <v>15.533333333333333</v>
      </c>
      <c r="S11" s="42">
        <v>15.533333333333333</v>
      </c>
      <c r="T11" s="42">
        <f t="shared" si="2"/>
        <v>195.1</v>
      </c>
    </row>
    <row r="12" spans="1:20" x14ac:dyDescent="0.35">
      <c r="A12" s="40" t="s">
        <v>142</v>
      </c>
      <c r="B12" s="1" t="s">
        <v>20</v>
      </c>
      <c r="C12" s="1" t="str">
        <f>VLOOKUP(B12,Mapping!A:B,2,0)</f>
        <v>Lateral</v>
      </c>
      <c r="D12" s="1" t="str">
        <f>VLOOKUP(B12,Mapping!A:C,3,0)</f>
        <v>West</v>
      </c>
      <c r="E12" s="40" t="str">
        <f>VLOOKUP(B12,Mapping!A:D,4,0)</f>
        <v>West 1</v>
      </c>
      <c r="F12" s="40" t="str">
        <f>VLOOKUP(B12,Mapping!A:E,5,0)</f>
        <v>Anjli</v>
      </c>
      <c r="G12" s="40" t="str">
        <f>VLOOKUP(B12,Mapping!A:F,6,0)</f>
        <v>Geetu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  <c r="M12" s="42">
        <v>0</v>
      </c>
      <c r="N12" s="42">
        <v>0</v>
      </c>
      <c r="O12" s="42">
        <v>0</v>
      </c>
      <c r="P12" s="42">
        <v>0</v>
      </c>
      <c r="Q12" s="42">
        <v>0</v>
      </c>
      <c r="R12" s="42">
        <v>0</v>
      </c>
      <c r="S12" s="42">
        <v>0</v>
      </c>
      <c r="T12" s="42">
        <f t="shared" si="2"/>
        <v>0</v>
      </c>
    </row>
    <row r="13" spans="1:20" x14ac:dyDescent="0.35">
      <c r="A13" s="40" t="s">
        <v>142</v>
      </c>
      <c r="B13" s="1" t="s">
        <v>21</v>
      </c>
      <c r="C13" s="1" t="str">
        <f>VLOOKUP(B13,Mapping!A:B,2,0)</f>
        <v>Lateral</v>
      </c>
      <c r="D13" s="1" t="str">
        <f>VLOOKUP(B13,Mapping!A:C,3,0)</f>
        <v>South</v>
      </c>
      <c r="E13" s="40" t="str">
        <f>VLOOKUP(B13,Mapping!A:D,4,0)</f>
        <v>South 1</v>
      </c>
      <c r="F13" s="40" t="str">
        <f>VLOOKUP(B13,Mapping!A:E,5,0)</f>
        <v>Mahak</v>
      </c>
      <c r="G13" s="40" t="str">
        <f>VLOOKUP(B13,Mapping!A:F,6,0)</f>
        <v>Mahak</v>
      </c>
      <c r="H13" s="42">
        <v>113.10139199999999</v>
      </c>
      <c r="I13" s="42">
        <v>113.10139199999999</v>
      </c>
      <c r="J13" s="42">
        <v>103.101392</v>
      </c>
      <c r="K13" s="42">
        <v>134.09062709999998</v>
      </c>
      <c r="L13" s="42">
        <v>134.09062709999998</v>
      </c>
      <c r="M13" s="42">
        <v>124.09062710000001</v>
      </c>
      <c r="N13" s="42">
        <v>113.19042089999999</v>
      </c>
      <c r="O13" s="42">
        <v>113.19042089999999</v>
      </c>
      <c r="P13" s="42">
        <v>103.19042090000001</v>
      </c>
      <c r="Q13" s="42">
        <v>134.0015889</v>
      </c>
      <c r="R13" s="42">
        <v>134.0015889</v>
      </c>
      <c r="S13" s="42">
        <v>124.0015889</v>
      </c>
      <c r="T13" s="42">
        <f t="shared" si="2"/>
        <v>1443.1520866999999</v>
      </c>
    </row>
    <row r="14" spans="1:20" x14ac:dyDescent="0.35">
      <c r="A14" s="40" t="s">
        <v>142</v>
      </c>
      <c r="B14" s="1" t="s">
        <v>23</v>
      </c>
      <c r="C14" s="1" t="str">
        <f>VLOOKUP(B14,Mapping!A:B,2,0)</f>
        <v>Lateral</v>
      </c>
      <c r="D14" s="1" t="str">
        <f>VLOOKUP(B14,Mapping!A:C,3,0)</f>
        <v>South</v>
      </c>
      <c r="E14" s="40" t="str">
        <f>VLOOKUP(B14,Mapping!A:D,4,0)</f>
        <v>South 1</v>
      </c>
      <c r="F14" s="40" t="str">
        <f>VLOOKUP(B14,Mapping!A:E,5,0)</f>
        <v>Anjli</v>
      </c>
      <c r="G14" s="40" t="str">
        <f>VLOOKUP(B14,Mapping!A:F,6,0)</f>
        <v>Satya</v>
      </c>
      <c r="H14" s="42">
        <v>9</v>
      </c>
      <c r="I14" s="42">
        <v>9</v>
      </c>
      <c r="J14" s="42">
        <v>9</v>
      </c>
      <c r="K14" s="42">
        <v>9</v>
      </c>
      <c r="L14" s="42">
        <v>9</v>
      </c>
      <c r="M14" s="42">
        <v>9</v>
      </c>
      <c r="N14" s="42">
        <v>6</v>
      </c>
      <c r="O14" s="42">
        <v>7</v>
      </c>
      <c r="P14" s="42">
        <v>7</v>
      </c>
      <c r="Q14" s="42">
        <v>8</v>
      </c>
      <c r="R14" s="42">
        <v>7</v>
      </c>
      <c r="S14" s="42">
        <v>8</v>
      </c>
      <c r="T14" s="42">
        <f t="shared" si="2"/>
        <v>97</v>
      </c>
    </row>
    <row r="15" spans="1:20" x14ac:dyDescent="0.35">
      <c r="A15" s="40" t="s">
        <v>142</v>
      </c>
      <c r="B15" s="1" t="s">
        <v>25</v>
      </c>
      <c r="C15" s="1" t="str">
        <f>VLOOKUP(B15,Mapping!A:B,2,0)</f>
        <v>Lateral</v>
      </c>
      <c r="D15" s="1" t="str">
        <f>VLOOKUP(B15,Mapping!A:C,3,0)</f>
        <v>West</v>
      </c>
      <c r="E15" s="40" t="str">
        <f>VLOOKUP(B15,Mapping!A:D,4,0)</f>
        <v>West 1</v>
      </c>
      <c r="F15" s="40" t="str">
        <f>VLOOKUP(B15,Mapping!A:E,5,0)</f>
        <v>Anjli</v>
      </c>
      <c r="G15" s="40" t="str">
        <f>VLOOKUP(B15,Mapping!A:F,6,0)</f>
        <v>Geetu</v>
      </c>
      <c r="H15" s="42">
        <v>0</v>
      </c>
      <c r="I15" s="42">
        <v>0</v>
      </c>
      <c r="J15" s="42">
        <v>0</v>
      </c>
      <c r="K15" s="42">
        <v>0</v>
      </c>
      <c r="L15" s="42">
        <v>0</v>
      </c>
      <c r="M15" s="42">
        <v>0</v>
      </c>
      <c r="N15" s="42">
        <v>0</v>
      </c>
      <c r="O15" s="42">
        <v>0</v>
      </c>
      <c r="P15" s="42">
        <v>0</v>
      </c>
      <c r="Q15" s="42">
        <v>0</v>
      </c>
      <c r="R15" s="42">
        <v>0</v>
      </c>
      <c r="S15" s="42">
        <v>0</v>
      </c>
      <c r="T15" s="42">
        <f t="shared" si="2"/>
        <v>0</v>
      </c>
    </row>
    <row r="16" spans="1:20" x14ac:dyDescent="0.35">
      <c r="A16" s="40" t="s">
        <v>142</v>
      </c>
      <c r="B16" s="1" t="s">
        <v>26</v>
      </c>
      <c r="C16" s="1" t="str">
        <f>VLOOKUP(B16,Mapping!A:B,2,0)</f>
        <v>Lateral</v>
      </c>
      <c r="D16" s="1" t="str">
        <f>VLOOKUP(B16,Mapping!A:C,3,0)</f>
        <v>South</v>
      </c>
      <c r="E16" s="40" t="str">
        <f>VLOOKUP(B16,Mapping!A:D,4,0)</f>
        <v>South 2</v>
      </c>
      <c r="F16" s="40" t="str">
        <f>VLOOKUP(B16,Mapping!A:E,5,0)</f>
        <v>Sulabh</v>
      </c>
      <c r="G16" s="40" t="str">
        <f>VLOOKUP(B16,Mapping!A:F,6,0)</f>
        <v>Krishna</v>
      </c>
      <c r="H16" s="42">
        <v>3</v>
      </c>
      <c r="I16" s="42">
        <v>4</v>
      </c>
      <c r="J16" s="42">
        <v>5</v>
      </c>
      <c r="K16" s="42">
        <v>4</v>
      </c>
      <c r="L16" s="42">
        <v>4</v>
      </c>
      <c r="M16" s="42">
        <v>5</v>
      </c>
      <c r="N16" s="42">
        <v>4</v>
      </c>
      <c r="O16" s="42">
        <v>4</v>
      </c>
      <c r="P16" s="42">
        <v>3</v>
      </c>
      <c r="Q16" s="42">
        <v>3</v>
      </c>
      <c r="R16" s="42">
        <v>4</v>
      </c>
      <c r="S16" s="42">
        <v>5</v>
      </c>
      <c r="T16" s="42">
        <f t="shared" si="2"/>
        <v>48</v>
      </c>
    </row>
    <row r="17" spans="1:20" x14ac:dyDescent="0.35">
      <c r="A17" s="40" t="s">
        <v>142</v>
      </c>
      <c r="B17" s="1" t="s">
        <v>28</v>
      </c>
      <c r="C17" s="1" t="str">
        <f>VLOOKUP(B17,Mapping!A:B,2,0)</f>
        <v>Lateral</v>
      </c>
      <c r="D17" s="1" t="str">
        <f>VLOOKUP(B17,Mapping!A:C,3,0)</f>
        <v>West</v>
      </c>
      <c r="E17" s="40" t="str">
        <f>VLOOKUP(B17,Mapping!A:D,4,0)</f>
        <v>West 1</v>
      </c>
      <c r="F17" s="40" t="str">
        <f>VLOOKUP(B17,Mapping!A:E,5,0)</f>
        <v>Anjli</v>
      </c>
      <c r="G17" s="40" t="str">
        <f>VLOOKUP(B17,Mapping!A:F,6,0)</f>
        <v>Dhriti</v>
      </c>
      <c r="H17" s="42">
        <v>105</v>
      </c>
      <c r="I17" s="42">
        <v>100</v>
      </c>
      <c r="J17" s="42">
        <v>100</v>
      </c>
      <c r="K17" s="42">
        <v>110</v>
      </c>
      <c r="L17" s="42">
        <v>110</v>
      </c>
      <c r="M17" s="42">
        <v>110</v>
      </c>
      <c r="N17" s="42">
        <v>120</v>
      </c>
      <c r="O17" s="42">
        <v>120</v>
      </c>
      <c r="P17" s="42">
        <v>120</v>
      </c>
      <c r="Q17" s="42">
        <v>130</v>
      </c>
      <c r="R17" s="42">
        <v>130</v>
      </c>
      <c r="S17" s="42">
        <v>130</v>
      </c>
      <c r="T17" s="42">
        <f t="shared" si="2"/>
        <v>1385</v>
      </c>
    </row>
    <row r="18" spans="1:20" x14ac:dyDescent="0.35">
      <c r="A18" s="40" t="s">
        <v>142</v>
      </c>
      <c r="B18" s="1" t="s">
        <v>29</v>
      </c>
      <c r="C18" s="1" t="str">
        <f>VLOOKUP(B18,Mapping!A:B,2,0)</f>
        <v>Lateral</v>
      </c>
      <c r="D18" s="1" t="str">
        <f>VLOOKUP(B18,Mapping!A:C,3,0)</f>
        <v>South</v>
      </c>
      <c r="E18" s="40" t="str">
        <f>VLOOKUP(B18,Mapping!A:D,4,0)</f>
        <v>South 2</v>
      </c>
      <c r="F18" s="40" t="str">
        <f>VLOOKUP(B18,Mapping!A:E,5,0)</f>
        <v>Sulabh</v>
      </c>
      <c r="G18" s="40" t="str">
        <f>VLOOKUP(B18,Mapping!A:F,6,0)</f>
        <v>Krishna</v>
      </c>
      <c r="H18" s="42">
        <v>0</v>
      </c>
      <c r="I18" s="42">
        <v>0</v>
      </c>
      <c r="J18" s="42">
        <v>0</v>
      </c>
      <c r="K18" s="42">
        <v>0</v>
      </c>
      <c r="L18" s="42">
        <v>0</v>
      </c>
      <c r="M18" s="42">
        <v>0</v>
      </c>
      <c r="N18" s="42">
        <v>0</v>
      </c>
      <c r="O18" s="42">
        <v>0</v>
      </c>
      <c r="P18" s="42">
        <v>0</v>
      </c>
      <c r="Q18" s="42">
        <v>0</v>
      </c>
      <c r="R18" s="42">
        <v>0</v>
      </c>
      <c r="S18" s="42">
        <v>0</v>
      </c>
      <c r="T18" s="42">
        <f t="shared" si="2"/>
        <v>0</v>
      </c>
    </row>
    <row r="19" spans="1:20" x14ac:dyDescent="0.35">
      <c r="A19" s="40" t="s">
        <v>142</v>
      </c>
      <c r="B19" s="1" t="s">
        <v>30</v>
      </c>
      <c r="C19" s="1" t="str">
        <f>VLOOKUP(B19,Mapping!A:B,2,0)</f>
        <v>Lateral</v>
      </c>
      <c r="D19" s="1" t="str">
        <f>VLOOKUP(B19,Mapping!A:C,3,0)</f>
        <v>South</v>
      </c>
      <c r="E19" s="40" t="str">
        <f>VLOOKUP(B19,Mapping!A:D,4,0)</f>
        <v>South 1</v>
      </c>
      <c r="F19" s="40" t="str">
        <f>VLOOKUP(B19,Mapping!A:E,5,0)</f>
        <v>Sulabh</v>
      </c>
      <c r="G19" s="40" t="str">
        <f>VLOOKUP(B19,Mapping!A:F,6,0)</f>
        <v>Subu</v>
      </c>
      <c r="H19" s="42">
        <v>40</v>
      </c>
      <c r="I19" s="42">
        <v>60</v>
      </c>
      <c r="J19" s="42">
        <v>50</v>
      </c>
      <c r="K19" s="42">
        <v>55</v>
      </c>
      <c r="L19" s="42">
        <v>55</v>
      </c>
      <c r="M19" s="42">
        <v>40</v>
      </c>
      <c r="N19" s="42">
        <v>40</v>
      </c>
      <c r="O19" s="42">
        <v>30</v>
      </c>
      <c r="P19" s="42">
        <v>30</v>
      </c>
      <c r="Q19" s="42">
        <v>60</v>
      </c>
      <c r="R19" s="42">
        <v>60</v>
      </c>
      <c r="S19" s="42">
        <v>30</v>
      </c>
      <c r="T19" s="42">
        <f t="shared" si="2"/>
        <v>550</v>
      </c>
    </row>
    <row r="20" spans="1:20" x14ac:dyDescent="0.35">
      <c r="A20" s="40" t="s">
        <v>142</v>
      </c>
      <c r="B20" s="1" t="s">
        <v>32</v>
      </c>
      <c r="C20" s="1" t="str">
        <f>VLOOKUP(B20,Mapping!A:B,2,0)</f>
        <v>Lateral</v>
      </c>
      <c r="D20" s="1" t="str">
        <f>VLOOKUP(B20,Mapping!A:C,3,0)</f>
        <v>West</v>
      </c>
      <c r="E20" s="40" t="str">
        <f>VLOOKUP(B20,Mapping!A:D,4,0)</f>
        <v>West 2</v>
      </c>
      <c r="F20" s="40" t="str">
        <f>VLOOKUP(B20,Mapping!A:E,5,0)</f>
        <v>Anjli</v>
      </c>
      <c r="G20" s="40" t="str">
        <f>VLOOKUP(B20,Mapping!A:F,6,0)</f>
        <v>Anjli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>
        <v>0</v>
      </c>
      <c r="N20" s="42">
        <v>0</v>
      </c>
      <c r="O20" s="42">
        <v>0</v>
      </c>
      <c r="P20" s="42">
        <v>0</v>
      </c>
      <c r="Q20" s="42">
        <v>0</v>
      </c>
      <c r="R20" s="42">
        <v>0</v>
      </c>
      <c r="S20" s="42">
        <v>0</v>
      </c>
      <c r="T20" s="42">
        <f t="shared" si="2"/>
        <v>0</v>
      </c>
    </row>
    <row r="21" spans="1:20" x14ac:dyDescent="0.35">
      <c r="A21" s="40" t="s">
        <v>142</v>
      </c>
      <c r="B21" s="1" t="s">
        <v>33</v>
      </c>
      <c r="C21" s="1" t="str">
        <f>VLOOKUP(B21,Mapping!A:B,2,0)</f>
        <v>Lateral</v>
      </c>
      <c r="D21" s="1" t="str">
        <f>VLOOKUP(B21,Mapping!A:C,3,0)</f>
        <v>West</v>
      </c>
      <c r="E21" s="40" t="str">
        <f>VLOOKUP(B21,Mapping!A:D,4,0)</f>
        <v>West 1</v>
      </c>
      <c r="F21" s="40" t="str">
        <f>VLOOKUP(B21,Mapping!A:E,5,0)</f>
        <v>Anjli</v>
      </c>
      <c r="G21" s="40" t="str">
        <f>VLOOKUP(B21,Mapping!A:F,6,0)</f>
        <v>Geetu</v>
      </c>
      <c r="H21" s="42">
        <v>6.703333333333334</v>
      </c>
      <c r="I21" s="42">
        <v>6.703333333333334</v>
      </c>
      <c r="J21" s="42">
        <v>6.703333333333334</v>
      </c>
      <c r="K21" s="42">
        <v>8.288333333333334</v>
      </c>
      <c r="L21" s="42">
        <v>8.288333333333334</v>
      </c>
      <c r="M21" s="42">
        <v>8.288333333333334</v>
      </c>
      <c r="N21" s="42">
        <v>8.5449999999999999</v>
      </c>
      <c r="O21" s="42">
        <v>8.5449999999999999</v>
      </c>
      <c r="P21" s="42">
        <v>8.5449999999999999</v>
      </c>
      <c r="Q21" s="42">
        <v>7.9033333333333333</v>
      </c>
      <c r="R21" s="42">
        <v>7.9033333333333333</v>
      </c>
      <c r="S21" s="42">
        <v>7.9033333333333333</v>
      </c>
      <c r="T21" s="42">
        <f t="shared" si="2"/>
        <v>94.320000000000007</v>
      </c>
    </row>
    <row r="22" spans="1:20" x14ac:dyDescent="0.35">
      <c r="A22" s="40" t="s">
        <v>142</v>
      </c>
      <c r="B22" s="1" t="s">
        <v>34</v>
      </c>
      <c r="C22" s="1" t="str">
        <f>VLOOKUP(B22,Mapping!A:B,2,0)</f>
        <v>Lateral</v>
      </c>
      <c r="D22" s="1" t="str">
        <f>VLOOKUP(B22,Mapping!A:C,3,0)</f>
        <v>South</v>
      </c>
      <c r="E22" s="40" t="str">
        <f>VLOOKUP(B22,Mapping!A:D,4,0)</f>
        <v>South 1</v>
      </c>
      <c r="F22" s="40" t="str">
        <f>VLOOKUP(B22,Mapping!A:E,5,0)</f>
        <v>Sulabh</v>
      </c>
      <c r="G22" s="40" t="str">
        <f>VLOOKUP(B22,Mapping!A:F,6,0)</f>
        <v>Satya</v>
      </c>
      <c r="H22" s="42">
        <v>0</v>
      </c>
      <c r="I22" s="42">
        <v>0</v>
      </c>
      <c r="J22" s="42">
        <v>0</v>
      </c>
      <c r="K22" s="42">
        <v>0</v>
      </c>
      <c r="L22" s="42">
        <v>0</v>
      </c>
      <c r="M22" s="42">
        <v>0</v>
      </c>
      <c r="N22" s="42">
        <v>0</v>
      </c>
      <c r="O22" s="42">
        <v>0</v>
      </c>
      <c r="P22" s="42">
        <v>0</v>
      </c>
      <c r="Q22" s="42">
        <v>0</v>
      </c>
      <c r="R22" s="42">
        <v>0</v>
      </c>
      <c r="S22" s="42">
        <v>0</v>
      </c>
      <c r="T22" s="42">
        <f t="shared" si="2"/>
        <v>0</v>
      </c>
    </row>
    <row r="23" spans="1:20" x14ac:dyDescent="0.35">
      <c r="A23" s="40" t="s">
        <v>142</v>
      </c>
      <c r="B23" s="1" t="s">
        <v>35</v>
      </c>
      <c r="C23" s="1" t="str">
        <f>VLOOKUP(B23,Mapping!A:B,2,0)</f>
        <v>Lateral</v>
      </c>
      <c r="D23" s="1" t="str">
        <f>VLOOKUP(B23,Mapping!A:C,3,0)</f>
        <v>West</v>
      </c>
      <c r="E23" s="40" t="str">
        <f>VLOOKUP(B23,Mapping!A:D,4,0)</f>
        <v>West 1</v>
      </c>
      <c r="F23" s="40" t="str">
        <f>VLOOKUP(B23,Mapping!A:E,5,0)</f>
        <v>Anjli</v>
      </c>
      <c r="G23" s="40" t="str">
        <f>VLOOKUP(B23,Mapping!A:F,6,0)</f>
        <v>Alifia</v>
      </c>
      <c r="H23" s="42">
        <v>30</v>
      </c>
      <c r="I23" s="42">
        <v>30</v>
      </c>
      <c r="J23" s="42">
        <v>30</v>
      </c>
      <c r="K23" s="42">
        <v>30</v>
      </c>
      <c r="L23" s="42">
        <v>30</v>
      </c>
      <c r="M23" s="42">
        <v>30</v>
      </c>
      <c r="N23" s="42">
        <v>30</v>
      </c>
      <c r="O23" s="42">
        <v>30</v>
      </c>
      <c r="P23" s="42">
        <v>30</v>
      </c>
      <c r="Q23" s="42">
        <v>30</v>
      </c>
      <c r="R23" s="42">
        <v>30</v>
      </c>
      <c r="S23" s="42">
        <v>30</v>
      </c>
      <c r="T23" s="42">
        <f t="shared" si="2"/>
        <v>360</v>
      </c>
    </row>
    <row r="24" spans="1:20" x14ac:dyDescent="0.35">
      <c r="A24" s="40" t="s">
        <v>142</v>
      </c>
      <c r="B24" s="1" t="s">
        <v>37</v>
      </c>
      <c r="C24" s="1" t="str">
        <f>VLOOKUP(B24,Mapping!A:B,2,0)</f>
        <v>Lateral</v>
      </c>
      <c r="D24" s="1" t="str">
        <f>VLOOKUP(B24,Mapping!A:C,3,0)</f>
        <v>South</v>
      </c>
      <c r="E24" s="40" t="str">
        <f>VLOOKUP(B24,Mapping!A:D,4,0)</f>
        <v>South 2</v>
      </c>
      <c r="F24" s="40" t="str">
        <f>VLOOKUP(B24,Mapping!A:E,5,0)</f>
        <v>Sulabh</v>
      </c>
      <c r="G24" s="40" t="str">
        <f>VLOOKUP(B24,Mapping!A:F,6,0)</f>
        <v>Subu</v>
      </c>
      <c r="H24" s="42">
        <v>1.3333333333333333</v>
      </c>
      <c r="I24" s="42">
        <v>1.3333333333333333</v>
      </c>
      <c r="J24" s="42">
        <v>1.3333333333333333</v>
      </c>
      <c r="K24" s="42">
        <v>1.3333333333333333</v>
      </c>
      <c r="L24" s="42">
        <v>1.3333333333333333</v>
      </c>
      <c r="M24" s="42">
        <v>1.3333333333333333</v>
      </c>
      <c r="N24" s="42">
        <v>0</v>
      </c>
      <c r="O24" s="42">
        <v>0</v>
      </c>
      <c r="P24" s="42">
        <v>0</v>
      </c>
      <c r="Q24" s="42">
        <v>0</v>
      </c>
      <c r="R24" s="42">
        <v>0</v>
      </c>
      <c r="S24" s="42">
        <v>0</v>
      </c>
      <c r="T24" s="42">
        <f t="shared" si="2"/>
        <v>7.9999999999999991</v>
      </c>
    </row>
    <row r="25" spans="1:20" x14ac:dyDescent="0.35">
      <c r="A25" s="40" t="s">
        <v>142</v>
      </c>
      <c r="B25" s="1" t="s">
        <v>38</v>
      </c>
      <c r="C25" s="1" t="str">
        <f>VLOOKUP(B25,Mapping!A:B,2,0)</f>
        <v>Lateral</v>
      </c>
      <c r="D25" s="1" t="str">
        <f>VLOOKUP(B25,Mapping!A:C,3,0)</f>
        <v>North</v>
      </c>
      <c r="E25" s="40" t="str">
        <f>VLOOKUP(B25,Mapping!A:D,4,0)</f>
        <v>North</v>
      </c>
      <c r="F25" s="40" t="str">
        <f>VLOOKUP(B25,Mapping!A:E,5,0)</f>
        <v>Anjli</v>
      </c>
      <c r="G25" s="40" t="str">
        <f>VLOOKUP(B25,Mapping!A:F,6,0)</f>
        <v>Archana</v>
      </c>
      <c r="H25" s="42">
        <v>10</v>
      </c>
      <c r="I25" s="42">
        <v>11</v>
      </c>
      <c r="J25" s="42">
        <v>11</v>
      </c>
      <c r="K25" s="42">
        <v>10</v>
      </c>
      <c r="L25" s="42">
        <v>12</v>
      </c>
      <c r="M25" s="42">
        <v>7</v>
      </c>
      <c r="N25" s="42">
        <v>10</v>
      </c>
      <c r="O25" s="42">
        <v>7</v>
      </c>
      <c r="P25" s="42">
        <v>12</v>
      </c>
      <c r="Q25" s="42">
        <v>10</v>
      </c>
      <c r="R25" s="42">
        <v>10</v>
      </c>
      <c r="S25" s="42">
        <v>10</v>
      </c>
      <c r="T25" s="42">
        <f t="shared" si="2"/>
        <v>120</v>
      </c>
    </row>
    <row r="26" spans="1:20" x14ac:dyDescent="0.35">
      <c r="A26" s="40" t="s">
        <v>142</v>
      </c>
      <c r="B26" s="1" t="s">
        <v>39</v>
      </c>
      <c r="C26" s="1" t="str">
        <f>VLOOKUP(B26,Mapping!A:B,2,0)</f>
        <v>Lateral</v>
      </c>
      <c r="D26" s="1" t="str">
        <f>VLOOKUP(B26,Mapping!A:C,3,0)</f>
        <v>South</v>
      </c>
      <c r="E26" s="40" t="str">
        <f>VLOOKUP(B26,Mapping!A:D,4,0)</f>
        <v>South 2</v>
      </c>
      <c r="F26" s="40" t="str">
        <f>VLOOKUP(B26,Mapping!A:E,5,0)</f>
        <v>Sulabh</v>
      </c>
      <c r="G26" s="40" t="str">
        <f>VLOOKUP(B26,Mapping!A:F,6,0)</f>
        <v>Krishna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>
        <v>0</v>
      </c>
      <c r="N26" s="42">
        <v>0</v>
      </c>
      <c r="O26" s="42">
        <v>0</v>
      </c>
      <c r="P26" s="42">
        <v>0</v>
      </c>
      <c r="Q26" s="42">
        <v>0</v>
      </c>
      <c r="R26" s="42">
        <v>0</v>
      </c>
      <c r="S26" s="42">
        <v>0</v>
      </c>
      <c r="T26" s="42">
        <f t="shared" si="2"/>
        <v>0</v>
      </c>
    </row>
    <row r="27" spans="1:20" x14ac:dyDescent="0.35">
      <c r="A27" s="40" t="s">
        <v>142</v>
      </c>
      <c r="B27" s="1" t="s">
        <v>40</v>
      </c>
      <c r="C27" s="1" t="str">
        <f>VLOOKUP(B27,Mapping!A:B,2,0)</f>
        <v>Lateral</v>
      </c>
      <c r="D27" s="1" t="str">
        <f>VLOOKUP(B27,Mapping!A:C,3,0)</f>
        <v>West</v>
      </c>
      <c r="E27" s="40" t="str">
        <f>VLOOKUP(B27,Mapping!A:D,4,0)</f>
        <v>West 2</v>
      </c>
      <c r="F27" s="40" t="str">
        <f>VLOOKUP(B27,Mapping!A:E,5,0)</f>
        <v>Anjli</v>
      </c>
      <c r="G27" s="40" t="str">
        <f>VLOOKUP(B27,Mapping!A:F,6,0)</f>
        <v>Shweta</v>
      </c>
      <c r="H27" s="42">
        <v>7</v>
      </c>
      <c r="I27" s="42">
        <v>7</v>
      </c>
      <c r="J27" s="42">
        <v>7</v>
      </c>
      <c r="K27" s="42">
        <v>7</v>
      </c>
      <c r="L27" s="42">
        <v>7.5</v>
      </c>
      <c r="M27" s="42">
        <v>7.5</v>
      </c>
      <c r="N27" s="42">
        <v>7.5</v>
      </c>
      <c r="O27" s="42">
        <v>7.5</v>
      </c>
      <c r="P27" s="42">
        <v>7</v>
      </c>
      <c r="Q27" s="42">
        <v>7.5</v>
      </c>
      <c r="R27" s="42">
        <v>7</v>
      </c>
      <c r="S27" s="42">
        <v>7</v>
      </c>
      <c r="T27" s="42">
        <f t="shared" si="2"/>
        <v>86.5</v>
      </c>
    </row>
    <row r="28" spans="1:20" x14ac:dyDescent="0.35">
      <c r="A28" s="40" t="s">
        <v>142</v>
      </c>
      <c r="B28" s="1" t="s">
        <v>41</v>
      </c>
      <c r="C28" s="1" t="str">
        <f>VLOOKUP(B28,Mapping!A:B,2,0)</f>
        <v>Lateral</v>
      </c>
      <c r="D28" s="1" t="str">
        <f>VLOOKUP(B28,Mapping!A:C,3,0)</f>
        <v>South</v>
      </c>
      <c r="E28" s="40" t="str">
        <f>VLOOKUP(B28,Mapping!A:D,4,0)</f>
        <v>South 2</v>
      </c>
      <c r="F28" s="40" t="str">
        <f>VLOOKUP(B28,Mapping!A:E,5,0)</f>
        <v>Sulabh</v>
      </c>
      <c r="G28" s="40" t="str">
        <f>VLOOKUP(B28,Mapping!A:F,6,0)</f>
        <v>Krishna</v>
      </c>
      <c r="H28" s="42">
        <v>16</v>
      </c>
      <c r="I28" s="42">
        <v>16</v>
      </c>
      <c r="J28" s="42">
        <v>16</v>
      </c>
      <c r="K28" s="42">
        <v>16</v>
      </c>
      <c r="L28" s="42">
        <v>16</v>
      </c>
      <c r="M28" s="42">
        <v>16</v>
      </c>
      <c r="N28" s="42">
        <v>16</v>
      </c>
      <c r="O28" s="42">
        <v>16</v>
      </c>
      <c r="P28" s="42">
        <v>16</v>
      </c>
      <c r="Q28" s="42">
        <v>16</v>
      </c>
      <c r="R28" s="42">
        <v>16</v>
      </c>
      <c r="S28" s="42">
        <v>16</v>
      </c>
      <c r="T28" s="42">
        <f t="shared" si="2"/>
        <v>192</v>
      </c>
    </row>
    <row r="29" spans="1:20" x14ac:dyDescent="0.35">
      <c r="A29" s="40" t="s">
        <v>142</v>
      </c>
      <c r="B29" s="1" t="s">
        <v>42</v>
      </c>
      <c r="C29" s="1" t="str">
        <f>VLOOKUP(B29,Mapping!A:B,2,0)</f>
        <v>Lateral</v>
      </c>
      <c r="D29" s="1" t="str">
        <f>VLOOKUP(B29,Mapping!A:C,3,0)</f>
        <v>North</v>
      </c>
      <c r="E29" s="40" t="str">
        <f>VLOOKUP(B29,Mapping!A:D,4,0)</f>
        <v>North</v>
      </c>
      <c r="F29" s="40" t="str">
        <f>VLOOKUP(B29,Mapping!A:E,5,0)</f>
        <v>Anjli</v>
      </c>
      <c r="G29" s="40" t="str">
        <f>VLOOKUP(B29,Mapping!A:F,6,0)</f>
        <v>Archana</v>
      </c>
      <c r="H29" s="42">
        <v>12</v>
      </c>
      <c r="I29" s="42">
        <v>9</v>
      </c>
      <c r="J29" s="42">
        <v>12</v>
      </c>
      <c r="K29" s="42">
        <v>15</v>
      </c>
      <c r="L29" s="42">
        <v>15</v>
      </c>
      <c r="M29" s="42">
        <v>20</v>
      </c>
      <c r="N29" s="42">
        <v>18</v>
      </c>
      <c r="O29" s="42">
        <v>20</v>
      </c>
      <c r="P29" s="42">
        <v>20</v>
      </c>
      <c r="Q29" s="42">
        <v>8</v>
      </c>
      <c r="R29" s="42">
        <v>15</v>
      </c>
      <c r="S29" s="42">
        <v>15</v>
      </c>
      <c r="T29" s="42">
        <f t="shared" si="2"/>
        <v>179</v>
      </c>
    </row>
    <row r="30" spans="1:20" x14ac:dyDescent="0.35">
      <c r="A30" s="40" t="s">
        <v>142</v>
      </c>
      <c r="B30" s="1" t="s">
        <v>43</v>
      </c>
      <c r="C30" s="1" t="str">
        <f>VLOOKUP(B30,Mapping!A:B,2,0)</f>
        <v>Lateral</v>
      </c>
      <c r="D30" s="1" t="str">
        <f>VLOOKUP(B30,Mapping!A:C,3,0)</f>
        <v>West</v>
      </c>
      <c r="E30" s="40" t="str">
        <f>VLOOKUP(B30,Mapping!A:D,4,0)</f>
        <v>West 2</v>
      </c>
      <c r="F30" s="40" t="str">
        <f>VLOOKUP(B30,Mapping!A:E,5,0)</f>
        <v>Anjli</v>
      </c>
      <c r="G30" s="40" t="str">
        <f>VLOOKUP(B30,Mapping!A:F,6,0)</f>
        <v>Shweta</v>
      </c>
      <c r="H30" s="42">
        <v>4</v>
      </c>
      <c r="I30" s="42">
        <v>4</v>
      </c>
      <c r="J30" s="42">
        <v>4</v>
      </c>
      <c r="K30" s="42">
        <v>5</v>
      </c>
      <c r="L30" s="42">
        <v>5.5</v>
      </c>
      <c r="M30" s="42">
        <v>5.5</v>
      </c>
      <c r="N30" s="42">
        <v>5</v>
      </c>
      <c r="O30" s="42">
        <v>5.5</v>
      </c>
      <c r="P30" s="42">
        <v>5.5</v>
      </c>
      <c r="Q30" s="42">
        <v>5</v>
      </c>
      <c r="R30" s="42">
        <v>5.5</v>
      </c>
      <c r="S30" s="42">
        <v>5.5</v>
      </c>
      <c r="T30" s="42">
        <f t="shared" si="2"/>
        <v>60</v>
      </c>
    </row>
    <row r="31" spans="1:20" x14ac:dyDescent="0.35">
      <c r="A31" s="40" t="s">
        <v>142</v>
      </c>
      <c r="B31" s="1" t="s">
        <v>44</v>
      </c>
      <c r="C31" s="1" t="str">
        <f>VLOOKUP(B31,Mapping!A:B,2,0)</f>
        <v>Lateral</v>
      </c>
      <c r="D31" s="1" t="str">
        <f>VLOOKUP(B31,Mapping!A:C,3,0)</f>
        <v>North</v>
      </c>
      <c r="E31" s="40" t="str">
        <f>VLOOKUP(B31,Mapping!A:D,4,0)</f>
        <v>North</v>
      </c>
      <c r="F31" s="40" t="str">
        <f>VLOOKUP(B31,Mapping!A:E,5,0)</f>
        <v>Anjli</v>
      </c>
      <c r="G31" s="40" t="str">
        <f>VLOOKUP(B31,Mapping!A:F,6,0)</f>
        <v>Archana</v>
      </c>
      <c r="H31" s="42">
        <v>35</v>
      </c>
      <c r="I31" s="42">
        <v>35</v>
      </c>
      <c r="J31" s="42">
        <v>30</v>
      </c>
      <c r="K31" s="42">
        <v>42</v>
      </c>
      <c r="L31" s="42">
        <v>43</v>
      </c>
      <c r="M31" s="42">
        <v>42</v>
      </c>
      <c r="N31" s="42">
        <v>43</v>
      </c>
      <c r="O31" s="42">
        <v>45</v>
      </c>
      <c r="P31" s="42">
        <v>45</v>
      </c>
      <c r="Q31" s="42">
        <v>40</v>
      </c>
      <c r="R31" s="42">
        <v>40</v>
      </c>
      <c r="S31" s="42">
        <v>40</v>
      </c>
      <c r="T31" s="42">
        <f t="shared" si="2"/>
        <v>480</v>
      </c>
    </row>
    <row r="32" spans="1:20" x14ac:dyDescent="0.35">
      <c r="A32" s="40" t="s">
        <v>142</v>
      </c>
      <c r="B32" s="1" t="s">
        <v>45</v>
      </c>
      <c r="C32" s="1" t="str">
        <f>VLOOKUP(B32,Mapping!A:B,2,0)</f>
        <v>Lateral</v>
      </c>
      <c r="D32" s="1" t="str">
        <f>VLOOKUP(B32,Mapping!A:C,3,0)</f>
        <v>South</v>
      </c>
      <c r="E32" s="40" t="str">
        <f>VLOOKUP(B32,Mapping!A:D,4,0)</f>
        <v>South 2</v>
      </c>
      <c r="F32" s="40" t="str">
        <f>VLOOKUP(B32,Mapping!A:E,5,0)</f>
        <v>Sulabh</v>
      </c>
      <c r="G32" s="40" t="str">
        <f>VLOOKUP(B32,Mapping!A:F,6,0)</f>
        <v>Krishna</v>
      </c>
      <c r="H32" s="42">
        <v>0</v>
      </c>
      <c r="I32" s="42">
        <v>0</v>
      </c>
      <c r="J32" s="42">
        <v>0</v>
      </c>
      <c r="K32" s="42">
        <v>0</v>
      </c>
      <c r="L32" s="42">
        <v>0</v>
      </c>
      <c r="M32" s="42">
        <v>0</v>
      </c>
      <c r="N32" s="42">
        <v>0</v>
      </c>
      <c r="O32" s="42">
        <v>0</v>
      </c>
      <c r="P32" s="42">
        <v>0</v>
      </c>
      <c r="Q32" s="42">
        <v>0</v>
      </c>
      <c r="R32" s="42">
        <v>0</v>
      </c>
      <c r="S32" s="42">
        <v>0</v>
      </c>
      <c r="T32" s="42">
        <f t="shared" si="2"/>
        <v>0</v>
      </c>
    </row>
    <row r="33" spans="1:20" x14ac:dyDescent="0.35">
      <c r="A33" s="40" t="s">
        <v>142</v>
      </c>
      <c r="B33" s="1" t="s">
        <v>46</v>
      </c>
      <c r="C33" s="1" t="str">
        <f>VLOOKUP(B33,Mapping!A:B,2,0)</f>
        <v>Lateral</v>
      </c>
      <c r="D33" s="1" t="str">
        <f>VLOOKUP(B33,Mapping!A:C,3,0)</f>
        <v>West</v>
      </c>
      <c r="E33" s="40" t="str">
        <f>VLOOKUP(B33,Mapping!A:D,4,0)</f>
        <v>West 1</v>
      </c>
      <c r="F33" s="40" t="str">
        <f>VLOOKUP(B33,Mapping!A:E,5,0)</f>
        <v>Anjli</v>
      </c>
      <c r="G33" s="40" t="str">
        <f>VLOOKUP(B33,Mapping!A:F,6,0)</f>
        <v>Geetu</v>
      </c>
      <c r="H33" s="42">
        <v>20.91</v>
      </c>
      <c r="I33" s="42">
        <v>20.91</v>
      </c>
      <c r="J33" s="42">
        <v>20.91</v>
      </c>
      <c r="K33" s="42">
        <v>21.13</v>
      </c>
      <c r="L33" s="42">
        <v>21.13</v>
      </c>
      <c r="M33" s="42">
        <v>21.13</v>
      </c>
      <c r="N33" s="42">
        <v>19.7</v>
      </c>
      <c r="O33" s="42">
        <v>19.7</v>
      </c>
      <c r="P33" s="42">
        <v>19.7</v>
      </c>
      <c r="Q33" s="42">
        <v>20.25</v>
      </c>
      <c r="R33" s="42">
        <v>20.25</v>
      </c>
      <c r="S33" s="42">
        <v>20.25</v>
      </c>
      <c r="T33" s="42">
        <f t="shared" si="2"/>
        <v>245.96999999999997</v>
      </c>
    </row>
    <row r="34" spans="1:20" x14ac:dyDescent="0.35">
      <c r="A34" s="40" t="s">
        <v>142</v>
      </c>
      <c r="B34" s="1" t="s">
        <v>47</v>
      </c>
      <c r="C34" s="1" t="str">
        <f>VLOOKUP(B34,Mapping!A:B,2,0)</f>
        <v>Lateral</v>
      </c>
      <c r="D34" s="1" t="str">
        <f>VLOOKUP(B34,Mapping!A:C,3,0)</f>
        <v>West</v>
      </c>
      <c r="E34" s="40" t="str">
        <f>VLOOKUP(B34,Mapping!A:D,4,0)</f>
        <v>West 1</v>
      </c>
      <c r="F34" s="40" t="str">
        <f>VLOOKUP(B34,Mapping!A:E,5,0)</f>
        <v>Anjli</v>
      </c>
      <c r="G34" s="40" t="str">
        <f>VLOOKUP(B34,Mapping!A:F,6,0)</f>
        <v>Geetu</v>
      </c>
      <c r="H34" s="42">
        <v>1</v>
      </c>
      <c r="I34" s="42">
        <v>1.5</v>
      </c>
      <c r="J34" s="42">
        <v>1</v>
      </c>
      <c r="K34" s="42">
        <v>1</v>
      </c>
      <c r="L34" s="42">
        <v>1.5</v>
      </c>
      <c r="M34" s="42">
        <v>1</v>
      </c>
      <c r="N34" s="42">
        <v>1</v>
      </c>
      <c r="O34" s="42">
        <v>1</v>
      </c>
      <c r="P34" s="42">
        <v>1.5</v>
      </c>
      <c r="Q34" s="42">
        <v>1</v>
      </c>
      <c r="R34" s="42">
        <v>1</v>
      </c>
      <c r="S34" s="42">
        <v>1</v>
      </c>
      <c r="T34" s="42">
        <f t="shared" si="2"/>
        <v>13.5</v>
      </c>
    </row>
    <row r="35" spans="1:20" x14ac:dyDescent="0.35">
      <c r="A35" s="40" t="s">
        <v>142</v>
      </c>
      <c r="B35" s="1" t="s">
        <v>48</v>
      </c>
      <c r="C35" s="1" t="str">
        <f>VLOOKUP(B35,Mapping!A:B,2,0)</f>
        <v>Lateral</v>
      </c>
      <c r="D35" s="1" t="str">
        <f>VLOOKUP(B35,Mapping!A:C,3,0)</f>
        <v>West</v>
      </c>
      <c r="E35" s="40" t="str">
        <f>VLOOKUP(B35,Mapping!A:D,4,0)</f>
        <v>West 1</v>
      </c>
      <c r="F35" s="40" t="str">
        <f>VLOOKUP(B35,Mapping!A:E,5,0)</f>
        <v>Anjli</v>
      </c>
      <c r="G35" s="40" t="str">
        <f>VLOOKUP(B35,Mapping!A:F,6,0)</f>
        <v>Geetu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42">
        <v>0</v>
      </c>
      <c r="O35" s="42">
        <v>0</v>
      </c>
      <c r="P35" s="42">
        <v>0</v>
      </c>
      <c r="Q35" s="42">
        <v>0</v>
      </c>
      <c r="R35" s="42">
        <v>0</v>
      </c>
      <c r="S35" s="42">
        <v>0</v>
      </c>
      <c r="T35" s="42">
        <f t="shared" si="2"/>
        <v>0</v>
      </c>
    </row>
    <row r="36" spans="1:20" x14ac:dyDescent="0.35">
      <c r="A36" s="40" t="s">
        <v>142</v>
      </c>
      <c r="B36" s="1" t="s">
        <v>49</v>
      </c>
      <c r="C36" s="1" t="str">
        <f>VLOOKUP(B36,Mapping!A:B,2,0)</f>
        <v>Lateral</v>
      </c>
      <c r="D36" s="1" t="str">
        <f>VLOOKUP(B36,Mapping!A:C,3,0)</f>
        <v>North</v>
      </c>
      <c r="E36" s="40" t="str">
        <f>VLOOKUP(B36,Mapping!A:D,4,0)</f>
        <v>North</v>
      </c>
      <c r="F36" s="40" t="str">
        <f>VLOOKUP(B36,Mapping!A:E,5,0)</f>
        <v>Anjli</v>
      </c>
      <c r="G36" s="40" t="str">
        <f>VLOOKUP(B36,Mapping!A:F,6,0)</f>
        <v>Archana</v>
      </c>
      <c r="H36" s="42">
        <v>0</v>
      </c>
      <c r="I36" s="42">
        <v>0</v>
      </c>
      <c r="J36" s="42">
        <v>0</v>
      </c>
      <c r="K36" s="42">
        <v>0</v>
      </c>
      <c r="L36" s="42">
        <v>0</v>
      </c>
      <c r="M36" s="42">
        <v>0</v>
      </c>
      <c r="N36" s="42">
        <v>0</v>
      </c>
      <c r="O36" s="42">
        <v>0</v>
      </c>
      <c r="P36" s="42">
        <v>0</v>
      </c>
      <c r="Q36" s="42">
        <v>0</v>
      </c>
      <c r="R36" s="42">
        <v>0</v>
      </c>
      <c r="S36" s="42">
        <v>0</v>
      </c>
      <c r="T36" s="42">
        <f t="shared" si="2"/>
        <v>0</v>
      </c>
    </row>
    <row r="37" spans="1:20" x14ac:dyDescent="0.35">
      <c r="A37" s="40" t="s">
        <v>142</v>
      </c>
      <c r="B37" s="1" t="s">
        <v>50</v>
      </c>
      <c r="C37" s="1" t="str">
        <f>VLOOKUP(B37,Mapping!A:B,2,0)</f>
        <v>Lateral</v>
      </c>
      <c r="D37" s="1" t="str">
        <f>VLOOKUP(B37,Mapping!A:C,3,0)</f>
        <v>North</v>
      </c>
      <c r="E37" s="40" t="str">
        <f>VLOOKUP(B37,Mapping!A:D,4,0)</f>
        <v>North</v>
      </c>
      <c r="F37" s="40" t="str">
        <f>VLOOKUP(B37,Mapping!A:E,5,0)</f>
        <v>Anjli</v>
      </c>
      <c r="G37" s="40" t="str">
        <f>VLOOKUP(B37,Mapping!A:F,6,0)</f>
        <v>Archana</v>
      </c>
      <c r="H37" s="42">
        <v>3</v>
      </c>
      <c r="I37" s="42">
        <v>2.6</v>
      </c>
      <c r="J37" s="42">
        <v>3</v>
      </c>
      <c r="K37" s="42">
        <v>3</v>
      </c>
      <c r="L37" s="42">
        <v>3.1</v>
      </c>
      <c r="M37" s="42">
        <v>3</v>
      </c>
      <c r="N37" s="42">
        <v>3</v>
      </c>
      <c r="O37" s="42">
        <v>4</v>
      </c>
      <c r="P37" s="42">
        <v>4</v>
      </c>
      <c r="Q37" s="42">
        <v>4</v>
      </c>
      <c r="R37" s="42">
        <v>4.2</v>
      </c>
      <c r="S37" s="42">
        <v>4.2</v>
      </c>
      <c r="T37" s="42">
        <f t="shared" si="2"/>
        <v>41.100000000000009</v>
      </c>
    </row>
    <row r="38" spans="1:20" x14ac:dyDescent="0.35">
      <c r="A38" s="40" t="s">
        <v>142</v>
      </c>
      <c r="B38" s="1" t="s">
        <v>51</v>
      </c>
      <c r="C38" s="1" t="str">
        <f>VLOOKUP(B38,Mapping!A:B,2,0)</f>
        <v>Lateral</v>
      </c>
      <c r="D38" s="1" t="str">
        <f>VLOOKUP(B38,Mapping!A:C,3,0)</f>
        <v>West</v>
      </c>
      <c r="E38" s="40" t="str">
        <f>VLOOKUP(B38,Mapping!A:D,4,0)</f>
        <v>West 1</v>
      </c>
      <c r="F38" s="40" t="str">
        <f>VLOOKUP(B38,Mapping!A:E,5,0)</f>
        <v>Anjli</v>
      </c>
      <c r="G38" s="40" t="str">
        <f>VLOOKUP(B38,Mapping!A:F,6,0)</f>
        <v>Geetu</v>
      </c>
      <c r="H38" s="42">
        <v>7.87</v>
      </c>
      <c r="I38" s="42">
        <v>7.87</v>
      </c>
      <c r="J38" s="42">
        <v>7.87</v>
      </c>
      <c r="K38" s="42">
        <v>8.2379999999999995</v>
      </c>
      <c r="L38" s="42">
        <v>8.2379999999999995</v>
      </c>
      <c r="M38" s="42">
        <v>8.2379999999999995</v>
      </c>
      <c r="N38" s="42">
        <v>8.5933333333333337</v>
      </c>
      <c r="O38" s="42">
        <v>8.5933333333333337</v>
      </c>
      <c r="P38" s="42">
        <v>8.5933333333333337</v>
      </c>
      <c r="Q38" s="42">
        <v>8.7383333333333333</v>
      </c>
      <c r="R38" s="42">
        <v>8.7383333333333333</v>
      </c>
      <c r="S38" s="42">
        <v>8.7383333333333333</v>
      </c>
      <c r="T38" s="42">
        <f t="shared" si="2"/>
        <v>100.31899999999999</v>
      </c>
    </row>
    <row r="39" spans="1:20" x14ac:dyDescent="0.35">
      <c r="A39" s="40" t="s">
        <v>142</v>
      </c>
      <c r="B39" s="1" t="s">
        <v>52</v>
      </c>
      <c r="C39" s="1" t="str">
        <f>VLOOKUP(B39,Mapping!A:B,2,0)</f>
        <v>Lateral</v>
      </c>
      <c r="D39" s="1" t="str">
        <f>VLOOKUP(B39,Mapping!A:C,3,0)</f>
        <v>West</v>
      </c>
      <c r="E39" s="40" t="str">
        <f>VLOOKUP(B39,Mapping!A:D,4,0)</f>
        <v>West 2</v>
      </c>
      <c r="F39" s="40" t="str">
        <f>VLOOKUP(B39,Mapping!A:E,5,0)</f>
        <v>Anjli</v>
      </c>
      <c r="G39" s="40" t="str">
        <f>VLOOKUP(B39,Mapping!A:F,6,0)</f>
        <v>Shweta</v>
      </c>
      <c r="H39" s="42">
        <v>5</v>
      </c>
      <c r="I39" s="42">
        <v>5</v>
      </c>
      <c r="J39" s="42">
        <v>5.5</v>
      </c>
      <c r="K39" s="42">
        <v>5</v>
      </c>
      <c r="L39" s="42">
        <v>6</v>
      </c>
      <c r="M39" s="42">
        <v>7</v>
      </c>
      <c r="N39" s="42">
        <v>5</v>
      </c>
      <c r="O39" s="42">
        <v>6</v>
      </c>
      <c r="P39" s="42">
        <v>6</v>
      </c>
      <c r="Q39" s="42">
        <v>5</v>
      </c>
      <c r="R39" s="42">
        <v>5</v>
      </c>
      <c r="S39" s="42">
        <v>5</v>
      </c>
      <c r="T39" s="42">
        <f t="shared" si="2"/>
        <v>65.5</v>
      </c>
    </row>
    <row r="40" spans="1:20" x14ac:dyDescent="0.35">
      <c r="A40" s="40" t="s">
        <v>142</v>
      </c>
      <c r="B40" s="1" t="s">
        <v>53</v>
      </c>
      <c r="C40" s="1" t="str">
        <f>VLOOKUP(B40,Mapping!A:B,2,0)</f>
        <v>Lateral</v>
      </c>
      <c r="D40" s="1" t="str">
        <f>VLOOKUP(B40,Mapping!A:C,3,0)</f>
        <v>West</v>
      </c>
      <c r="E40" s="40" t="str">
        <f>VLOOKUP(B40,Mapping!A:D,4,0)</f>
        <v>West 1</v>
      </c>
      <c r="F40" s="40" t="str">
        <f>VLOOKUP(B40,Mapping!A:E,5,0)</f>
        <v>Anjli</v>
      </c>
      <c r="G40" s="40" t="str">
        <f>VLOOKUP(B40,Mapping!A:F,6,0)</f>
        <v>Ankit</v>
      </c>
      <c r="H40" s="42">
        <v>40</v>
      </c>
      <c r="I40" s="42">
        <v>36</v>
      </c>
      <c r="J40" s="42">
        <v>36</v>
      </c>
      <c r="K40" s="42">
        <v>36</v>
      </c>
      <c r="L40" s="42">
        <v>32</v>
      </c>
      <c r="M40" s="42">
        <v>31</v>
      </c>
      <c r="N40" s="42">
        <v>31</v>
      </c>
      <c r="O40" s="42">
        <v>38</v>
      </c>
      <c r="P40" s="42">
        <v>35</v>
      </c>
      <c r="Q40" s="42">
        <v>36</v>
      </c>
      <c r="R40" s="42">
        <v>37</v>
      </c>
      <c r="S40" s="42">
        <v>38</v>
      </c>
      <c r="T40" s="42">
        <f t="shared" si="2"/>
        <v>426</v>
      </c>
    </row>
    <row r="41" spans="1:20" x14ac:dyDescent="0.35">
      <c r="A41" s="40" t="s">
        <v>142</v>
      </c>
      <c r="B41" s="1" t="s">
        <v>55</v>
      </c>
      <c r="C41" s="1" t="str">
        <f>VLOOKUP(B41,Mapping!A:B,2,0)</f>
        <v>Lateral</v>
      </c>
      <c r="D41" s="1" t="str">
        <f>VLOOKUP(B41,Mapping!A:C,3,0)</f>
        <v>South</v>
      </c>
      <c r="E41" s="40" t="str">
        <f>VLOOKUP(B41,Mapping!A:D,4,0)</f>
        <v>South 2</v>
      </c>
      <c r="F41" s="40" t="str">
        <f>VLOOKUP(B41,Mapping!A:E,5,0)</f>
        <v>Sulabh</v>
      </c>
      <c r="G41" s="40" t="str">
        <f>VLOOKUP(B41,Mapping!A:F,6,0)</f>
        <v>Krishna</v>
      </c>
      <c r="H41" s="42">
        <v>14</v>
      </c>
      <c r="I41" s="42">
        <v>15</v>
      </c>
      <c r="J41" s="42">
        <v>17</v>
      </c>
      <c r="K41" s="42">
        <v>18</v>
      </c>
      <c r="L41" s="42">
        <v>22</v>
      </c>
      <c r="M41" s="42">
        <v>24</v>
      </c>
      <c r="N41" s="42">
        <v>17</v>
      </c>
      <c r="O41" s="42">
        <v>21</v>
      </c>
      <c r="P41" s="42">
        <v>22</v>
      </c>
      <c r="Q41" s="42">
        <v>18</v>
      </c>
      <c r="R41" s="42">
        <v>20</v>
      </c>
      <c r="S41" s="42">
        <v>24</v>
      </c>
      <c r="T41" s="42">
        <f t="shared" si="2"/>
        <v>232</v>
      </c>
    </row>
    <row r="42" spans="1:20" x14ac:dyDescent="0.35">
      <c r="A42" s="40" t="s">
        <v>142</v>
      </c>
      <c r="B42" s="1" t="s">
        <v>56</v>
      </c>
      <c r="C42" s="1" t="str">
        <f>VLOOKUP(B42,Mapping!A:B,2,0)</f>
        <v>Lateral</v>
      </c>
      <c r="D42" s="1" t="str">
        <f>VLOOKUP(B42,Mapping!A:C,3,0)</f>
        <v>North</v>
      </c>
      <c r="E42" s="40" t="str">
        <f>VLOOKUP(B42,Mapping!A:D,4,0)</f>
        <v>North</v>
      </c>
      <c r="F42" s="40" t="str">
        <f>VLOOKUP(B42,Mapping!A:E,5,0)</f>
        <v>Anjli</v>
      </c>
      <c r="G42" s="40" t="str">
        <f>VLOOKUP(B42,Mapping!A:F,6,0)</f>
        <v>Archana</v>
      </c>
      <c r="H42" s="42">
        <v>3</v>
      </c>
      <c r="I42" s="42">
        <v>4</v>
      </c>
      <c r="J42" s="42">
        <v>5</v>
      </c>
      <c r="K42" s="42">
        <v>5</v>
      </c>
      <c r="L42" s="42">
        <v>5</v>
      </c>
      <c r="M42" s="42">
        <v>6</v>
      </c>
      <c r="N42" s="42">
        <v>5</v>
      </c>
      <c r="O42" s="42">
        <v>5</v>
      </c>
      <c r="P42" s="42">
        <v>5</v>
      </c>
      <c r="Q42" s="42">
        <v>5</v>
      </c>
      <c r="R42" s="42">
        <v>5</v>
      </c>
      <c r="S42" s="42">
        <v>5</v>
      </c>
      <c r="T42" s="42">
        <f t="shared" si="2"/>
        <v>58</v>
      </c>
    </row>
    <row r="43" spans="1:20" x14ac:dyDescent="0.35">
      <c r="A43" s="40" t="s">
        <v>142</v>
      </c>
      <c r="B43" s="1" t="s">
        <v>57</v>
      </c>
      <c r="C43" s="1" t="str">
        <f>VLOOKUP(B43,Mapping!A:B,2,0)</f>
        <v>Lateral</v>
      </c>
      <c r="D43" s="1" t="str">
        <f>VLOOKUP(B43,Mapping!A:C,3,0)</f>
        <v>South</v>
      </c>
      <c r="E43" s="40" t="str">
        <f>VLOOKUP(B43,Mapping!A:D,4,0)</f>
        <v>South 2</v>
      </c>
      <c r="F43" s="40" t="str">
        <f>VLOOKUP(B43,Mapping!A:E,5,0)</f>
        <v>Sulabh</v>
      </c>
      <c r="G43" s="40" t="str">
        <f>VLOOKUP(B43,Mapping!A:F,6,0)</f>
        <v>Krishna</v>
      </c>
      <c r="H43" s="42">
        <v>0</v>
      </c>
      <c r="I43" s="42">
        <v>0</v>
      </c>
      <c r="J43" s="42">
        <v>0</v>
      </c>
      <c r="K43" s="42">
        <v>0</v>
      </c>
      <c r="L43" s="42">
        <v>0</v>
      </c>
      <c r="M43" s="42">
        <v>0</v>
      </c>
      <c r="N43" s="42">
        <v>0</v>
      </c>
      <c r="O43" s="42">
        <v>0</v>
      </c>
      <c r="P43" s="42">
        <v>0</v>
      </c>
      <c r="Q43" s="42">
        <v>0</v>
      </c>
      <c r="R43" s="42">
        <v>0</v>
      </c>
      <c r="S43" s="42">
        <v>0</v>
      </c>
      <c r="T43" s="42">
        <f t="shared" si="2"/>
        <v>0</v>
      </c>
    </row>
    <row r="44" spans="1:20" x14ac:dyDescent="0.35">
      <c r="A44" s="40" t="s">
        <v>142</v>
      </c>
      <c r="B44" s="1" t="s">
        <v>58</v>
      </c>
      <c r="C44" s="1" t="str">
        <f>VLOOKUP(B44,Mapping!A:B,2,0)</f>
        <v>Lateral</v>
      </c>
      <c r="D44" s="1" t="str">
        <f>VLOOKUP(B44,Mapping!A:C,3,0)</f>
        <v>West</v>
      </c>
      <c r="E44" s="40" t="str">
        <f>VLOOKUP(B44,Mapping!A:D,4,0)</f>
        <v>West 1</v>
      </c>
      <c r="F44" s="40" t="str">
        <f>VLOOKUP(B44,Mapping!A:E,5,0)</f>
        <v>Anjli</v>
      </c>
      <c r="G44" s="40" t="str">
        <f>VLOOKUP(B44,Mapping!A:F,6,0)</f>
        <v>Elton</v>
      </c>
      <c r="H44" s="42">
        <v>0</v>
      </c>
      <c r="I44" s="42">
        <v>0</v>
      </c>
      <c r="J44" s="42">
        <v>0</v>
      </c>
      <c r="K44" s="42">
        <v>0</v>
      </c>
      <c r="L44" s="42">
        <v>0</v>
      </c>
      <c r="M44" s="42">
        <v>0</v>
      </c>
      <c r="N44" s="42">
        <v>0</v>
      </c>
      <c r="O44" s="42">
        <v>0</v>
      </c>
      <c r="P44" s="42">
        <v>0</v>
      </c>
      <c r="Q44" s="42">
        <v>0</v>
      </c>
      <c r="R44" s="42">
        <v>0</v>
      </c>
      <c r="S44" s="42">
        <v>0</v>
      </c>
      <c r="T44" s="42">
        <f t="shared" si="2"/>
        <v>0</v>
      </c>
    </row>
    <row r="45" spans="1:20" x14ac:dyDescent="0.35">
      <c r="A45" s="40" t="s">
        <v>142</v>
      </c>
      <c r="B45" s="1" t="s">
        <v>60</v>
      </c>
      <c r="C45" s="1" t="str">
        <f>VLOOKUP(B45,Mapping!A:B,2,0)</f>
        <v>Lateral</v>
      </c>
      <c r="D45" s="1" t="str">
        <f>VLOOKUP(B45,Mapping!A:C,3,0)</f>
        <v>West</v>
      </c>
      <c r="E45" s="40" t="str">
        <f>VLOOKUP(B45,Mapping!A:D,4,0)</f>
        <v>West 2</v>
      </c>
      <c r="F45" s="40" t="str">
        <f>VLOOKUP(B45,Mapping!A:E,5,0)</f>
        <v>Anjli</v>
      </c>
      <c r="G45" s="40" t="str">
        <f>VLOOKUP(B45,Mapping!A:F,6,0)</f>
        <v>Shweta</v>
      </c>
      <c r="H45" s="42">
        <v>0</v>
      </c>
      <c r="I45" s="42">
        <v>0</v>
      </c>
      <c r="J45" s="42">
        <v>0</v>
      </c>
      <c r="K45" s="42">
        <v>0</v>
      </c>
      <c r="L45" s="42">
        <v>0</v>
      </c>
      <c r="M45" s="42">
        <v>0</v>
      </c>
      <c r="N45" s="42">
        <v>0</v>
      </c>
      <c r="O45" s="42">
        <v>0</v>
      </c>
      <c r="P45" s="42">
        <v>0</v>
      </c>
      <c r="Q45" s="42">
        <v>0</v>
      </c>
      <c r="R45" s="42">
        <v>0</v>
      </c>
      <c r="S45" s="42">
        <v>0</v>
      </c>
      <c r="T45" s="42">
        <f t="shared" si="2"/>
        <v>0</v>
      </c>
    </row>
    <row r="46" spans="1:20" x14ac:dyDescent="0.35">
      <c r="A46" s="40" t="s">
        <v>142</v>
      </c>
      <c r="B46" s="1" t="s">
        <v>61</v>
      </c>
      <c r="C46" s="1" t="str">
        <f>VLOOKUP(B46,Mapping!A:B,2,0)</f>
        <v>Lateral</v>
      </c>
      <c r="D46" s="1" t="str">
        <f>VLOOKUP(B46,Mapping!A:C,3,0)</f>
        <v>West</v>
      </c>
      <c r="E46" s="40" t="str">
        <f>VLOOKUP(B46,Mapping!A:D,4,0)</f>
        <v>West 1</v>
      </c>
      <c r="F46" s="40" t="str">
        <f>VLOOKUP(B46,Mapping!A:E,5,0)</f>
        <v>Anjli</v>
      </c>
      <c r="G46" s="40" t="str">
        <f>VLOOKUP(B46,Mapping!A:F,6,0)</f>
        <v>Elton</v>
      </c>
      <c r="H46" s="42">
        <v>0</v>
      </c>
      <c r="I46" s="42">
        <v>0</v>
      </c>
      <c r="J46" s="42">
        <v>0</v>
      </c>
      <c r="K46" s="42">
        <v>0</v>
      </c>
      <c r="L46" s="42">
        <v>0</v>
      </c>
      <c r="M46" s="42">
        <v>0</v>
      </c>
      <c r="N46" s="42">
        <v>0</v>
      </c>
      <c r="O46" s="42">
        <v>0</v>
      </c>
      <c r="P46" s="42">
        <v>0</v>
      </c>
      <c r="Q46" s="42">
        <v>0</v>
      </c>
      <c r="R46" s="42">
        <v>0</v>
      </c>
      <c r="S46" s="42">
        <v>0</v>
      </c>
      <c r="T46" s="42">
        <f t="shared" si="2"/>
        <v>0</v>
      </c>
    </row>
    <row r="47" spans="1:20" x14ac:dyDescent="0.35">
      <c r="A47" s="40" t="s">
        <v>142</v>
      </c>
      <c r="B47" s="1" t="s">
        <v>62</v>
      </c>
      <c r="C47" s="1" t="str">
        <f>VLOOKUP(B47,Mapping!A:B,2,0)</f>
        <v>Lateral</v>
      </c>
      <c r="D47" s="1" t="str">
        <f>VLOOKUP(B47,Mapping!A:C,3,0)</f>
        <v>South</v>
      </c>
      <c r="E47" s="40" t="str">
        <f>VLOOKUP(B47,Mapping!A:D,4,0)</f>
        <v>South 2</v>
      </c>
      <c r="F47" s="40" t="str">
        <f>VLOOKUP(B47,Mapping!A:E,5,0)</f>
        <v>Sulabh</v>
      </c>
      <c r="G47" s="40" t="str">
        <f>VLOOKUP(B47,Mapping!A:F,6,0)</f>
        <v>Subu</v>
      </c>
      <c r="H47" s="42">
        <v>0</v>
      </c>
      <c r="I47" s="42">
        <v>0</v>
      </c>
      <c r="J47" s="42">
        <v>0</v>
      </c>
      <c r="K47" s="42">
        <v>0</v>
      </c>
      <c r="L47" s="42">
        <v>0</v>
      </c>
      <c r="M47" s="42">
        <v>0</v>
      </c>
      <c r="N47" s="42">
        <v>0</v>
      </c>
      <c r="O47" s="42">
        <v>0</v>
      </c>
      <c r="P47" s="42">
        <v>0</v>
      </c>
      <c r="Q47" s="42">
        <v>0</v>
      </c>
      <c r="R47" s="42">
        <v>0</v>
      </c>
      <c r="S47" s="42">
        <v>0</v>
      </c>
      <c r="T47" s="42">
        <f t="shared" si="2"/>
        <v>0</v>
      </c>
    </row>
    <row r="48" spans="1:20" x14ac:dyDescent="0.35">
      <c r="A48" s="40" t="s">
        <v>142</v>
      </c>
      <c r="B48" s="1" t="s">
        <v>63</v>
      </c>
      <c r="C48" s="1" t="str">
        <f>VLOOKUP(B48,Mapping!A:B,2,0)</f>
        <v>Lateral</v>
      </c>
      <c r="D48" s="1" t="str">
        <f>VLOOKUP(B48,Mapping!A:C,3,0)</f>
        <v>West</v>
      </c>
      <c r="E48" s="40" t="str">
        <f>VLOOKUP(B48,Mapping!A:D,4,0)</f>
        <v>West 1</v>
      </c>
      <c r="F48" s="40" t="str">
        <f>VLOOKUP(B48,Mapping!A:E,5,0)</f>
        <v>Anjli</v>
      </c>
      <c r="G48" s="40" t="str">
        <f>VLOOKUP(B48,Mapping!A:F,6,0)</f>
        <v>Elton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42">
        <v>0</v>
      </c>
      <c r="O48" s="42">
        <v>0</v>
      </c>
      <c r="P48" s="42">
        <v>0</v>
      </c>
      <c r="Q48" s="42">
        <v>0</v>
      </c>
      <c r="R48" s="42">
        <v>0</v>
      </c>
      <c r="S48" s="42">
        <v>0</v>
      </c>
      <c r="T48" s="42">
        <f t="shared" si="2"/>
        <v>0</v>
      </c>
    </row>
    <row r="49" spans="1:20" x14ac:dyDescent="0.35">
      <c r="A49" s="40" t="s">
        <v>142</v>
      </c>
      <c r="B49" s="1" t="s">
        <v>64</v>
      </c>
      <c r="C49" s="1" t="str">
        <f>VLOOKUP(B49,Mapping!A:B,2,0)</f>
        <v>Lateral</v>
      </c>
      <c r="D49" s="1" t="str">
        <f>VLOOKUP(B49,Mapping!A:C,3,0)</f>
        <v>South</v>
      </c>
      <c r="E49" s="40" t="str">
        <f>VLOOKUP(B49,Mapping!A:D,4,0)</f>
        <v>South 2</v>
      </c>
      <c r="F49" s="40" t="str">
        <f>VLOOKUP(B49,Mapping!A:E,5,0)</f>
        <v>Sulabh</v>
      </c>
      <c r="G49" s="40" t="str">
        <f>VLOOKUP(B49,Mapping!A:F,6,0)</f>
        <v>Sulabh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  <c r="P49" s="42">
        <v>0</v>
      </c>
      <c r="Q49" s="42">
        <v>0</v>
      </c>
      <c r="R49" s="42">
        <v>0</v>
      </c>
      <c r="S49" s="42">
        <v>0</v>
      </c>
      <c r="T49" s="42">
        <f t="shared" si="2"/>
        <v>0</v>
      </c>
    </row>
    <row r="50" spans="1:20" x14ac:dyDescent="0.35">
      <c r="A50" s="40" t="s">
        <v>142</v>
      </c>
      <c r="B50" s="1" t="s">
        <v>65</v>
      </c>
      <c r="C50" s="1" t="str">
        <f>VLOOKUP(B50,Mapping!A:B,2,0)</f>
        <v>Lateral</v>
      </c>
      <c r="D50" s="1" t="str">
        <f>VLOOKUP(B50,Mapping!A:C,3,0)</f>
        <v>South</v>
      </c>
      <c r="E50" s="40" t="str">
        <f>VLOOKUP(B50,Mapping!A:D,4,0)</f>
        <v>South 2</v>
      </c>
      <c r="F50" s="40" t="str">
        <f>VLOOKUP(B50,Mapping!A:E,5,0)</f>
        <v>Sulabh</v>
      </c>
      <c r="G50" s="40" t="str">
        <f>VLOOKUP(B50,Mapping!A:F,6,0)</f>
        <v>Sulabh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42">
        <v>0</v>
      </c>
      <c r="P50" s="42">
        <v>0</v>
      </c>
      <c r="Q50" s="42">
        <v>0</v>
      </c>
      <c r="R50" s="42">
        <v>0</v>
      </c>
      <c r="S50" s="42">
        <v>0</v>
      </c>
      <c r="T50" s="42">
        <f t="shared" si="2"/>
        <v>0</v>
      </c>
    </row>
    <row r="51" spans="1:20" x14ac:dyDescent="0.35">
      <c r="A51" s="40" t="s">
        <v>142</v>
      </c>
      <c r="B51" s="1" t="s">
        <v>66</v>
      </c>
      <c r="C51" s="1" t="str">
        <f>VLOOKUP(B51,Mapping!A:B,2,0)</f>
        <v>Lateral</v>
      </c>
      <c r="D51" s="1" t="str">
        <f>VLOOKUP(B51,Mapping!A:C,3,0)</f>
        <v>South</v>
      </c>
      <c r="E51" s="40" t="str">
        <f>VLOOKUP(B51,Mapping!A:D,4,0)</f>
        <v>South 2</v>
      </c>
      <c r="F51" s="40" t="str">
        <f>VLOOKUP(B51,Mapping!A:E,5,0)</f>
        <v>Sulabh</v>
      </c>
      <c r="G51" s="40" t="str">
        <f>VLOOKUP(B51,Mapping!A:F,6,0)</f>
        <v>Abhilash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0</v>
      </c>
      <c r="N51" s="42">
        <v>0</v>
      </c>
      <c r="O51" s="42">
        <v>0</v>
      </c>
      <c r="P51" s="42">
        <v>0</v>
      </c>
      <c r="Q51" s="42">
        <v>0</v>
      </c>
      <c r="R51" s="42">
        <v>0</v>
      </c>
      <c r="S51" s="42">
        <v>0</v>
      </c>
      <c r="T51" s="42">
        <f t="shared" si="2"/>
        <v>0</v>
      </c>
    </row>
    <row r="52" spans="1:20" x14ac:dyDescent="0.35">
      <c r="A52" s="40" t="s">
        <v>142</v>
      </c>
      <c r="B52" s="1" t="s">
        <v>68</v>
      </c>
      <c r="C52" s="1" t="str">
        <f>VLOOKUP(B52,Mapping!A:B,2,0)</f>
        <v>Lateral</v>
      </c>
      <c r="D52" s="1" t="str">
        <f>VLOOKUP(B52,Mapping!A:C,3,0)</f>
        <v>West</v>
      </c>
      <c r="E52" s="40" t="str">
        <f>VLOOKUP(B52,Mapping!A:D,4,0)</f>
        <v>West 1</v>
      </c>
      <c r="F52" s="40" t="str">
        <f>VLOOKUP(B52,Mapping!A:E,5,0)</f>
        <v>Anjli</v>
      </c>
      <c r="G52" s="40" t="str">
        <f>VLOOKUP(B52,Mapping!A:F,6,0)</f>
        <v>Elton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>
        <v>0</v>
      </c>
      <c r="N52" s="42">
        <v>0</v>
      </c>
      <c r="O52" s="42">
        <v>0</v>
      </c>
      <c r="P52" s="42">
        <v>0</v>
      </c>
      <c r="Q52" s="42">
        <v>0</v>
      </c>
      <c r="R52" s="42">
        <v>0</v>
      </c>
      <c r="S52" s="42">
        <v>0</v>
      </c>
      <c r="T52" s="42">
        <f t="shared" si="2"/>
        <v>0</v>
      </c>
    </row>
    <row r="53" spans="1:20" x14ac:dyDescent="0.35">
      <c r="A53" s="40" t="s">
        <v>142</v>
      </c>
      <c r="B53" s="1" t="s">
        <v>69</v>
      </c>
      <c r="C53" s="1" t="str">
        <f>VLOOKUP(B53,Mapping!A:B,2,0)</f>
        <v>Leadership</v>
      </c>
      <c r="D53" s="1" t="str">
        <f>VLOOKUP(B53,Mapping!A:C,3,0)</f>
        <v>South</v>
      </c>
      <c r="E53" s="40" t="str">
        <f>VLOOKUP(B53,Mapping!A:D,4,0)</f>
        <v>South 1</v>
      </c>
      <c r="F53" s="40" t="str">
        <f>VLOOKUP(B53,Mapping!A:E,5,0)</f>
        <v>Bapi</v>
      </c>
      <c r="G53" s="40" t="str">
        <f>VLOOKUP(B53,Mapping!A:F,6,0)</f>
        <v>Parul</v>
      </c>
      <c r="H53" s="42">
        <v>1</v>
      </c>
      <c r="I53" s="42">
        <v>2</v>
      </c>
      <c r="J53" s="42">
        <v>2</v>
      </c>
      <c r="K53" s="42">
        <v>1</v>
      </c>
      <c r="L53" s="42">
        <v>2</v>
      </c>
      <c r="M53" s="42">
        <v>2</v>
      </c>
      <c r="N53" s="42">
        <v>1</v>
      </c>
      <c r="O53" s="42">
        <v>2</v>
      </c>
      <c r="P53" s="42">
        <v>2</v>
      </c>
      <c r="Q53" s="42">
        <v>1</v>
      </c>
      <c r="R53" s="42">
        <v>2</v>
      </c>
      <c r="S53" s="42">
        <v>2</v>
      </c>
      <c r="T53" s="42">
        <f t="shared" si="2"/>
        <v>20</v>
      </c>
    </row>
    <row r="54" spans="1:20" x14ac:dyDescent="0.35">
      <c r="A54" s="40" t="s">
        <v>142</v>
      </c>
      <c r="B54" s="1" t="s">
        <v>71</v>
      </c>
      <c r="C54" s="1" t="str">
        <f>VLOOKUP(B54,Mapping!A:B,2,0)</f>
        <v>Leadership</v>
      </c>
      <c r="D54" s="1" t="str">
        <f>VLOOKUP(B54,Mapping!A:C,3,0)</f>
        <v>South</v>
      </c>
      <c r="E54" s="40" t="str">
        <f>VLOOKUP(B54,Mapping!A:D,4,0)</f>
        <v>South 2</v>
      </c>
      <c r="F54" s="40" t="str">
        <f>VLOOKUP(B54,Mapping!A:E,5,0)</f>
        <v>Sulabh</v>
      </c>
      <c r="G54" s="40" t="str">
        <f>VLOOKUP(B54,Mapping!A:F,6,0)</f>
        <v>Parul</v>
      </c>
      <c r="H54" s="42">
        <v>0</v>
      </c>
      <c r="I54" s="42">
        <v>0</v>
      </c>
      <c r="J54" s="42">
        <v>0</v>
      </c>
      <c r="K54" s="42">
        <v>0</v>
      </c>
      <c r="L54" s="42">
        <v>0</v>
      </c>
      <c r="M54" s="42">
        <v>0</v>
      </c>
      <c r="N54" s="42">
        <v>0</v>
      </c>
      <c r="O54" s="42">
        <v>0</v>
      </c>
      <c r="P54" s="42">
        <v>0</v>
      </c>
      <c r="Q54" s="42">
        <v>0</v>
      </c>
      <c r="R54" s="42">
        <v>0</v>
      </c>
      <c r="S54" s="42">
        <v>0</v>
      </c>
      <c r="T54" s="42">
        <f t="shared" si="2"/>
        <v>0</v>
      </c>
    </row>
    <row r="55" spans="1:20" x14ac:dyDescent="0.35">
      <c r="A55" s="40" t="s">
        <v>142</v>
      </c>
      <c r="B55" s="1" t="s">
        <v>72</v>
      </c>
      <c r="C55" s="1" t="str">
        <f>VLOOKUP(B55,Mapping!A:B,2,0)</f>
        <v>Leadership</v>
      </c>
      <c r="D55" s="1" t="str">
        <f>VLOOKUP(B55,Mapping!A:C,3,0)</f>
        <v>West</v>
      </c>
      <c r="E55" s="40" t="str">
        <f>VLOOKUP(B55,Mapping!A:D,4,0)</f>
        <v>West 2</v>
      </c>
      <c r="F55" s="40" t="str">
        <f>VLOOKUP(B55,Mapping!A:E,5,0)</f>
        <v>Anjli</v>
      </c>
      <c r="G55" s="40" t="str">
        <f>VLOOKUP(B55,Mapping!A:F,6,0)</f>
        <v>Parul</v>
      </c>
      <c r="H55" s="42">
        <v>1</v>
      </c>
      <c r="I55" s="42">
        <v>2</v>
      </c>
      <c r="J55" s="42">
        <v>5</v>
      </c>
      <c r="K55" s="42">
        <v>1</v>
      </c>
      <c r="L55" s="42">
        <v>2</v>
      </c>
      <c r="M55" s="42">
        <v>3</v>
      </c>
      <c r="N55" s="42">
        <v>1</v>
      </c>
      <c r="O55" s="42">
        <v>5</v>
      </c>
      <c r="P55" s="42">
        <v>3</v>
      </c>
      <c r="Q55" s="42">
        <v>1</v>
      </c>
      <c r="R55" s="42">
        <v>3</v>
      </c>
      <c r="S55" s="42">
        <v>3</v>
      </c>
      <c r="T55" s="42">
        <f t="shared" si="2"/>
        <v>30</v>
      </c>
    </row>
    <row r="56" spans="1:20" x14ac:dyDescent="0.35">
      <c r="A56" s="40" t="s">
        <v>142</v>
      </c>
      <c r="B56" s="1" t="s">
        <v>73</v>
      </c>
      <c r="C56" s="1" t="str">
        <f>VLOOKUP(B56,Mapping!A:B,2,0)</f>
        <v>Leadership</v>
      </c>
      <c r="D56" s="1" t="str">
        <f>VLOOKUP(B56,Mapping!A:C,3,0)</f>
        <v>West</v>
      </c>
      <c r="E56" s="40" t="str">
        <f>VLOOKUP(B56,Mapping!A:D,4,0)</f>
        <v>West 1</v>
      </c>
      <c r="F56" s="40" t="str">
        <f>VLOOKUP(B56,Mapping!A:E,5,0)</f>
        <v>Anjli</v>
      </c>
      <c r="G56" s="40" t="str">
        <f>VLOOKUP(B56,Mapping!A:F,6,0)</f>
        <v>Parul</v>
      </c>
      <c r="H56" s="42">
        <v>20</v>
      </c>
      <c r="I56" s="42">
        <v>20</v>
      </c>
      <c r="J56" s="42">
        <v>30</v>
      </c>
      <c r="K56" s="42">
        <v>20</v>
      </c>
      <c r="L56" s="42">
        <v>20</v>
      </c>
      <c r="M56" s="42">
        <v>30</v>
      </c>
      <c r="N56" s="42">
        <v>20</v>
      </c>
      <c r="O56" s="42">
        <v>10</v>
      </c>
      <c r="P56" s="42">
        <v>10</v>
      </c>
      <c r="Q56" s="42">
        <v>20</v>
      </c>
      <c r="R56" s="42">
        <v>20</v>
      </c>
      <c r="S56" s="42">
        <v>30</v>
      </c>
      <c r="T56" s="42">
        <f t="shared" si="2"/>
        <v>250</v>
      </c>
    </row>
    <row r="57" spans="1:20" x14ac:dyDescent="0.35">
      <c r="A57" s="40" t="s">
        <v>142</v>
      </c>
      <c r="B57" s="1" t="s">
        <v>74</v>
      </c>
      <c r="C57" s="1" t="str">
        <f>VLOOKUP(B57,Mapping!A:B,2,0)</f>
        <v>Leadership</v>
      </c>
      <c r="D57" s="1" t="str">
        <f>VLOOKUP(B57,Mapping!A:C,3,0)</f>
        <v>West</v>
      </c>
      <c r="E57" s="40" t="str">
        <f>VLOOKUP(B57,Mapping!A:D,4,0)</f>
        <v>West 1</v>
      </c>
      <c r="F57" s="40" t="str">
        <f>VLOOKUP(B57,Mapping!A:E,5,0)</f>
        <v>Anjli</v>
      </c>
      <c r="G57" s="40" t="str">
        <f>VLOOKUP(B57,Mapping!A:F,6,0)</f>
        <v>Parul</v>
      </c>
      <c r="H57" s="42">
        <v>5</v>
      </c>
      <c r="I57" s="42">
        <v>5</v>
      </c>
      <c r="J57" s="42">
        <v>5</v>
      </c>
      <c r="K57" s="42">
        <v>5</v>
      </c>
      <c r="L57" s="42">
        <v>8</v>
      </c>
      <c r="M57" s="42">
        <v>10</v>
      </c>
      <c r="N57" s="42">
        <v>8</v>
      </c>
      <c r="O57" s="42">
        <v>8</v>
      </c>
      <c r="P57" s="42">
        <v>10</v>
      </c>
      <c r="Q57" s="42">
        <v>10</v>
      </c>
      <c r="R57" s="42">
        <v>8</v>
      </c>
      <c r="S57" s="42">
        <v>8</v>
      </c>
      <c r="T57" s="42">
        <f t="shared" si="2"/>
        <v>90</v>
      </c>
    </row>
    <row r="58" spans="1:20" x14ac:dyDescent="0.35">
      <c r="A58" s="40" t="s">
        <v>142</v>
      </c>
      <c r="B58" s="1" t="s">
        <v>75</v>
      </c>
      <c r="C58" s="1" t="str">
        <f>VLOOKUP(B58,Mapping!A:B,2,0)</f>
        <v>Leadership</v>
      </c>
      <c r="D58" s="1" t="str">
        <f>VLOOKUP(B58,Mapping!A:C,3,0)</f>
        <v>South</v>
      </c>
      <c r="E58" s="40" t="str">
        <f>VLOOKUP(B58,Mapping!A:D,4,0)</f>
        <v>South 2</v>
      </c>
      <c r="F58" s="40" t="str">
        <f>VLOOKUP(B58,Mapping!A:E,5,0)</f>
        <v>Sulabh</v>
      </c>
      <c r="G58" s="40" t="str">
        <f>VLOOKUP(B58,Mapping!A:F,6,0)</f>
        <v>Parul</v>
      </c>
      <c r="H58" s="42">
        <v>0</v>
      </c>
      <c r="I58" s="42">
        <v>0</v>
      </c>
      <c r="J58" s="42">
        <v>0</v>
      </c>
      <c r="K58" s="42">
        <v>0</v>
      </c>
      <c r="L58" s="42">
        <v>0</v>
      </c>
      <c r="M58" s="42">
        <v>0</v>
      </c>
      <c r="N58" s="42">
        <v>0</v>
      </c>
      <c r="O58" s="42">
        <v>0</v>
      </c>
      <c r="P58" s="42">
        <v>0</v>
      </c>
      <c r="Q58" s="42">
        <v>0</v>
      </c>
      <c r="R58" s="42">
        <v>0</v>
      </c>
      <c r="S58" s="42">
        <v>0</v>
      </c>
      <c r="T58" s="42">
        <f t="shared" si="2"/>
        <v>0</v>
      </c>
    </row>
    <row r="59" spans="1:20" x14ac:dyDescent="0.35">
      <c r="A59" s="40" t="s">
        <v>142</v>
      </c>
      <c r="B59" s="1" t="s">
        <v>76</v>
      </c>
      <c r="C59" s="1" t="str">
        <f>VLOOKUP(B59,Mapping!A:B,2,0)</f>
        <v>Leadership</v>
      </c>
      <c r="D59" s="1" t="str">
        <f>VLOOKUP(B59,Mapping!A:C,3,0)</f>
        <v>South</v>
      </c>
      <c r="E59" s="40" t="str">
        <f>VLOOKUP(B59,Mapping!A:D,4,0)</f>
        <v>South 2</v>
      </c>
      <c r="F59" s="40" t="str">
        <f>VLOOKUP(B59,Mapping!A:E,5,0)</f>
        <v>Sulabh</v>
      </c>
      <c r="G59" s="40" t="str">
        <f>VLOOKUP(B59,Mapping!A:F,6,0)</f>
        <v>Parul</v>
      </c>
      <c r="H59" s="42">
        <v>0</v>
      </c>
      <c r="I59" s="42">
        <v>15</v>
      </c>
      <c r="J59" s="42">
        <v>3</v>
      </c>
      <c r="K59" s="42">
        <v>0</v>
      </c>
      <c r="L59" s="42">
        <v>2</v>
      </c>
      <c r="M59" s="42">
        <v>2</v>
      </c>
      <c r="N59" s="42">
        <v>0</v>
      </c>
      <c r="O59" s="42">
        <v>0</v>
      </c>
      <c r="P59" s="42">
        <v>2</v>
      </c>
      <c r="Q59" s="42">
        <v>0</v>
      </c>
      <c r="R59" s="42">
        <v>0</v>
      </c>
      <c r="S59" s="42">
        <v>1</v>
      </c>
      <c r="T59" s="42">
        <f t="shared" si="2"/>
        <v>25</v>
      </c>
    </row>
    <row r="60" spans="1:20" x14ac:dyDescent="0.35">
      <c r="A60" s="40" t="s">
        <v>142</v>
      </c>
      <c r="B60" s="1" t="s">
        <v>77</v>
      </c>
      <c r="C60" s="1" t="str">
        <f>VLOOKUP(B60,Mapping!A:B,2,0)</f>
        <v>Leadership</v>
      </c>
      <c r="D60" s="1" t="str">
        <f>VLOOKUP(B60,Mapping!A:C,3,0)</f>
        <v>North</v>
      </c>
      <c r="E60" s="40" t="str">
        <f>VLOOKUP(B60,Mapping!A:D,4,0)</f>
        <v>North</v>
      </c>
      <c r="F60" s="40" t="str">
        <f>VLOOKUP(B60,Mapping!A:E,5,0)</f>
        <v>Anjli</v>
      </c>
      <c r="G60" s="40" t="str">
        <f>VLOOKUP(B60,Mapping!A:F,6,0)</f>
        <v>Parul</v>
      </c>
      <c r="H60" s="42">
        <v>0</v>
      </c>
      <c r="I60" s="42">
        <v>0</v>
      </c>
      <c r="J60" s="42">
        <v>0</v>
      </c>
      <c r="K60" s="42">
        <v>0</v>
      </c>
      <c r="L60" s="42">
        <v>0</v>
      </c>
      <c r="M60" s="42">
        <v>0</v>
      </c>
      <c r="N60" s="42">
        <v>0</v>
      </c>
      <c r="O60" s="42">
        <v>0</v>
      </c>
      <c r="P60" s="42">
        <v>0</v>
      </c>
      <c r="Q60" s="42">
        <v>0</v>
      </c>
      <c r="R60" s="42">
        <v>0</v>
      </c>
      <c r="S60" s="42">
        <v>0</v>
      </c>
      <c r="T60" s="42">
        <f t="shared" si="2"/>
        <v>0</v>
      </c>
    </row>
    <row r="61" spans="1:20" x14ac:dyDescent="0.35">
      <c r="A61" s="40" t="s">
        <v>142</v>
      </c>
      <c r="B61" s="1" t="s">
        <v>78</v>
      </c>
      <c r="C61" s="1" t="str">
        <f>VLOOKUP(B61,Mapping!A:B,2,0)</f>
        <v>Leadership</v>
      </c>
      <c r="D61" s="1" t="str">
        <f>VLOOKUP(B61,Mapping!A:C,3,0)</f>
        <v>West</v>
      </c>
      <c r="E61" s="40" t="str">
        <f>VLOOKUP(B61,Mapping!A:D,4,0)</f>
        <v>West 1</v>
      </c>
      <c r="F61" s="40" t="str">
        <f>VLOOKUP(B61,Mapping!A:E,5,0)</f>
        <v>Anjli</v>
      </c>
      <c r="G61" s="40" t="str">
        <f>VLOOKUP(B61,Mapping!A:F,6,0)</f>
        <v>Parul</v>
      </c>
      <c r="H61" s="42">
        <v>0</v>
      </c>
      <c r="I61" s="42">
        <v>0</v>
      </c>
      <c r="J61" s="42">
        <v>0</v>
      </c>
      <c r="K61" s="42">
        <v>0</v>
      </c>
      <c r="L61" s="42">
        <v>0</v>
      </c>
      <c r="M61" s="42">
        <v>0</v>
      </c>
      <c r="N61" s="42">
        <v>0</v>
      </c>
      <c r="O61" s="42">
        <v>0</v>
      </c>
      <c r="P61" s="42">
        <v>0</v>
      </c>
      <c r="Q61" s="42">
        <v>0</v>
      </c>
      <c r="R61" s="42">
        <v>0</v>
      </c>
      <c r="S61" s="42">
        <v>0</v>
      </c>
      <c r="T61" s="42">
        <f t="shared" si="2"/>
        <v>0</v>
      </c>
    </row>
    <row r="62" spans="1:20" x14ac:dyDescent="0.35">
      <c r="A62" s="40" t="s">
        <v>142</v>
      </c>
      <c r="B62" s="1" t="s">
        <v>79</v>
      </c>
      <c r="C62" s="1" t="str">
        <f>VLOOKUP(B62,Mapping!A:B,2,0)</f>
        <v>Leadership</v>
      </c>
      <c r="D62" s="1" t="str">
        <f>VLOOKUP(B62,Mapping!A:C,3,0)</f>
        <v>West</v>
      </c>
      <c r="E62" s="40" t="str">
        <f>VLOOKUP(B62,Mapping!A:D,4,0)</f>
        <v>West 2</v>
      </c>
      <c r="F62" s="40" t="str">
        <f>VLOOKUP(B62,Mapping!A:E,5,0)</f>
        <v>Anjli</v>
      </c>
      <c r="G62" s="40" t="str">
        <f>VLOOKUP(B62,Mapping!A:F,6,0)</f>
        <v>Parul</v>
      </c>
      <c r="H62" s="42">
        <v>0</v>
      </c>
      <c r="I62" s="42">
        <v>0</v>
      </c>
      <c r="J62" s="42">
        <v>3</v>
      </c>
      <c r="K62" s="42">
        <v>0</v>
      </c>
      <c r="L62" s="42">
        <v>0</v>
      </c>
      <c r="M62" s="42">
        <v>3</v>
      </c>
      <c r="N62" s="42">
        <v>0</v>
      </c>
      <c r="O62" s="42">
        <v>0</v>
      </c>
      <c r="P62" s="42">
        <v>2</v>
      </c>
      <c r="Q62" s="42">
        <v>0</v>
      </c>
      <c r="R62" s="42">
        <v>0</v>
      </c>
      <c r="S62" s="42">
        <v>2</v>
      </c>
      <c r="T62" s="42">
        <f t="shared" si="2"/>
        <v>10</v>
      </c>
    </row>
    <row r="63" spans="1:20" x14ac:dyDescent="0.35">
      <c r="A63" s="40" t="s">
        <v>142</v>
      </c>
      <c r="B63" s="1" t="s">
        <v>80</v>
      </c>
      <c r="C63" s="1" t="str">
        <f>VLOOKUP(B63,Mapping!A:B,2,0)</f>
        <v>Leadership</v>
      </c>
      <c r="D63" s="1" t="str">
        <f>VLOOKUP(B63,Mapping!A:C,3,0)</f>
        <v>North</v>
      </c>
      <c r="E63" s="40" t="str">
        <f>VLOOKUP(B63,Mapping!A:D,4,0)</f>
        <v>North</v>
      </c>
      <c r="F63" s="40" t="str">
        <f>VLOOKUP(B63,Mapping!A:E,5,0)</f>
        <v>Anjli</v>
      </c>
      <c r="G63" s="40" t="str">
        <f>VLOOKUP(B63,Mapping!A:F,6,0)</f>
        <v>Parul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>
        <v>0</v>
      </c>
      <c r="N63" s="42">
        <v>0</v>
      </c>
      <c r="O63" s="42">
        <v>0</v>
      </c>
      <c r="P63" s="42">
        <v>0</v>
      </c>
      <c r="Q63" s="42">
        <v>0</v>
      </c>
      <c r="R63" s="42">
        <v>0</v>
      </c>
      <c r="S63" s="42">
        <v>0</v>
      </c>
      <c r="T63" s="42">
        <f t="shared" si="2"/>
        <v>0</v>
      </c>
    </row>
    <row r="64" spans="1:20" x14ac:dyDescent="0.35">
      <c r="A64" s="40" t="s">
        <v>142</v>
      </c>
      <c r="B64" s="1" t="s">
        <v>81</v>
      </c>
      <c r="C64" s="1" t="str">
        <f>VLOOKUP(B64,Mapping!A:B,2,0)</f>
        <v>Leadership</v>
      </c>
      <c r="D64" s="1" t="str">
        <f>VLOOKUP(B64,Mapping!A:C,3,0)</f>
        <v>North</v>
      </c>
      <c r="E64" s="40" t="str">
        <f>VLOOKUP(B64,Mapping!A:D,4,0)</f>
        <v>North</v>
      </c>
      <c r="F64" s="40" t="str">
        <f>VLOOKUP(B64,Mapping!A:E,5,0)</f>
        <v>Anjli</v>
      </c>
      <c r="G64" s="40" t="str">
        <f>VLOOKUP(B64,Mapping!A:F,6,0)</f>
        <v>Parul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N64" s="42">
        <v>0</v>
      </c>
      <c r="O64" s="42">
        <v>0</v>
      </c>
      <c r="P64" s="42">
        <v>0</v>
      </c>
      <c r="Q64" s="42">
        <v>0</v>
      </c>
      <c r="R64" s="42">
        <v>0</v>
      </c>
      <c r="S64" s="42">
        <v>0</v>
      </c>
      <c r="T64" s="42">
        <f t="shared" si="2"/>
        <v>0</v>
      </c>
    </row>
    <row r="65" spans="1:25" x14ac:dyDescent="0.35">
      <c r="A65" s="40" t="s">
        <v>142</v>
      </c>
      <c r="B65" s="1" t="s">
        <v>82</v>
      </c>
      <c r="C65" s="1" t="str">
        <f>VLOOKUP(B65,Mapping!A:B,2,0)</f>
        <v>Leadership</v>
      </c>
      <c r="D65" s="1" t="str">
        <f>VLOOKUP(B65,Mapping!A:C,3,0)</f>
        <v>West</v>
      </c>
      <c r="E65" s="40" t="str">
        <f>VLOOKUP(B65,Mapping!A:D,4,0)</f>
        <v>West 1</v>
      </c>
      <c r="F65" s="40" t="str">
        <f>VLOOKUP(B65,Mapping!A:E,5,0)</f>
        <v>Anjli</v>
      </c>
      <c r="G65" s="40" t="str">
        <f>VLOOKUP(B65,Mapping!A:F,6,0)</f>
        <v>Parul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N65" s="42">
        <v>0</v>
      </c>
      <c r="O65" s="42">
        <v>0</v>
      </c>
      <c r="P65" s="42">
        <v>0</v>
      </c>
      <c r="Q65" s="42">
        <v>0</v>
      </c>
      <c r="R65" s="42">
        <v>0</v>
      </c>
      <c r="S65" s="42">
        <v>0</v>
      </c>
      <c r="T65" s="42">
        <f t="shared" si="2"/>
        <v>0</v>
      </c>
    </row>
    <row r="66" spans="1:25" x14ac:dyDescent="0.35">
      <c r="A66" s="40" t="s">
        <v>142</v>
      </c>
      <c r="B66" s="1" t="s">
        <v>83</v>
      </c>
      <c r="C66" s="1" t="str">
        <f>VLOOKUP(B66,Mapping!A:B,2,0)</f>
        <v>Leadership</v>
      </c>
      <c r="D66" s="1" t="str">
        <f>VLOOKUP(B66,Mapping!A:C,3,0)</f>
        <v>North</v>
      </c>
      <c r="E66" s="40" t="str">
        <f>VLOOKUP(B66,Mapping!A:D,4,0)</f>
        <v>North</v>
      </c>
      <c r="F66" s="40" t="str">
        <f>VLOOKUP(B66,Mapping!A:E,5,0)</f>
        <v>Anjli</v>
      </c>
      <c r="G66" s="40" t="str">
        <f>VLOOKUP(B66,Mapping!A:F,6,0)</f>
        <v>Parul</v>
      </c>
      <c r="H66" s="42">
        <v>0</v>
      </c>
      <c r="I66" s="42">
        <v>0</v>
      </c>
      <c r="J66" s="42">
        <v>1</v>
      </c>
      <c r="K66" s="42">
        <v>0</v>
      </c>
      <c r="L66" s="42">
        <v>0</v>
      </c>
      <c r="M66" s="42">
        <v>1</v>
      </c>
      <c r="N66" s="42">
        <v>0</v>
      </c>
      <c r="O66" s="42">
        <v>0</v>
      </c>
      <c r="P66" s="42">
        <v>1</v>
      </c>
      <c r="Q66" s="42">
        <v>0</v>
      </c>
      <c r="R66" s="42">
        <v>0</v>
      </c>
      <c r="S66" s="42">
        <v>2</v>
      </c>
      <c r="T66" s="42">
        <f t="shared" si="2"/>
        <v>5</v>
      </c>
    </row>
    <row r="67" spans="1:25" x14ac:dyDescent="0.35">
      <c r="A67" s="40" t="s">
        <v>142</v>
      </c>
      <c r="B67" s="1" t="s">
        <v>84</v>
      </c>
      <c r="C67" s="1" t="str">
        <f>VLOOKUP(B67,Mapping!A:B,2,0)</f>
        <v>Lateral</v>
      </c>
      <c r="D67" s="1" t="str">
        <f>VLOOKUP(B67,Mapping!A:C,3,0)</f>
        <v>South</v>
      </c>
      <c r="E67" s="40" t="str">
        <f>VLOOKUP(B67,Mapping!A:D,4,0)</f>
        <v>South 1</v>
      </c>
      <c r="F67" s="40" t="str">
        <f>VLOOKUP(B67,Mapping!A:E,5,0)</f>
        <v>Ashish</v>
      </c>
      <c r="G67" s="40" t="str">
        <f>VLOOKUP(B67,Mapping!A:F,6,0)</f>
        <v>Ashish</v>
      </c>
      <c r="H67" s="42">
        <v>45.833333333333336</v>
      </c>
      <c r="I67" s="42">
        <v>45.833333333333336</v>
      </c>
      <c r="J67" s="42">
        <v>45.833333333333336</v>
      </c>
      <c r="K67" s="42">
        <v>45.833333333333336</v>
      </c>
      <c r="L67" s="42">
        <v>45.833333333333336</v>
      </c>
      <c r="M67" s="42">
        <v>45.833333333333336</v>
      </c>
      <c r="N67" s="42">
        <v>45.833333333333336</v>
      </c>
      <c r="O67" s="42">
        <v>45.833333333333336</v>
      </c>
      <c r="P67" s="42">
        <v>45.833333333333336</v>
      </c>
      <c r="Q67" s="42">
        <v>45.833333333333336</v>
      </c>
      <c r="R67" s="42">
        <v>45.833333333333336</v>
      </c>
      <c r="S67" s="42">
        <v>45.833333333333336</v>
      </c>
      <c r="T67" s="42">
        <f t="shared" si="2"/>
        <v>549.99999999999989</v>
      </c>
    </row>
    <row r="68" spans="1:25" x14ac:dyDescent="0.35">
      <c r="A68" s="40" t="s">
        <v>142</v>
      </c>
      <c r="B68" s="1" t="s">
        <v>86</v>
      </c>
      <c r="C68" s="1" t="str">
        <f>VLOOKUP(B68,Mapping!A:B,2,0)</f>
        <v>Lateral</v>
      </c>
      <c r="D68" s="1" t="str">
        <f>VLOOKUP(B68,Mapping!A:C,3,0)</f>
        <v>New Sales</v>
      </c>
      <c r="E68" s="40" t="str">
        <f>VLOOKUP(B68,Mapping!A:D,4,0)</f>
        <v>New Sales</v>
      </c>
      <c r="F68" s="40" t="str">
        <f>VLOOKUP(B68,Mapping!A:E,5,0)</f>
        <v>Nizar</v>
      </c>
      <c r="G68" s="40" t="str">
        <f>VLOOKUP(B68,Mapping!A:F,6,0)</f>
        <v>Nizar</v>
      </c>
      <c r="H68" s="42">
        <v>84.381111776666728</v>
      </c>
      <c r="I68" s="42">
        <v>84.381111776666728</v>
      </c>
      <c r="J68" s="42">
        <v>84.381111776666728</v>
      </c>
      <c r="K68" s="42">
        <v>168.76222355333346</v>
      </c>
      <c r="L68" s="42">
        <v>168.76222355333346</v>
      </c>
      <c r="M68" s="42">
        <v>168.76222355333346</v>
      </c>
      <c r="N68" s="42">
        <v>253.14333533000016</v>
      </c>
      <c r="O68" s="42">
        <v>253.14333533000016</v>
      </c>
      <c r="P68" s="42">
        <v>253.14333533000016</v>
      </c>
      <c r="Q68" s="42">
        <v>337.52444710666691</v>
      </c>
      <c r="R68" s="42">
        <v>337.52444710666691</v>
      </c>
      <c r="S68" s="42">
        <v>337.52444710666691</v>
      </c>
      <c r="T68" s="42">
        <f>SUM(H68:S68)</f>
        <v>2531.4333533000017</v>
      </c>
      <c r="V68">
        <f>V2/3</f>
        <v>0</v>
      </c>
      <c r="W68">
        <f>W2/3</f>
        <v>0</v>
      </c>
      <c r="X68">
        <f>X2/3</f>
        <v>0</v>
      </c>
      <c r="Y68">
        <f>Y2/3</f>
        <v>0</v>
      </c>
    </row>
    <row r="69" spans="1:25" x14ac:dyDescent="0.35">
      <c r="A69" s="40" t="s">
        <v>142</v>
      </c>
      <c r="B69" s="1" t="s">
        <v>89</v>
      </c>
      <c r="C69" s="1" t="str">
        <f>VLOOKUP(B69,Mapping!A:B,2,0)</f>
        <v>Lateral</v>
      </c>
      <c r="D69" s="1" t="str">
        <f>VLOOKUP(B69,Mapping!A:C,3,0)</f>
        <v>North</v>
      </c>
      <c r="E69" s="40" t="str">
        <f>VLOOKUP(B69,Mapping!A:D,4,0)</f>
        <v>North</v>
      </c>
      <c r="F69" s="40" t="str">
        <f>VLOOKUP(B69,Mapping!A:E,5,0)</f>
        <v>Anjli</v>
      </c>
      <c r="G69" s="40" t="str">
        <f>VLOOKUP(B69,Mapping!A:F,6,0)</f>
        <v>Archana</v>
      </c>
      <c r="H69" s="42">
        <v>9.5</v>
      </c>
      <c r="I69" s="42">
        <v>9.5</v>
      </c>
      <c r="J69" s="42">
        <v>9.5</v>
      </c>
      <c r="K69" s="42">
        <v>9.5</v>
      </c>
      <c r="L69" s="42">
        <v>9.5</v>
      </c>
      <c r="M69" s="42">
        <v>9.5</v>
      </c>
      <c r="N69" s="42">
        <v>11</v>
      </c>
      <c r="O69" s="42">
        <v>11</v>
      </c>
      <c r="P69" s="42">
        <v>11</v>
      </c>
      <c r="Q69" s="42">
        <v>5</v>
      </c>
      <c r="R69" s="42">
        <v>5</v>
      </c>
      <c r="S69" s="42">
        <v>5</v>
      </c>
      <c r="T69" s="42">
        <f t="shared" ref="T69:T80" si="3">SUM(H69:S69)</f>
        <v>105</v>
      </c>
    </row>
    <row r="70" spans="1:25" x14ac:dyDescent="0.35">
      <c r="A70" s="40" t="s">
        <v>142</v>
      </c>
      <c r="B70" s="1" t="s">
        <v>91</v>
      </c>
      <c r="C70" s="1" t="str">
        <f>VLOOKUP(B70,Mapping!A:B,2,0)</f>
        <v>Lateral</v>
      </c>
      <c r="D70" s="1" t="str">
        <f>VLOOKUP(B70,Mapping!A:C,3,0)</f>
        <v>North</v>
      </c>
      <c r="E70" s="40" t="str">
        <f>VLOOKUP(B70,Mapping!A:D,4,0)</f>
        <v>North</v>
      </c>
      <c r="F70" s="40" t="str">
        <f>VLOOKUP(B70,Mapping!A:E,5,0)</f>
        <v>Anjli</v>
      </c>
      <c r="G70" s="40" t="str">
        <f>VLOOKUP(B70,Mapping!A:F,6,0)</f>
        <v>Archana</v>
      </c>
      <c r="H70" s="42">
        <v>4</v>
      </c>
      <c r="I70" s="42">
        <v>4</v>
      </c>
      <c r="J70" s="42">
        <v>4</v>
      </c>
      <c r="K70" s="42">
        <v>4</v>
      </c>
      <c r="L70" s="42">
        <v>4</v>
      </c>
      <c r="M70" s="42">
        <v>4</v>
      </c>
      <c r="N70" s="42">
        <v>4</v>
      </c>
      <c r="O70" s="42">
        <v>4</v>
      </c>
      <c r="P70" s="42">
        <v>4</v>
      </c>
      <c r="Q70" s="42">
        <v>4</v>
      </c>
      <c r="R70" s="42">
        <v>4</v>
      </c>
      <c r="S70" s="42">
        <v>4</v>
      </c>
      <c r="T70" s="42">
        <f t="shared" si="3"/>
        <v>48</v>
      </c>
    </row>
    <row r="71" spans="1:25" x14ac:dyDescent="0.35">
      <c r="A71" s="40" t="s">
        <v>142</v>
      </c>
      <c r="B71" s="1" t="s">
        <v>92</v>
      </c>
      <c r="C71" s="1" t="e">
        <f>VLOOKUP(B71,Mapping!A:B,2,0)</f>
        <v>#N/A</v>
      </c>
      <c r="D71" s="1" t="e">
        <f>VLOOKUP(B71,Mapping!A:C,3,0)</f>
        <v>#N/A</v>
      </c>
      <c r="E71" s="40" t="e">
        <f>VLOOKUP(B71,Mapping!A:D,4,0)</f>
        <v>#N/A</v>
      </c>
      <c r="F71" s="40" t="e">
        <f>VLOOKUP(B71,Mapping!A:E,5,0)</f>
        <v>#N/A</v>
      </c>
      <c r="G71" s="40" t="e">
        <f>VLOOKUP(B71,Mapping!A:F,6,0)</f>
        <v>#N/A</v>
      </c>
      <c r="H71" s="42">
        <v>17.509999999999998</v>
      </c>
      <c r="I71" s="42">
        <v>30.29</v>
      </c>
      <c r="J71" s="42">
        <v>33.83</v>
      </c>
      <c r="K71" s="42">
        <v>37.379999999999995</v>
      </c>
      <c r="L71" s="42">
        <v>37.379999999999995</v>
      </c>
      <c r="M71" s="42">
        <v>40.93</v>
      </c>
      <c r="N71" s="42">
        <v>40.93</v>
      </c>
      <c r="O71" s="42">
        <v>40.93</v>
      </c>
      <c r="P71" s="42">
        <v>40.93</v>
      </c>
      <c r="Q71" s="42">
        <v>40.93</v>
      </c>
      <c r="R71" s="42">
        <v>40.93</v>
      </c>
      <c r="S71" s="42">
        <v>40.93</v>
      </c>
      <c r="T71" s="42">
        <f t="shared" si="3"/>
        <v>442.90000000000003</v>
      </c>
    </row>
    <row r="72" spans="1:25" x14ac:dyDescent="0.35">
      <c r="A72" s="40" t="s">
        <v>142</v>
      </c>
      <c r="B72" s="1" t="s">
        <v>93</v>
      </c>
      <c r="C72" s="1" t="str">
        <f>VLOOKUP(B72,Mapping!A:B,2,0)</f>
        <v>Lateral</v>
      </c>
      <c r="D72" s="1" t="str">
        <f>VLOOKUP(B72,Mapping!A:C,3,0)</f>
        <v>West</v>
      </c>
      <c r="E72" s="40" t="str">
        <f>VLOOKUP(B72,Mapping!A:D,4,0)</f>
        <v>West 1</v>
      </c>
      <c r="F72" s="40" t="str">
        <f>VLOOKUP(B72,Mapping!A:E,5,0)</f>
        <v>Anjli</v>
      </c>
      <c r="G72" s="40" t="str">
        <f>VLOOKUP(B72,Mapping!A:F,6,0)</f>
        <v>Geetu</v>
      </c>
      <c r="H72" s="42">
        <v>6.3666666666666663</v>
      </c>
      <c r="I72" s="42">
        <v>6.3666666666666663</v>
      </c>
      <c r="J72" s="42">
        <v>6.3666666666666663</v>
      </c>
      <c r="K72" s="42">
        <v>6.8</v>
      </c>
      <c r="L72" s="42">
        <v>6.8</v>
      </c>
      <c r="M72" s="42">
        <v>6.8</v>
      </c>
      <c r="N72" s="42">
        <v>7.2166666666666659</v>
      </c>
      <c r="O72" s="42">
        <v>7.2166666666666659</v>
      </c>
      <c r="P72" s="42">
        <v>7.2166666666666659</v>
      </c>
      <c r="Q72" s="42">
        <v>6.7</v>
      </c>
      <c r="R72" s="42">
        <v>6.7</v>
      </c>
      <c r="S72" s="42">
        <v>6.7</v>
      </c>
      <c r="T72" s="42">
        <f t="shared" si="3"/>
        <v>81.25</v>
      </c>
    </row>
    <row r="73" spans="1:25" x14ac:dyDescent="0.35">
      <c r="A73" s="40" t="s">
        <v>142</v>
      </c>
      <c r="B73" s="1" t="s">
        <v>94</v>
      </c>
      <c r="C73" s="1" t="str">
        <f>VLOOKUP(B73,Mapping!A:B,2,0)</f>
        <v>Lateral</v>
      </c>
      <c r="D73" s="1" t="str">
        <f>VLOOKUP(B73,Mapping!A:C,3,0)</f>
        <v>West</v>
      </c>
      <c r="E73" s="40" t="str">
        <f>VLOOKUP(B73,Mapping!A:D,4,0)</f>
        <v>West 1</v>
      </c>
      <c r="F73" s="40" t="str">
        <f>VLOOKUP(B73,Mapping!A:E,5,0)</f>
        <v>Anjli</v>
      </c>
      <c r="G73" s="40" t="str">
        <f>VLOOKUP(B73,Mapping!A:F,6,0)</f>
        <v>Archana</v>
      </c>
      <c r="H73" s="42">
        <v>19</v>
      </c>
      <c r="I73" s="42">
        <v>19</v>
      </c>
      <c r="J73" s="42">
        <v>19</v>
      </c>
      <c r="K73" s="42">
        <v>36.5</v>
      </c>
      <c r="L73" s="42">
        <v>36.5</v>
      </c>
      <c r="M73" s="42">
        <v>36.5</v>
      </c>
      <c r="N73" s="42">
        <v>46.5</v>
      </c>
      <c r="O73" s="42">
        <v>46.5</v>
      </c>
      <c r="P73" s="42">
        <v>46.5</v>
      </c>
      <c r="Q73" s="42">
        <v>46.5</v>
      </c>
      <c r="R73" s="42">
        <v>46.5</v>
      </c>
      <c r="S73" s="42">
        <v>46.5</v>
      </c>
      <c r="T73" s="42">
        <f t="shared" si="3"/>
        <v>445.5</v>
      </c>
    </row>
    <row r="74" spans="1:25" x14ac:dyDescent="0.35">
      <c r="A74" s="40" t="s">
        <v>142</v>
      </c>
      <c r="B74" s="1" t="s">
        <v>95</v>
      </c>
      <c r="C74" s="1" t="str">
        <f>VLOOKUP(B74,Mapping!A:B,2,0)</f>
        <v>Lateral</v>
      </c>
      <c r="D74" s="1" t="str">
        <f>VLOOKUP(B74,Mapping!A:C,3,0)</f>
        <v>South</v>
      </c>
      <c r="E74" s="40" t="str">
        <f>VLOOKUP(B74,Mapping!A:D,4,0)</f>
        <v>South 2</v>
      </c>
      <c r="F74" s="40" t="str">
        <f>VLOOKUP(B74,Mapping!A:E,5,0)</f>
        <v>Sulabh</v>
      </c>
      <c r="G74" s="40" t="str">
        <f>VLOOKUP(B74,Mapping!A:F,6,0)</f>
        <v>Lekhana</v>
      </c>
      <c r="H74" s="42">
        <v>11.1936</v>
      </c>
      <c r="I74" s="42">
        <v>11.1936</v>
      </c>
      <c r="J74" s="42">
        <v>11.1936</v>
      </c>
      <c r="K74" s="42">
        <v>14.432000000000002</v>
      </c>
      <c r="L74" s="42">
        <v>14.432000000000002</v>
      </c>
      <c r="M74" s="42">
        <v>14.432000000000002</v>
      </c>
      <c r="N74" s="42">
        <v>14.432000000000002</v>
      </c>
      <c r="O74" s="42">
        <v>14.432000000000002</v>
      </c>
      <c r="P74" s="42">
        <v>14.432000000000002</v>
      </c>
      <c r="Q74" s="42">
        <v>14.432000000000002</v>
      </c>
      <c r="R74" s="42">
        <v>14.432000000000002</v>
      </c>
      <c r="S74" s="42">
        <v>14.432000000000002</v>
      </c>
      <c r="T74" s="42">
        <f t="shared" si="3"/>
        <v>163.46880000000004</v>
      </c>
    </row>
    <row r="75" spans="1:25" x14ac:dyDescent="0.35">
      <c r="A75" s="40" t="s">
        <v>142</v>
      </c>
      <c r="B75" s="1" t="s">
        <v>97</v>
      </c>
      <c r="C75" s="1" t="str">
        <f>VLOOKUP(B75,Mapping!A:B,2,0)</f>
        <v>Lateral</v>
      </c>
      <c r="D75" s="1" t="str">
        <f>VLOOKUP(B75,Mapping!A:C,3,0)</f>
        <v>South</v>
      </c>
      <c r="E75" s="40" t="str">
        <f>VLOOKUP(B75,Mapping!A:D,4,0)</f>
        <v>South 2</v>
      </c>
      <c r="F75" s="40" t="str">
        <f>VLOOKUP(B75,Mapping!A:E,5,0)</f>
        <v>Sulabh</v>
      </c>
      <c r="G75" s="40" t="str">
        <f>VLOOKUP(B75,Mapping!A:F,6,0)</f>
        <v>Satya</v>
      </c>
      <c r="H75" s="42">
        <v>7</v>
      </c>
      <c r="I75" s="42">
        <v>7</v>
      </c>
      <c r="J75" s="42">
        <v>6</v>
      </c>
      <c r="K75" s="42">
        <v>7</v>
      </c>
      <c r="L75" s="42">
        <v>7</v>
      </c>
      <c r="M75" s="42">
        <v>6</v>
      </c>
      <c r="N75" s="42">
        <v>4</v>
      </c>
      <c r="O75" s="42">
        <v>4</v>
      </c>
      <c r="P75" s="42">
        <v>4</v>
      </c>
      <c r="Q75" s="42">
        <v>5</v>
      </c>
      <c r="R75" s="42">
        <v>5</v>
      </c>
      <c r="S75" s="42">
        <v>5</v>
      </c>
      <c r="T75" s="42">
        <f t="shared" si="3"/>
        <v>67</v>
      </c>
    </row>
    <row r="76" spans="1:25" x14ac:dyDescent="0.35">
      <c r="A76" s="40" t="s">
        <v>142</v>
      </c>
      <c r="B76" s="1" t="s">
        <v>98</v>
      </c>
      <c r="C76" s="1" t="str">
        <f>VLOOKUP(B76,Mapping!A:B,2,0)</f>
        <v>Lateral</v>
      </c>
      <c r="D76" s="1" t="str">
        <f>VLOOKUP(B76,Mapping!A:C,3,0)</f>
        <v>West</v>
      </c>
      <c r="E76" s="40" t="str">
        <f>VLOOKUP(B76,Mapping!A:D,4,0)</f>
        <v>West 1</v>
      </c>
      <c r="F76" s="40" t="str">
        <f>VLOOKUP(B76,Mapping!A:E,5,0)</f>
        <v>Anjli</v>
      </c>
      <c r="G76" s="40" t="str">
        <f>VLOOKUP(B76,Mapping!A:F,6,0)</f>
        <v>Anjli</v>
      </c>
      <c r="H76" s="42">
        <v>0</v>
      </c>
      <c r="I76" s="42">
        <v>0</v>
      </c>
      <c r="J76" s="42">
        <v>0</v>
      </c>
      <c r="K76" s="42">
        <v>0</v>
      </c>
      <c r="L76" s="42">
        <v>0</v>
      </c>
      <c r="M76" s="42">
        <v>0</v>
      </c>
      <c r="N76" s="42">
        <v>0</v>
      </c>
      <c r="O76" s="42">
        <v>0</v>
      </c>
      <c r="P76" s="42">
        <v>0</v>
      </c>
      <c r="Q76" s="42">
        <v>0</v>
      </c>
      <c r="R76" s="42">
        <v>0</v>
      </c>
      <c r="S76" s="42">
        <v>0</v>
      </c>
      <c r="T76" s="42">
        <f t="shared" si="3"/>
        <v>0</v>
      </c>
    </row>
    <row r="77" spans="1:25" x14ac:dyDescent="0.35">
      <c r="A77" s="40" t="s">
        <v>142</v>
      </c>
      <c r="B77" s="1" t="s">
        <v>99</v>
      </c>
      <c r="C77" s="1" t="e">
        <f>VLOOKUP(B77,Mapping!A:B,2,0)</f>
        <v>#N/A</v>
      </c>
      <c r="D77" s="1" t="e">
        <f>VLOOKUP(B77,Mapping!A:C,3,0)</f>
        <v>#N/A</v>
      </c>
      <c r="E77" s="40" t="e">
        <f>VLOOKUP(B77,Mapping!A:D,4,0)</f>
        <v>#N/A</v>
      </c>
      <c r="F77" s="40" t="e">
        <f>VLOOKUP(B77,Mapping!A:E,5,0)</f>
        <v>#N/A</v>
      </c>
      <c r="G77" s="40" t="e">
        <f>VLOOKUP(B77,Mapping!A:F,6,0)</f>
        <v>#N/A</v>
      </c>
      <c r="H77" s="42">
        <v>7.25</v>
      </c>
      <c r="I77" s="42">
        <v>7.25</v>
      </c>
      <c r="J77" s="42">
        <v>7.25</v>
      </c>
      <c r="K77" s="42">
        <v>8.3000000000000007</v>
      </c>
      <c r="L77" s="42">
        <v>8.3000000000000007</v>
      </c>
      <c r="M77" s="42">
        <v>8.3000000000000007</v>
      </c>
      <c r="N77" s="42">
        <v>7.9</v>
      </c>
      <c r="O77" s="42">
        <v>7.9</v>
      </c>
      <c r="P77" s="42">
        <v>7.9</v>
      </c>
      <c r="Q77" s="42">
        <v>7.25</v>
      </c>
      <c r="R77" s="42">
        <v>7.25</v>
      </c>
      <c r="S77" s="42">
        <v>7.25</v>
      </c>
      <c r="T77" s="42">
        <f t="shared" si="3"/>
        <v>92.100000000000009</v>
      </c>
    </row>
    <row r="78" spans="1:25" x14ac:dyDescent="0.35">
      <c r="A78" s="40" t="s">
        <v>142</v>
      </c>
      <c r="B78" s="1" t="s">
        <v>100</v>
      </c>
      <c r="C78" s="1" t="str">
        <f>VLOOKUP(B78,Mapping!A:B,2,0)</f>
        <v>Lateral</v>
      </c>
      <c r="D78" s="1" t="str">
        <f>VLOOKUP(B78,Mapping!A:C,3,0)</f>
        <v>West</v>
      </c>
      <c r="E78" s="40" t="str">
        <f>VLOOKUP(B78,Mapping!A:D,4,0)</f>
        <v>West 1</v>
      </c>
      <c r="F78" s="40" t="str">
        <f>VLOOKUP(B78,Mapping!A:E,5,0)</f>
        <v>Anjli</v>
      </c>
      <c r="G78" s="40" t="str">
        <f>VLOOKUP(B78,Mapping!A:F,6,0)</f>
        <v>Anjli</v>
      </c>
      <c r="H78" s="42">
        <v>9.6731800000000003</v>
      </c>
      <c r="I78" s="42">
        <v>11.291679999999999</v>
      </c>
      <c r="J78" s="42">
        <v>39.549320000000002</v>
      </c>
      <c r="K78" s="42">
        <v>40.30932</v>
      </c>
      <c r="L78" s="42">
        <v>41.069319999999998</v>
      </c>
      <c r="M78" s="42">
        <v>49.244320000000002</v>
      </c>
      <c r="N78" s="42">
        <v>54.954340000000002</v>
      </c>
      <c r="O78" s="42">
        <v>40.723320000000001</v>
      </c>
      <c r="P78" s="42">
        <v>53.838369999999998</v>
      </c>
      <c r="Q78" s="42">
        <v>53.59937</v>
      </c>
      <c r="R78" s="42">
        <v>70.003410000000002</v>
      </c>
      <c r="S78" s="42">
        <v>70.003410000000002</v>
      </c>
      <c r="T78" s="42">
        <f t="shared" si="3"/>
        <v>534.25936000000002</v>
      </c>
    </row>
    <row r="79" spans="1:25" x14ac:dyDescent="0.35">
      <c r="A79" s="40" t="s">
        <v>142</v>
      </c>
      <c r="B79" s="1" t="s">
        <v>127</v>
      </c>
      <c r="C79" s="40" t="s">
        <v>127</v>
      </c>
      <c r="D79" s="40" t="s">
        <v>127</v>
      </c>
      <c r="E79" s="40" t="s">
        <v>127</v>
      </c>
      <c r="F79" s="40" t="s">
        <v>129</v>
      </c>
      <c r="G79" s="40" t="s">
        <v>128</v>
      </c>
      <c r="H79" s="42">
        <v>6.3891</v>
      </c>
      <c r="I79" s="42">
        <v>23.275400000000001</v>
      </c>
      <c r="J79" s="42">
        <v>7</v>
      </c>
      <c r="K79" s="42">
        <v>7</v>
      </c>
      <c r="L79" s="42">
        <v>7</v>
      </c>
      <c r="M79" s="42">
        <v>10</v>
      </c>
      <c r="N79" s="42">
        <v>10</v>
      </c>
      <c r="O79" s="42">
        <v>15</v>
      </c>
      <c r="P79" s="42">
        <v>15</v>
      </c>
      <c r="Q79" s="42">
        <v>15</v>
      </c>
      <c r="R79" s="42">
        <v>15</v>
      </c>
      <c r="S79" s="42">
        <v>20</v>
      </c>
      <c r="T79" s="42">
        <f t="shared" si="3"/>
        <v>150.6645</v>
      </c>
    </row>
    <row r="80" spans="1:25" x14ac:dyDescent="0.35">
      <c r="A80" s="40" t="s">
        <v>142</v>
      </c>
      <c r="B80" s="1" t="s">
        <v>126</v>
      </c>
      <c r="C80" s="40" t="s">
        <v>126</v>
      </c>
      <c r="D80" s="40" t="s">
        <v>126</v>
      </c>
      <c r="E80" s="40" t="s">
        <v>126</v>
      </c>
      <c r="F80" s="40" t="s">
        <v>129</v>
      </c>
      <c r="G80" s="40" t="s">
        <v>128</v>
      </c>
      <c r="H80" s="42">
        <v>4.165</v>
      </c>
      <c r="I80" s="42">
        <v>5.2478999999999996</v>
      </c>
      <c r="J80" s="42">
        <v>8</v>
      </c>
      <c r="K80" s="42">
        <v>16</v>
      </c>
      <c r="L80" s="42">
        <v>16</v>
      </c>
      <c r="M80" s="42">
        <v>32</v>
      </c>
      <c r="N80" s="42">
        <v>38</v>
      </c>
      <c r="O80" s="42">
        <v>38</v>
      </c>
      <c r="P80" s="42">
        <v>42</v>
      </c>
      <c r="Q80" s="42">
        <v>52</v>
      </c>
      <c r="R80" s="42">
        <v>44</v>
      </c>
      <c r="S80" s="42">
        <v>54</v>
      </c>
      <c r="T80" s="42">
        <f t="shared" si="3"/>
        <v>349.41290000000004</v>
      </c>
    </row>
  </sheetData>
  <conditionalFormatting sqref="B76:B78 B44:B52">
    <cfRule type="duplicateValues" dxfId="75" priority="61"/>
  </conditionalFormatting>
  <conditionalFormatting sqref="B3:D3 B53:B75 B2 B4:B43 C4:D78">
    <cfRule type="duplicateValues" dxfId="74" priority="58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6CFFE-1E32-4035-9262-C4D2BD7C1301}">
  <sheetPr codeName="Sheet4">
    <tabColor rgb="FFFFC000"/>
  </sheetPr>
  <dimension ref="A1:T85"/>
  <sheetViews>
    <sheetView topLeftCell="D64" workbookViewId="0">
      <selection activeCell="T3" sqref="T3:T85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5.6328125" customWidth="1"/>
    <col min="4" max="4" width="13.81640625" customWidth="1"/>
    <col min="5" max="5" width="10.54296875" customWidth="1"/>
    <col min="6" max="17" width="8.7265625" customWidth="1"/>
  </cols>
  <sheetData>
    <row r="1" spans="1:20" x14ac:dyDescent="0.35">
      <c r="H1" s="23">
        <f>SUM(H3:H85)</f>
        <v>907.53005780000001</v>
      </c>
      <c r="I1" s="23">
        <f>SUM(I3:I85)</f>
        <v>917.30934520000005</v>
      </c>
      <c r="J1" s="23">
        <f t="shared" ref="J1:S1" si="0">SUM(J3:J85)</f>
        <v>1013.9391946</v>
      </c>
      <c r="K1" s="23">
        <f t="shared" si="0"/>
        <v>905.79565333333323</v>
      </c>
      <c r="L1" s="23">
        <f t="shared" si="0"/>
        <v>965.65565333333336</v>
      </c>
      <c r="M1" s="23">
        <f t="shared" si="0"/>
        <v>1011.7806533333332</v>
      </c>
      <c r="N1" s="23">
        <f t="shared" si="0"/>
        <v>988.59509423333338</v>
      </c>
      <c r="O1" s="23">
        <f t="shared" si="0"/>
        <v>1015.8640742333334</v>
      </c>
      <c r="P1" s="23">
        <f t="shared" si="0"/>
        <v>1045.9791242333333</v>
      </c>
      <c r="Q1" s="23">
        <f t="shared" si="0"/>
        <v>1088.0046255666666</v>
      </c>
      <c r="R1" s="23">
        <f t="shared" si="0"/>
        <v>1155.5086655666667</v>
      </c>
      <c r="S1" s="23">
        <f t="shared" si="0"/>
        <v>1175.0086655666669</v>
      </c>
      <c r="T1" s="23">
        <f>SUM(T3:T85)</f>
        <v>12190.970806999998</v>
      </c>
    </row>
    <row r="2" spans="1:20" x14ac:dyDescent="0.35">
      <c r="A2" s="25" t="str">
        <f>Revenue_Budget!A2</f>
        <v>FY</v>
      </c>
      <c r="B2" s="25" t="str">
        <f>Revenue_Budget!B2</f>
        <v>Project</v>
      </c>
      <c r="C2" s="25" t="str">
        <f>Revenue_Budget!C2</f>
        <v>Vertical</v>
      </c>
      <c r="D2" s="25" t="str">
        <f>Revenue_Budget!D2</f>
        <v>Region</v>
      </c>
      <c r="E2" s="25" t="str">
        <f>Revenue_Budget!E2</f>
        <v>Sub Region</v>
      </c>
      <c r="F2" s="25" t="str">
        <f>Revenue_Budget!F2</f>
        <v>Region Head</v>
      </c>
      <c r="G2" s="25" t="str">
        <f>Revenue_Budget!G2</f>
        <v>Practice Head</v>
      </c>
      <c r="H2" s="26">
        <f>Revenue_Budget!H2</f>
        <v>46113</v>
      </c>
      <c r="I2" s="26">
        <f>Revenue_Budget!I2</f>
        <v>46143</v>
      </c>
      <c r="J2" s="26">
        <f>Revenue_Budget!J2</f>
        <v>46174</v>
      </c>
      <c r="K2" s="26">
        <f>Revenue_Budget!K2</f>
        <v>46204</v>
      </c>
      <c r="L2" s="26">
        <f>Revenue_Budget!L2</f>
        <v>46235</v>
      </c>
      <c r="M2" s="26">
        <f>Revenue_Budget!M2</f>
        <v>46266</v>
      </c>
      <c r="N2" s="26">
        <f>Revenue_Budget!N2</f>
        <v>46296</v>
      </c>
      <c r="O2" s="26">
        <f>Revenue_Budget!O2</f>
        <v>46327</v>
      </c>
      <c r="P2" s="26">
        <f>Revenue_Budget!P2</f>
        <v>46357</v>
      </c>
      <c r="Q2" s="26">
        <f>Revenue_Budget!Q2</f>
        <v>46388</v>
      </c>
      <c r="R2" s="26">
        <f>Revenue_Budget!R2</f>
        <v>46419</v>
      </c>
      <c r="S2" s="26">
        <f>Revenue_Budget!S2</f>
        <v>46447</v>
      </c>
      <c r="T2" s="27" t="s">
        <v>135</v>
      </c>
    </row>
    <row r="3" spans="1:20" x14ac:dyDescent="0.35">
      <c r="A3" s="1" t="s">
        <v>142</v>
      </c>
      <c r="B3" s="1" t="s">
        <v>2</v>
      </c>
      <c r="C3" s="1" t="str">
        <f>VLOOKUP(B3,Mapping!A:B,2,0)</f>
        <v>Lateral</v>
      </c>
      <c r="D3" s="1" t="str">
        <f>VLOOKUP(B3,Mapping!A:C,3,0)</f>
        <v>South</v>
      </c>
      <c r="E3" s="1" t="str">
        <f>VLOOKUP(B3,Mapping!A:D,4,0)</f>
        <v>South 1</v>
      </c>
      <c r="F3" s="1" t="str">
        <f>VLOOKUP(B3,Mapping!A:E,5,0)</f>
        <v>Bapi</v>
      </c>
      <c r="G3" s="1" t="str">
        <f>VLOOKUP(B3,Mapping!A:F,6,0)</f>
        <v>Bapi</v>
      </c>
      <c r="H3" s="27">
        <v>120</v>
      </c>
      <c r="I3" s="27">
        <v>167</v>
      </c>
      <c r="J3" s="27">
        <v>188</v>
      </c>
      <c r="K3" s="27">
        <v>108</v>
      </c>
      <c r="L3" s="27">
        <v>155</v>
      </c>
      <c r="M3" s="27">
        <v>177</v>
      </c>
      <c r="N3" s="27">
        <v>82</v>
      </c>
      <c r="O3" s="27">
        <v>116</v>
      </c>
      <c r="P3" s="27">
        <v>132</v>
      </c>
      <c r="Q3" s="27">
        <v>120</v>
      </c>
      <c r="R3" s="27">
        <v>168</v>
      </c>
      <c r="S3" s="27">
        <v>192</v>
      </c>
      <c r="T3" s="27">
        <f t="shared" ref="T3:T34" si="1">SUM(H3:S3)</f>
        <v>1725</v>
      </c>
    </row>
    <row r="4" spans="1:20" x14ac:dyDescent="0.35">
      <c r="A4" s="1" t="s">
        <v>142</v>
      </c>
      <c r="B4" s="1" t="s">
        <v>4</v>
      </c>
      <c r="C4" s="1" t="str">
        <f>VLOOKUP(B4,Mapping!A:B,2,0)</f>
        <v>Lateral</v>
      </c>
      <c r="D4" s="1" t="str">
        <f>VLOOKUP(B4,Mapping!A:C,3,0)</f>
        <v>West</v>
      </c>
      <c r="E4" s="1" t="str">
        <f>VLOOKUP(B4,Mapping!A:D,4,0)</f>
        <v>West 1</v>
      </c>
      <c r="F4" s="1" t="str">
        <f>VLOOKUP(B4,Mapping!A:E,5,0)</f>
        <v>Anjli</v>
      </c>
      <c r="G4" s="1" t="str">
        <f>VLOOKUP(B4,Mapping!A:F,6,0)</f>
        <v>Usha</v>
      </c>
      <c r="H4" s="27">
        <v>9.3010766</v>
      </c>
      <c r="I4" s="27">
        <v>8.4985999999999997</v>
      </c>
      <c r="J4" s="27">
        <v>5.5</v>
      </c>
      <c r="K4" s="27">
        <v>8</v>
      </c>
      <c r="L4" s="27">
        <v>8</v>
      </c>
      <c r="M4" s="27">
        <v>8</v>
      </c>
      <c r="N4" s="27">
        <v>5</v>
      </c>
      <c r="O4" s="27">
        <v>5</v>
      </c>
      <c r="P4" s="27">
        <v>5</v>
      </c>
      <c r="Q4" s="27">
        <v>5</v>
      </c>
      <c r="R4" s="27">
        <v>6</v>
      </c>
      <c r="S4" s="27">
        <v>6</v>
      </c>
      <c r="T4" s="27">
        <f t="shared" si="1"/>
        <v>79.299676599999998</v>
      </c>
    </row>
    <row r="5" spans="1:20" x14ac:dyDescent="0.35">
      <c r="A5" s="1" t="s">
        <v>142</v>
      </c>
      <c r="B5" s="1" t="s">
        <v>8</v>
      </c>
      <c r="C5" s="1" t="str">
        <f>VLOOKUP(B5,Mapping!A:B,2,0)</f>
        <v>Lateral</v>
      </c>
      <c r="D5" s="1" t="str">
        <f>VLOOKUP(B5,Mapping!A:C,3,0)</f>
        <v>West</v>
      </c>
      <c r="E5" s="1" t="str">
        <f>VLOOKUP(B5,Mapping!A:D,4,0)</f>
        <v>West 2</v>
      </c>
      <c r="F5" s="1" t="str">
        <f>VLOOKUP(B5,Mapping!A:E,5,0)</f>
        <v>Anjli</v>
      </c>
      <c r="G5" s="1" t="str">
        <f>VLOOKUP(B5,Mapping!A:F,6,0)</f>
        <v>Shweta</v>
      </c>
      <c r="H5" s="27">
        <v>0</v>
      </c>
      <c r="I5" s="27">
        <v>0</v>
      </c>
      <c r="J5" s="27">
        <v>0</v>
      </c>
      <c r="K5" s="27">
        <v>0</v>
      </c>
      <c r="L5" s="27">
        <v>0</v>
      </c>
      <c r="M5" s="27">
        <v>0</v>
      </c>
      <c r="N5" s="27">
        <v>0</v>
      </c>
      <c r="O5" s="27">
        <v>0</v>
      </c>
      <c r="P5" s="27">
        <v>0</v>
      </c>
      <c r="Q5" s="27">
        <v>0</v>
      </c>
      <c r="R5" s="27">
        <v>0</v>
      </c>
      <c r="S5" s="27">
        <v>0</v>
      </c>
      <c r="T5" s="27">
        <f t="shared" si="1"/>
        <v>0</v>
      </c>
    </row>
    <row r="6" spans="1:20" x14ac:dyDescent="0.35">
      <c r="A6" s="1" t="s">
        <v>142</v>
      </c>
      <c r="B6" s="1" t="s">
        <v>10</v>
      </c>
      <c r="C6" s="1" t="str">
        <f>VLOOKUP(B6,Mapping!A:B,2,0)</f>
        <v>Lateral</v>
      </c>
      <c r="D6" s="1" t="str">
        <f>VLOOKUP(B6,Mapping!A:C,3,0)</f>
        <v>North</v>
      </c>
      <c r="E6" s="1" t="str">
        <f>VLOOKUP(B6,Mapping!A:D,4,0)</f>
        <v>North</v>
      </c>
      <c r="F6" s="1" t="str">
        <f>VLOOKUP(B6,Mapping!A:E,5,0)</f>
        <v>Anjli</v>
      </c>
      <c r="G6" s="1" t="str">
        <f>VLOOKUP(B6,Mapping!A:F,6,0)</f>
        <v>Archana</v>
      </c>
      <c r="H6" s="27">
        <v>26.5</v>
      </c>
      <c r="I6" s="27">
        <v>17</v>
      </c>
      <c r="J6" s="27">
        <v>35.9</v>
      </c>
      <c r="K6" s="27">
        <v>18</v>
      </c>
      <c r="L6" s="27">
        <v>23</v>
      </c>
      <c r="M6" s="27">
        <v>22</v>
      </c>
      <c r="N6" s="27">
        <v>19</v>
      </c>
      <c r="O6" s="27">
        <v>20</v>
      </c>
      <c r="P6" s="27">
        <v>18</v>
      </c>
      <c r="Q6" s="27">
        <v>17</v>
      </c>
      <c r="R6" s="27">
        <v>15</v>
      </c>
      <c r="S6" s="27">
        <v>14</v>
      </c>
      <c r="T6" s="27">
        <f t="shared" si="1"/>
        <v>245.4</v>
      </c>
    </row>
    <row r="7" spans="1:20" x14ac:dyDescent="0.35">
      <c r="A7" s="1" t="s">
        <v>142</v>
      </c>
      <c r="B7" s="1" t="s">
        <v>139</v>
      </c>
      <c r="C7" s="1" t="s">
        <v>113</v>
      </c>
      <c r="D7" s="1" t="s">
        <v>13</v>
      </c>
      <c r="E7" s="1" t="s">
        <v>101</v>
      </c>
      <c r="F7" s="1" t="s">
        <v>141</v>
      </c>
      <c r="G7" s="1" t="s">
        <v>15</v>
      </c>
      <c r="H7" s="27">
        <v>6.1185</v>
      </c>
      <c r="I7" s="27">
        <v>6</v>
      </c>
      <c r="J7" s="27">
        <v>7</v>
      </c>
      <c r="K7" s="27">
        <v>6.3633333333333333</v>
      </c>
      <c r="L7" s="27">
        <v>6.3633333333333333</v>
      </c>
      <c r="M7" s="27">
        <v>6.3633333333333333</v>
      </c>
      <c r="N7" s="27">
        <v>9.1999999999999993</v>
      </c>
      <c r="O7" s="27">
        <v>10.7</v>
      </c>
      <c r="P7" s="27">
        <v>11.6</v>
      </c>
      <c r="Q7" s="27">
        <v>11.9</v>
      </c>
      <c r="R7" s="27">
        <v>11.9</v>
      </c>
      <c r="S7" s="27">
        <v>11.9</v>
      </c>
      <c r="T7" s="27">
        <f t="shared" si="1"/>
        <v>105.40850000000002</v>
      </c>
    </row>
    <row r="8" spans="1:20" x14ac:dyDescent="0.35">
      <c r="A8" s="1" t="s">
        <v>142</v>
      </c>
      <c r="B8" s="1" t="s">
        <v>140</v>
      </c>
      <c r="C8" s="1" t="s">
        <v>113</v>
      </c>
      <c r="D8" s="1" t="s">
        <v>11</v>
      </c>
      <c r="E8" s="1" t="s">
        <v>11</v>
      </c>
      <c r="F8" s="1" t="s">
        <v>6</v>
      </c>
      <c r="G8" s="1" t="s">
        <v>90</v>
      </c>
      <c r="H8" s="27">
        <v>13.0525</v>
      </c>
      <c r="I8" s="27">
        <v>11.28</v>
      </c>
      <c r="J8" s="27">
        <v>11</v>
      </c>
      <c r="K8" s="27">
        <v>11.5</v>
      </c>
      <c r="L8" s="27">
        <v>12</v>
      </c>
      <c r="M8" s="27">
        <v>11</v>
      </c>
      <c r="N8" s="27">
        <v>10</v>
      </c>
      <c r="O8" s="27">
        <v>10</v>
      </c>
      <c r="P8" s="27">
        <v>10.6</v>
      </c>
      <c r="Q8" s="27">
        <v>11.6</v>
      </c>
      <c r="R8" s="27">
        <v>12.5</v>
      </c>
      <c r="S8" s="27">
        <v>12.5</v>
      </c>
      <c r="T8" s="27">
        <f t="shared" si="1"/>
        <v>137.03249999999997</v>
      </c>
    </row>
    <row r="9" spans="1:20" x14ac:dyDescent="0.35">
      <c r="A9" s="1" t="s">
        <v>142</v>
      </c>
      <c r="B9" s="1" t="s">
        <v>16</v>
      </c>
      <c r="C9" s="1" t="str">
        <f>VLOOKUP(B9,Mapping!A:B,2,0)</f>
        <v>Lateral</v>
      </c>
      <c r="D9" s="1" t="str">
        <f>VLOOKUP(B9,Mapping!A:C,3,0)</f>
        <v>West</v>
      </c>
      <c r="E9" s="1" t="str">
        <f>VLOOKUP(B9,Mapping!A:D,4,0)</f>
        <v>West 1</v>
      </c>
      <c r="F9" s="1" t="str">
        <f>VLOOKUP(B9,Mapping!A:E,5,0)</f>
        <v>Anjli</v>
      </c>
      <c r="G9" s="1" t="str">
        <f>VLOOKUP(B9,Mapping!A:F,6,0)</f>
        <v>Usha</v>
      </c>
      <c r="H9" s="27">
        <v>6.83</v>
      </c>
      <c r="I9" s="27">
        <v>9.0500000000000007</v>
      </c>
      <c r="J9" s="27">
        <v>8.75</v>
      </c>
      <c r="K9" s="27">
        <v>15.166666666666668</v>
      </c>
      <c r="L9" s="27">
        <v>15.166666666666668</v>
      </c>
      <c r="M9" s="27">
        <v>15.166666666666668</v>
      </c>
      <c r="N9" s="27">
        <v>16</v>
      </c>
      <c r="O9" s="27">
        <v>16</v>
      </c>
      <c r="P9" s="27">
        <v>16</v>
      </c>
      <c r="Q9" s="27">
        <v>16.833333333333332</v>
      </c>
      <c r="R9" s="27">
        <v>16.833333333333332</v>
      </c>
      <c r="S9" s="27">
        <v>16.833333333333332</v>
      </c>
      <c r="T9" s="27">
        <f t="shared" si="1"/>
        <v>168.63000000000002</v>
      </c>
    </row>
    <row r="10" spans="1:20" x14ac:dyDescent="0.35">
      <c r="A10" s="1" t="s">
        <v>142</v>
      </c>
      <c r="B10" s="1" t="s">
        <v>17</v>
      </c>
      <c r="C10" s="1" t="str">
        <f>VLOOKUP(B10,Mapping!A:B,2,0)</f>
        <v>Lateral</v>
      </c>
      <c r="D10" s="1" t="str">
        <f>VLOOKUP(B10,Mapping!A:C,3,0)</f>
        <v>West</v>
      </c>
      <c r="E10" s="1" t="str">
        <f>VLOOKUP(B10,Mapping!A:D,4,0)</f>
        <v>West 2</v>
      </c>
      <c r="F10" s="1" t="str">
        <f>VLOOKUP(B10,Mapping!A:E,5,0)</f>
        <v>Anjli</v>
      </c>
      <c r="G10" s="1" t="str">
        <f>VLOOKUP(B10,Mapping!A:F,6,0)</f>
        <v>Shweta</v>
      </c>
      <c r="H10" s="27">
        <v>2.7279200000000001</v>
      </c>
      <c r="I10" s="27">
        <v>3.2114332000000001</v>
      </c>
      <c r="J10" s="27">
        <v>4.3313845999999998</v>
      </c>
      <c r="K10" s="27">
        <v>4</v>
      </c>
      <c r="L10" s="27">
        <v>4</v>
      </c>
      <c r="M10" s="27">
        <v>4</v>
      </c>
      <c r="N10" s="27">
        <v>4.5</v>
      </c>
      <c r="O10" s="27">
        <v>4</v>
      </c>
      <c r="P10" s="27">
        <v>4.5</v>
      </c>
      <c r="Q10" s="27">
        <v>4.5</v>
      </c>
      <c r="R10" s="27">
        <v>4.5</v>
      </c>
      <c r="S10" s="27">
        <v>4</v>
      </c>
      <c r="T10" s="27">
        <f t="shared" si="1"/>
        <v>48.270737799999999</v>
      </c>
    </row>
    <row r="11" spans="1:20" x14ac:dyDescent="0.35">
      <c r="A11" s="1" t="s">
        <v>142</v>
      </c>
      <c r="B11" s="1" t="s">
        <v>18</v>
      </c>
      <c r="C11" s="1" t="str">
        <f>VLOOKUP(B11,Mapping!A:B,2,0)</f>
        <v>Lateral</v>
      </c>
      <c r="D11" s="1" t="str">
        <f>VLOOKUP(B11,Mapping!A:C,3,0)</f>
        <v>West</v>
      </c>
      <c r="E11" s="1" t="str">
        <f>VLOOKUP(B11,Mapping!A:D,4,0)</f>
        <v>West 1</v>
      </c>
      <c r="F11" s="1" t="str">
        <f>VLOOKUP(B11,Mapping!A:E,5,0)</f>
        <v>Anjli</v>
      </c>
      <c r="G11" s="1" t="str">
        <f>VLOOKUP(B11,Mapping!A:F,6,0)</f>
        <v>Geetu</v>
      </c>
      <c r="H11" s="27">
        <v>12.79</v>
      </c>
      <c r="I11" s="27">
        <v>13.3</v>
      </c>
      <c r="J11" s="27">
        <v>13.3</v>
      </c>
      <c r="K11" s="27">
        <v>15.733333333333333</v>
      </c>
      <c r="L11" s="27">
        <v>15.733333333333333</v>
      </c>
      <c r="M11" s="27">
        <v>15.733333333333333</v>
      </c>
      <c r="N11" s="27">
        <v>16.600000000000001</v>
      </c>
      <c r="O11" s="27">
        <v>16.600000000000001</v>
      </c>
      <c r="P11" s="27">
        <v>16.600000000000001</v>
      </c>
      <c r="Q11" s="27">
        <v>15.533333333333333</v>
      </c>
      <c r="R11" s="27">
        <v>15.533333333333333</v>
      </c>
      <c r="S11" s="27">
        <v>15.533333333333333</v>
      </c>
      <c r="T11" s="27">
        <f t="shared" si="1"/>
        <v>182.98999999999998</v>
      </c>
    </row>
    <row r="12" spans="1:20" x14ac:dyDescent="0.35">
      <c r="A12" s="1" t="s">
        <v>142</v>
      </c>
      <c r="B12" s="1" t="s">
        <v>20</v>
      </c>
      <c r="C12" s="1" t="str">
        <f>VLOOKUP(B12,Mapping!A:B,2,0)</f>
        <v>Lateral</v>
      </c>
      <c r="D12" s="1" t="str">
        <f>VLOOKUP(B12,Mapping!A:C,3,0)</f>
        <v>West</v>
      </c>
      <c r="E12" s="1" t="str">
        <f>VLOOKUP(B12,Mapping!A:D,4,0)</f>
        <v>West 1</v>
      </c>
      <c r="F12" s="1" t="str">
        <f>VLOOKUP(B12,Mapping!A:E,5,0)</f>
        <v>Anjli</v>
      </c>
      <c r="G12" s="1" t="str">
        <f>VLOOKUP(B12,Mapping!A:F,6,0)</f>
        <v>Geetu</v>
      </c>
      <c r="H12" s="27">
        <v>0</v>
      </c>
      <c r="I12" s="27">
        <v>0</v>
      </c>
      <c r="J12" s="27">
        <v>0</v>
      </c>
      <c r="K12" s="27">
        <v>0</v>
      </c>
      <c r="L12" s="27">
        <v>0</v>
      </c>
      <c r="M12" s="27">
        <v>0</v>
      </c>
      <c r="N12" s="27">
        <v>0</v>
      </c>
      <c r="O12" s="27">
        <v>0</v>
      </c>
      <c r="P12" s="27">
        <v>0</v>
      </c>
      <c r="Q12" s="27">
        <v>0</v>
      </c>
      <c r="R12" s="27">
        <v>0</v>
      </c>
      <c r="S12" s="27">
        <v>0</v>
      </c>
      <c r="T12" s="27">
        <f t="shared" si="1"/>
        <v>0</v>
      </c>
    </row>
    <row r="13" spans="1:20" x14ac:dyDescent="0.35">
      <c r="A13" s="1" t="s">
        <v>142</v>
      </c>
      <c r="B13" s="1" t="s">
        <v>21</v>
      </c>
      <c r="C13" s="1" t="str">
        <f>VLOOKUP(B13,Mapping!A:B,2,0)</f>
        <v>Lateral</v>
      </c>
      <c r="D13" s="1" t="str">
        <f>VLOOKUP(B13,Mapping!A:C,3,0)</f>
        <v>South</v>
      </c>
      <c r="E13" s="1" t="str">
        <f>VLOOKUP(B13,Mapping!A:D,4,0)</f>
        <v>South 1</v>
      </c>
      <c r="F13" s="1" t="str">
        <f>VLOOKUP(B13,Mapping!A:E,5,0)</f>
        <v>Mahak</v>
      </c>
      <c r="G13" s="1" t="str">
        <f>VLOOKUP(B13,Mapping!A:F,6,0)</f>
        <v>Mahak</v>
      </c>
      <c r="H13" s="27">
        <v>181.56917999999999</v>
      </c>
      <c r="I13" s="27">
        <v>115.71541000000001</v>
      </c>
      <c r="J13" s="27">
        <v>115.71541000000001</v>
      </c>
      <c r="K13" s="27">
        <v>112.66666666666667</v>
      </c>
      <c r="L13" s="27">
        <v>112.66666666666667</v>
      </c>
      <c r="M13" s="27">
        <v>112.66666666666667</v>
      </c>
      <c r="N13" s="27">
        <v>113.19042089999999</v>
      </c>
      <c r="O13" s="27">
        <v>113.19042089999999</v>
      </c>
      <c r="P13" s="27">
        <v>103.19042090000001</v>
      </c>
      <c r="Q13" s="27">
        <v>134.0015889</v>
      </c>
      <c r="R13" s="27">
        <v>134.0015889</v>
      </c>
      <c r="S13" s="27">
        <v>124.0015889</v>
      </c>
      <c r="T13" s="27">
        <f t="shared" si="1"/>
        <v>1472.5760294000002</v>
      </c>
    </row>
    <row r="14" spans="1:20" x14ac:dyDescent="0.35">
      <c r="A14" s="1" t="s">
        <v>142</v>
      </c>
      <c r="B14" s="1" t="s">
        <v>23</v>
      </c>
      <c r="C14" s="1" t="str">
        <f>VLOOKUP(B14,Mapping!A:B,2,0)</f>
        <v>Lateral</v>
      </c>
      <c r="D14" s="1" t="str">
        <f>VLOOKUP(B14,Mapping!A:C,3,0)</f>
        <v>South</v>
      </c>
      <c r="E14" s="1" t="str">
        <f>VLOOKUP(B14,Mapping!A:D,4,0)</f>
        <v>South 1</v>
      </c>
      <c r="F14" s="1" t="str">
        <f>VLOOKUP(B14,Mapping!A:E,5,0)</f>
        <v>Anjli</v>
      </c>
      <c r="G14" s="1" t="str">
        <f>VLOOKUP(B14,Mapping!A:F,6,0)</f>
        <v>Satya</v>
      </c>
      <c r="H14" s="27">
        <v>3.7850000000000001</v>
      </c>
      <c r="I14" s="27">
        <v>5</v>
      </c>
      <c r="J14" s="27">
        <v>6</v>
      </c>
      <c r="K14" s="27">
        <v>5</v>
      </c>
      <c r="L14" s="27">
        <v>5</v>
      </c>
      <c r="M14" s="27">
        <v>5</v>
      </c>
      <c r="N14" s="27">
        <v>6</v>
      </c>
      <c r="O14" s="27">
        <v>7</v>
      </c>
      <c r="P14" s="27">
        <v>7</v>
      </c>
      <c r="Q14" s="27">
        <v>8</v>
      </c>
      <c r="R14" s="27">
        <v>7</v>
      </c>
      <c r="S14" s="27">
        <v>8</v>
      </c>
      <c r="T14" s="27">
        <f t="shared" si="1"/>
        <v>72.784999999999997</v>
      </c>
    </row>
    <row r="15" spans="1:20" x14ac:dyDescent="0.35">
      <c r="A15" s="1" t="s">
        <v>142</v>
      </c>
      <c r="B15" s="1" t="s">
        <v>25</v>
      </c>
      <c r="C15" s="1" t="str">
        <f>VLOOKUP(B15,Mapping!A:B,2,0)</f>
        <v>Lateral</v>
      </c>
      <c r="D15" s="1" t="str">
        <f>VLOOKUP(B15,Mapping!A:C,3,0)</f>
        <v>West</v>
      </c>
      <c r="E15" s="1" t="str">
        <f>VLOOKUP(B15,Mapping!A:D,4,0)</f>
        <v>West 1</v>
      </c>
      <c r="F15" s="1" t="str">
        <f>VLOOKUP(B15,Mapping!A:E,5,0)</f>
        <v>Anjli</v>
      </c>
      <c r="G15" s="1" t="str">
        <f>VLOOKUP(B15,Mapping!A:F,6,0)</f>
        <v>Geetu</v>
      </c>
      <c r="H15" s="27">
        <v>0.9</v>
      </c>
      <c r="I15" s="27">
        <v>0</v>
      </c>
      <c r="J15" s="27">
        <v>0</v>
      </c>
      <c r="K15" s="27">
        <v>0</v>
      </c>
      <c r="L15" s="27">
        <v>0</v>
      </c>
      <c r="M15" s="27">
        <v>0</v>
      </c>
      <c r="N15" s="27">
        <v>0</v>
      </c>
      <c r="O15" s="27">
        <v>0</v>
      </c>
      <c r="P15" s="27">
        <v>0</v>
      </c>
      <c r="Q15" s="27">
        <v>0</v>
      </c>
      <c r="R15" s="27">
        <v>0</v>
      </c>
      <c r="S15" s="27">
        <v>0</v>
      </c>
      <c r="T15" s="27">
        <f t="shared" si="1"/>
        <v>0.9</v>
      </c>
    </row>
    <row r="16" spans="1:20" x14ac:dyDescent="0.35">
      <c r="A16" s="1" t="s">
        <v>142</v>
      </c>
      <c r="B16" s="1" t="s">
        <v>26</v>
      </c>
      <c r="C16" s="1" t="str">
        <f>VLOOKUP(B16,Mapping!A:B,2,0)</f>
        <v>Lateral</v>
      </c>
      <c r="D16" s="1" t="str">
        <f>VLOOKUP(B16,Mapping!A:C,3,0)</f>
        <v>South</v>
      </c>
      <c r="E16" s="1" t="str">
        <f>VLOOKUP(B16,Mapping!A:D,4,0)</f>
        <v>South 2</v>
      </c>
      <c r="F16" s="1" t="str">
        <f>VLOOKUP(B16,Mapping!A:E,5,0)</f>
        <v>Sulabh</v>
      </c>
      <c r="G16" s="1" t="str">
        <f>VLOOKUP(B16,Mapping!A:F,6,0)</f>
        <v>Krishna</v>
      </c>
      <c r="H16" s="27">
        <v>4.5916899999999998</v>
      </c>
      <c r="I16" s="27">
        <v>4</v>
      </c>
      <c r="J16" s="27">
        <v>5</v>
      </c>
      <c r="K16" s="27">
        <v>1.3333333333333333</v>
      </c>
      <c r="L16" s="27">
        <v>1.3333333333333333</v>
      </c>
      <c r="M16" s="27">
        <v>1.3333333333333333</v>
      </c>
      <c r="N16" s="27">
        <v>4</v>
      </c>
      <c r="O16" s="27">
        <v>4</v>
      </c>
      <c r="P16" s="27">
        <v>3</v>
      </c>
      <c r="Q16" s="27">
        <v>3</v>
      </c>
      <c r="R16" s="27">
        <v>4</v>
      </c>
      <c r="S16" s="27">
        <v>5</v>
      </c>
      <c r="T16" s="27">
        <f t="shared" si="1"/>
        <v>40.59169</v>
      </c>
    </row>
    <row r="17" spans="1:20" x14ac:dyDescent="0.35">
      <c r="A17" s="1" t="s">
        <v>142</v>
      </c>
      <c r="B17" s="1" t="s">
        <v>28</v>
      </c>
      <c r="C17" s="1" t="str">
        <f>VLOOKUP(B17,Mapping!A:B,2,0)</f>
        <v>Lateral</v>
      </c>
      <c r="D17" s="1" t="str">
        <f>VLOOKUP(B17,Mapping!A:C,3,0)</f>
        <v>West</v>
      </c>
      <c r="E17" s="1" t="str">
        <f>VLOOKUP(B17,Mapping!A:D,4,0)</f>
        <v>West 1</v>
      </c>
      <c r="F17" s="1" t="str">
        <f>VLOOKUP(B17,Mapping!A:E,5,0)</f>
        <v>Anjli</v>
      </c>
      <c r="G17" s="1" t="str">
        <f>VLOOKUP(B17,Mapping!A:F,6,0)</f>
        <v>Dhriti</v>
      </c>
      <c r="H17" s="27">
        <v>119.60778230000001</v>
      </c>
      <c r="I17" s="27">
        <v>121</v>
      </c>
      <c r="J17" s="27">
        <v>140</v>
      </c>
      <c r="K17" s="27">
        <v>110</v>
      </c>
      <c r="L17" s="27">
        <v>110</v>
      </c>
      <c r="M17" s="27">
        <v>110</v>
      </c>
      <c r="N17" s="27">
        <v>120</v>
      </c>
      <c r="O17" s="27">
        <v>120</v>
      </c>
      <c r="P17" s="27">
        <v>120</v>
      </c>
      <c r="Q17" s="27">
        <v>130</v>
      </c>
      <c r="R17" s="27">
        <v>130</v>
      </c>
      <c r="S17" s="27">
        <v>130</v>
      </c>
      <c r="T17" s="27">
        <f t="shared" si="1"/>
        <v>1460.6077823000001</v>
      </c>
    </row>
    <row r="18" spans="1:20" x14ac:dyDescent="0.35">
      <c r="A18" s="1" t="s">
        <v>142</v>
      </c>
      <c r="B18" s="1" t="s">
        <v>29</v>
      </c>
      <c r="C18" s="1" t="str">
        <f>VLOOKUP(B18,Mapping!A:B,2,0)</f>
        <v>Lateral</v>
      </c>
      <c r="D18" s="1" t="str">
        <f>VLOOKUP(B18,Mapping!A:C,3,0)</f>
        <v>South</v>
      </c>
      <c r="E18" s="1" t="str">
        <f>VLOOKUP(B18,Mapping!A:D,4,0)</f>
        <v>South 2</v>
      </c>
      <c r="F18" s="1" t="str">
        <f>VLOOKUP(B18,Mapping!A:E,5,0)</f>
        <v>Sulabh</v>
      </c>
      <c r="G18" s="1" t="str">
        <f>VLOOKUP(B18,Mapping!A:F,6,0)</f>
        <v>Krishna</v>
      </c>
      <c r="H18" s="27">
        <v>0</v>
      </c>
      <c r="I18" s="27">
        <v>0</v>
      </c>
      <c r="J18" s="27">
        <v>0</v>
      </c>
      <c r="K18" s="27">
        <v>0</v>
      </c>
      <c r="L18" s="27">
        <v>0</v>
      </c>
      <c r="M18" s="27">
        <v>0</v>
      </c>
      <c r="N18" s="27">
        <v>0</v>
      </c>
      <c r="O18" s="27">
        <v>0</v>
      </c>
      <c r="P18" s="27">
        <v>0</v>
      </c>
      <c r="Q18" s="27">
        <v>0</v>
      </c>
      <c r="R18" s="27">
        <v>0</v>
      </c>
      <c r="S18" s="27">
        <v>0</v>
      </c>
      <c r="T18" s="27">
        <f t="shared" si="1"/>
        <v>0</v>
      </c>
    </row>
    <row r="19" spans="1:20" x14ac:dyDescent="0.35">
      <c r="A19" s="1" t="s">
        <v>142</v>
      </c>
      <c r="B19" s="1" t="s">
        <v>30</v>
      </c>
      <c r="C19" s="1" t="str">
        <f>VLOOKUP(B19,Mapping!A:B,2,0)</f>
        <v>Lateral</v>
      </c>
      <c r="D19" s="1" t="str">
        <f>VLOOKUP(B19,Mapping!A:C,3,0)</f>
        <v>South</v>
      </c>
      <c r="E19" s="1" t="str">
        <f>VLOOKUP(B19,Mapping!A:D,4,0)</f>
        <v>South 1</v>
      </c>
      <c r="F19" s="1" t="str">
        <f>VLOOKUP(B19,Mapping!A:E,5,0)</f>
        <v>Sulabh</v>
      </c>
      <c r="G19" s="1" t="str">
        <f>VLOOKUP(B19,Mapping!A:F,6,0)</f>
        <v>Subu</v>
      </c>
      <c r="H19" s="27">
        <v>39.987499999999997</v>
      </c>
      <c r="I19" s="27">
        <v>23</v>
      </c>
      <c r="J19" s="27">
        <v>23</v>
      </c>
      <c r="K19" s="27">
        <v>23</v>
      </c>
      <c r="L19" s="27">
        <v>23</v>
      </c>
      <c r="M19" s="27">
        <v>23</v>
      </c>
      <c r="N19" s="27">
        <v>40</v>
      </c>
      <c r="O19" s="27">
        <v>30</v>
      </c>
      <c r="P19" s="27">
        <v>30</v>
      </c>
      <c r="Q19" s="27">
        <v>60</v>
      </c>
      <c r="R19" s="27">
        <v>60</v>
      </c>
      <c r="S19" s="27">
        <v>30</v>
      </c>
      <c r="T19" s="27">
        <f t="shared" si="1"/>
        <v>404.98750000000001</v>
      </c>
    </row>
    <row r="20" spans="1:20" x14ac:dyDescent="0.35">
      <c r="A20" s="1" t="s">
        <v>142</v>
      </c>
      <c r="B20" s="1" t="s">
        <v>32</v>
      </c>
      <c r="C20" s="1" t="str">
        <f>VLOOKUP(B20,Mapping!A:B,2,0)</f>
        <v>Lateral</v>
      </c>
      <c r="D20" s="1" t="str">
        <f>VLOOKUP(B20,Mapping!A:C,3,0)</f>
        <v>West</v>
      </c>
      <c r="E20" s="1" t="str">
        <f>VLOOKUP(B20,Mapping!A:D,4,0)</f>
        <v>West 2</v>
      </c>
      <c r="F20" s="1" t="str">
        <f>VLOOKUP(B20,Mapping!A:E,5,0)</f>
        <v>Anjli</v>
      </c>
      <c r="G20" s="1" t="str">
        <f>VLOOKUP(B20,Mapping!A:F,6,0)</f>
        <v>Anjli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  <c r="N20" s="27">
        <v>0</v>
      </c>
      <c r="O20" s="27">
        <v>0</v>
      </c>
      <c r="P20" s="27">
        <v>0</v>
      </c>
      <c r="Q20" s="27">
        <v>0</v>
      </c>
      <c r="R20" s="27">
        <v>0</v>
      </c>
      <c r="S20" s="27">
        <v>0</v>
      </c>
      <c r="T20" s="27">
        <f t="shared" si="1"/>
        <v>0</v>
      </c>
    </row>
    <row r="21" spans="1:20" x14ac:dyDescent="0.35">
      <c r="A21" s="1" t="s">
        <v>142</v>
      </c>
      <c r="B21" s="1" t="s">
        <v>33</v>
      </c>
      <c r="C21" s="1" t="str">
        <f>VLOOKUP(B21,Mapping!A:B,2,0)</f>
        <v>Lateral</v>
      </c>
      <c r="D21" s="1" t="str">
        <f>VLOOKUP(B21,Mapping!A:C,3,0)</f>
        <v>West</v>
      </c>
      <c r="E21" s="1" t="str">
        <f>VLOOKUP(B21,Mapping!A:D,4,0)</f>
        <v>West 1</v>
      </c>
      <c r="F21" s="1" t="str">
        <f>VLOOKUP(B21,Mapping!A:E,5,0)</f>
        <v>Anjli</v>
      </c>
      <c r="G21" s="1" t="str">
        <f>VLOOKUP(B21,Mapping!A:F,6,0)</f>
        <v>Geetu</v>
      </c>
      <c r="H21" s="27">
        <v>6.9908000000000001</v>
      </c>
      <c r="I21" s="27">
        <v>14.080000000000002</v>
      </c>
      <c r="J21" s="27">
        <v>6.44</v>
      </c>
      <c r="K21" s="27">
        <v>9.2883333333333322</v>
      </c>
      <c r="L21" s="27">
        <v>9.2883333333333322</v>
      </c>
      <c r="M21" s="27">
        <v>9.2883333333333322</v>
      </c>
      <c r="N21" s="27">
        <v>8.5449999999999999</v>
      </c>
      <c r="O21" s="27">
        <v>8.5449999999999999</v>
      </c>
      <c r="P21" s="27">
        <v>8.5449999999999999</v>
      </c>
      <c r="Q21" s="27">
        <v>7.9033333333333333</v>
      </c>
      <c r="R21" s="27">
        <v>7.9033333333333333</v>
      </c>
      <c r="S21" s="27">
        <v>7.9033333333333333</v>
      </c>
      <c r="T21" s="27">
        <f t="shared" si="1"/>
        <v>104.72080000000001</v>
      </c>
    </row>
    <row r="22" spans="1:20" x14ac:dyDescent="0.35">
      <c r="A22" s="1" t="s">
        <v>142</v>
      </c>
      <c r="B22" s="1" t="s">
        <v>34</v>
      </c>
      <c r="C22" s="1" t="str">
        <f>VLOOKUP(B22,Mapping!A:B,2,0)</f>
        <v>Lateral</v>
      </c>
      <c r="D22" s="1" t="str">
        <f>VLOOKUP(B22,Mapping!A:C,3,0)</f>
        <v>South</v>
      </c>
      <c r="E22" s="1" t="str">
        <f>VLOOKUP(B22,Mapping!A:D,4,0)</f>
        <v>South 1</v>
      </c>
      <c r="F22" s="1" t="str">
        <f>VLOOKUP(B22,Mapping!A:E,5,0)</f>
        <v>Sulabh</v>
      </c>
      <c r="G22" s="1" t="str">
        <f>VLOOKUP(B22,Mapping!A:F,6,0)</f>
        <v>Satya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  <c r="N22" s="27">
        <v>0</v>
      </c>
      <c r="O22" s="27">
        <v>0</v>
      </c>
      <c r="P22" s="27">
        <v>0</v>
      </c>
      <c r="Q22" s="27">
        <v>0</v>
      </c>
      <c r="R22" s="27">
        <v>0</v>
      </c>
      <c r="S22" s="27">
        <v>0</v>
      </c>
      <c r="T22" s="27">
        <f t="shared" si="1"/>
        <v>0</v>
      </c>
    </row>
    <row r="23" spans="1:20" x14ac:dyDescent="0.35">
      <c r="A23" s="1" t="s">
        <v>142</v>
      </c>
      <c r="B23" s="1" t="s">
        <v>35</v>
      </c>
      <c r="C23" s="1" t="str">
        <f>VLOOKUP(B23,Mapping!A:B,2,0)</f>
        <v>Lateral</v>
      </c>
      <c r="D23" s="1" t="str">
        <f>VLOOKUP(B23,Mapping!A:C,3,0)</f>
        <v>West</v>
      </c>
      <c r="E23" s="1" t="str">
        <f>VLOOKUP(B23,Mapping!A:D,4,0)</f>
        <v>West 1</v>
      </c>
      <c r="F23" s="1" t="str">
        <f>VLOOKUP(B23,Mapping!A:E,5,0)</f>
        <v>Anjli</v>
      </c>
      <c r="G23" s="1" t="str">
        <f>VLOOKUP(B23,Mapping!A:F,6,0)</f>
        <v>Alifia</v>
      </c>
      <c r="H23" s="27">
        <v>26.27983</v>
      </c>
      <c r="I23" s="27">
        <v>28.880000000000003</v>
      </c>
      <c r="J23" s="27">
        <v>52.88</v>
      </c>
      <c r="K23" s="27">
        <v>30</v>
      </c>
      <c r="L23" s="27">
        <v>30</v>
      </c>
      <c r="M23" s="27">
        <v>30</v>
      </c>
      <c r="N23" s="27">
        <v>30</v>
      </c>
      <c r="O23" s="27">
        <v>30</v>
      </c>
      <c r="P23" s="27">
        <v>30</v>
      </c>
      <c r="Q23" s="27">
        <v>30</v>
      </c>
      <c r="R23" s="27">
        <v>30</v>
      </c>
      <c r="S23" s="27">
        <v>30</v>
      </c>
      <c r="T23" s="27">
        <f t="shared" si="1"/>
        <v>378.03982999999999</v>
      </c>
    </row>
    <row r="24" spans="1:20" x14ac:dyDescent="0.35">
      <c r="A24" s="1" t="s">
        <v>142</v>
      </c>
      <c r="B24" s="1" t="s">
        <v>37</v>
      </c>
      <c r="C24" s="1" t="str">
        <f>VLOOKUP(B24,Mapping!A:B,2,0)</f>
        <v>Lateral</v>
      </c>
      <c r="D24" s="1" t="str">
        <f>VLOOKUP(B24,Mapping!A:C,3,0)</f>
        <v>South</v>
      </c>
      <c r="E24" s="1" t="str">
        <f>VLOOKUP(B24,Mapping!A:D,4,0)</f>
        <v>South 2</v>
      </c>
      <c r="F24" s="1" t="str">
        <f>VLOOKUP(B24,Mapping!A:E,5,0)</f>
        <v>Sulabh</v>
      </c>
      <c r="G24" s="1" t="str">
        <f>VLOOKUP(B24,Mapping!A:F,6,0)</f>
        <v>Subu</v>
      </c>
      <c r="H24" s="27">
        <v>0.68445</v>
      </c>
      <c r="I24" s="27">
        <v>1</v>
      </c>
      <c r="J24" s="27">
        <v>1</v>
      </c>
      <c r="K24" s="27">
        <v>0.83333333333333337</v>
      </c>
      <c r="L24" s="27">
        <v>0.83333333333333337</v>
      </c>
      <c r="M24" s="27">
        <v>0.83333333333333337</v>
      </c>
      <c r="N24" s="27">
        <v>0</v>
      </c>
      <c r="O24" s="27">
        <v>0</v>
      </c>
      <c r="P24" s="27">
        <v>0</v>
      </c>
      <c r="Q24" s="27">
        <v>0</v>
      </c>
      <c r="R24" s="27">
        <v>0</v>
      </c>
      <c r="S24" s="27">
        <v>0</v>
      </c>
      <c r="T24" s="27">
        <f t="shared" si="1"/>
        <v>5.18445</v>
      </c>
    </row>
    <row r="25" spans="1:20" x14ac:dyDescent="0.35">
      <c r="A25" s="1" t="s">
        <v>142</v>
      </c>
      <c r="B25" s="1" t="s">
        <v>38</v>
      </c>
      <c r="C25" s="1" t="str">
        <f>VLOOKUP(B25,Mapping!A:B,2,0)</f>
        <v>Lateral</v>
      </c>
      <c r="D25" s="1" t="str">
        <f>VLOOKUP(B25,Mapping!A:C,3,0)</f>
        <v>North</v>
      </c>
      <c r="E25" s="1" t="str">
        <f>VLOOKUP(B25,Mapping!A:D,4,0)</f>
        <v>North</v>
      </c>
      <c r="F25" s="1" t="str">
        <f>VLOOKUP(B25,Mapping!A:E,5,0)</f>
        <v>Anjli</v>
      </c>
      <c r="G25" s="1" t="str">
        <f>VLOOKUP(B25,Mapping!A:F,6,0)</f>
        <v>Archana</v>
      </c>
      <c r="H25" s="27">
        <v>1.6505700000000001</v>
      </c>
      <c r="I25" s="27">
        <v>2.4</v>
      </c>
      <c r="J25" s="27">
        <v>4.8499999999999996</v>
      </c>
      <c r="K25" s="27">
        <v>10</v>
      </c>
      <c r="L25" s="27">
        <v>12</v>
      </c>
      <c r="M25" s="27">
        <v>7</v>
      </c>
      <c r="N25" s="27">
        <v>10</v>
      </c>
      <c r="O25" s="27">
        <v>7</v>
      </c>
      <c r="P25" s="27">
        <v>12</v>
      </c>
      <c r="Q25" s="27">
        <v>10</v>
      </c>
      <c r="R25" s="27">
        <v>10</v>
      </c>
      <c r="S25" s="27">
        <v>10</v>
      </c>
      <c r="T25" s="27">
        <f t="shared" si="1"/>
        <v>96.900570000000002</v>
      </c>
    </row>
    <row r="26" spans="1:20" x14ac:dyDescent="0.35">
      <c r="A26" s="1" t="s">
        <v>142</v>
      </c>
      <c r="B26" s="1" t="s">
        <v>39</v>
      </c>
      <c r="C26" s="1" t="str">
        <f>VLOOKUP(B26,Mapping!A:B,2,0)</f>
        <v>Lateral</v>
      </c>
      <c r="D26" s="1" t="str">
        <f>VLOOKUP(B26,Mapping!A:C,3,0)</f>
        <v>South</v>
      </c>
      <c r="E26" s="1" t="str">
        <f>VLOOKUP(B26,Mapping!A:D,4,0)</f>
        <v>South 2</v>
      </c>
      <c r="F26" s="1" t="str">
        <f>VLOOKUP(B26,Mapping!A:E,5,0)</f>
        <v>Sulabh</v>
      </c>
      <c r="G26" s="1" t="str">
        <f>VLOOKUP(B26,Mapping!A:F,6,0)</f>
        <v>Krishna</v>
      </c>
      <c r="H26" s="27">
        <v>0</v>
      </c>
      <c r="I26" s="27">
        <v>0</v>
      </c>
      <c r="J26" s="27">
        <v>0</v>
      </c>
      <c r="K26" s="27">
        <v>0</v>
      </c>
      <c r="L26" s="27">
        <v>0</v>
      </c>
      <c r="M26" s="27">
        <v>0</v>
      </c>
      <c r="N26" s="27">
        <v>0</v>
      </c>
      <c r="O26" s="27">
        <v>0</v>
      </c>
      <c r="P26" s="27">
        <v>0</v>
      </c>
      <c r="Q26" s="27">
        <v>0</v>
      </c>
      <c r="R26" s="27">
        <v>0</v>
      </c>
      <c r="S26" s="27">
        <v>0</v>
      </c>
      <c r="T26" s="27">
        <f t="shared" si="1"/>
        <v>0</v>
      </c>
    </row>
    <row r="27" spans="1:20" x14ac:dyDescent="0.35">
      <c r="A27" s="1" t="s">
        <v>142</v>
      </c>
      <c r="B27" s="1" t="s">
        <v>40</v>
      </c>
      <c r="C27" s="1" t="str">
        <f>VLOOKUP(B27,Mapping!A:B,2,0)</f>
        <v>Lateral</v>
      </c>
      <c r="D27" s="1" t="str">
        <f>VLOOKUP(B27,Mapping!A:C,3,0)</f>
        <v>West</v>
      </c>
      <c r="E27" s="1" t="str">
        <f>VLOOKUP(B27,Mapping!A:D,4,0)</f>
        <v>West 2</v>
      </c>
      <c r="F27" s="1" t="str">
        <f>VLOOKUP(B27,Mapping!A:E,5,0)</f>
        <v>Anjli</v>
      </c>
      <c r="G27" s="1" t="str">
        <f>VLOOKUP(B27,Mapping!A:F,6,0)</f>
        <v>Shweta</v>
      </c>
      <c r="H27" s="27">
        <v>10.015700000000001</v>
      </c>
      <c r="I27" s="27">
        <v>10.74</v>
      </c>
      <c r="J27" s="27">
        <v>9.74</v>
      </c>
      <c r="K27" s="27">
        <v>7</v>
      </c>
      <c r="L27" s="27">
        <v>7.5</v>
      </c>
      <c r="M27" s="27">
        <v>7.5</v>
      </c>
      <c r="N27" s="27">
        <v>7.5</v>
      </c>
      <c r="O27" s="27">
        <v>7.5</v>
      </c>
      <c r="P27" s="27">
        <v>7</v>
      </c>
      <c r="Q27" s="27">
        <v>7.5</v>
      </c>
      <c r="R27" s="27">
        <v>7</v>
      </c>
      <c r="S27" s="27">
        <v>7</v>
      </c>
      <c r="T27" s="27">
        <f t="shared" si="1"/>
        <v>95.995699999999999</v>
      </c>
    </row>
    <row r="28" spans="1:20" x14ac:dyDescent="0.35">
      <c r="A28" s="1" t="s">
        <v>142</v>
      </c>
      <c r="B28" s="1" t="s">
        <v>41</v>
      </c>
      <c r="C28" s="1" t="str">
        <f>VLOOKUP(B28,Mapping!A:B,2,0)</f>
        <v>Lateral</v>
      </c>
      <c r="D28" s="1" t="str">
        <f>VLOOKUP(B28,Mapping!A:C,3,0)</f>
        <v>South</v>
      </c>
      <c r="E28" s="1" t="str">
        <f>VLOOKUP(B28,Mapping!A:D,4,0)</f>
        <v>South 2</v>
      </c>
      <c r="F28" s="1" t="str">
        <f>VLOOKUP(B28,Mapping!A:E,5,0)</f>
        <v>Sulabh</v>
      </c>
      <c r="G28" s="1" t="str">
        <f>VLOOKUP(B28,Mapping!A:F,6,0)</f>
        <v>Krishna</v>
      </c>
      <c r="H28" s="27">
        <v>24.223479999999999</v>
      </c>
      <c r="I28" s="27">
        <v>16</v>
      </c>
      <c r="J28" s="27">
        <v>18</v>
      </c>
      <c r="K28" s="27">
        <v>16</v>
      </c>
      <c r="L28" s="27">
        <v>16</v>
      </c>
      <c r="M28" s="27">
        <v>16</v>
      </c>
      <c r="N28" s="27">
        <v>16</v>
      </c>
      <c r="O28" s="27">
        <v>16</v>
      </c>
      <c r="P28" s="27">
        <v>16</v>
      </c>
      <c r="Q28" s="27">
        <v>16</v>
      </c>
      <c r="R28" s="27">
        <v>16</v>
      </c>
      <c r="S28" s="27">
        <v>16</v>
      </c>
      <c r="T28" s="27">
        <f t="shared" si="1"/>
        <v>202.22348</v>
      </c>
    </row>
    <row r="29" spans="1:20" x14ac:dyDescent="0.35">
      <c r="A29" s="1" t="s">
        <v>142</v>
      </c>
      <c r="B29" s="1" t="s">
        <v>42</v>
      </c>
      <c r="C29" s="1" t="str">
        <f>VLOOKUP(B29,Mapping!A:B,2,0)</f>
        <v>Lateral</v>
      </c>
      <c r="D29" s="1" t="str">
        <f>VLOOKUP(B29,Mapping!A:C,3,0)</f>
        <v>North</v>
      </c>
      <c r="E29" s="1" t="str">
        <f>VLOOKUP(B29,Mapping!A:D,4,0)</f>
        <v>North</v>
      </c>
      <c r="F29" s="1" t="str">
        <f>VLOOKUP(B29,Mapping!A:E,5,0)</f>
        <v>Anjli</v>
      </c>
      <c r="G29" s="1" t="str">
        <f>VLOOKUP(B29,Mapping!A:F,6,0)</f>
        <v>Archana</v>
      </c>
      <c r="H29" s="27">
        <v>10.29</v>
      </c>
      <c r="I29" s="27">
        <v>13.3</v>
      </c>
      <c r="J29" s="27">
        <v>10.1</v>
      </c>
      <c r="K29" s="27">
        <v>15</v>
      </c>
      <c r="L29" s="27">
        <v>15</v>
      </c>
      <c r="M29" s="27">
        <v>20</v>
      </c>
      <c r="N29" s="27">
        <v>18</v>
      </c>
      <c r="O29" s="27">
        <v>20</v>
      </c>
      <c r="P29" s="27">
        <v>20</v>
      </c>
      <c r="Q29" s="27">
        <v>8</v>
      </c>
      <c r="R29" s="27">
        <v>15</v>
      </c>
      <c r="S29" s="27">
        <v>15</v>
      </c>
      <c r="T29" s="27">
        <f t="shared" si="1"/>
        <v>179.69</v>
      </c>
    </row>
    <row r="30" spans="1:20" x14ac:dyDescent="0.35">
      <c r="A30" s="1" t="s">
        <v>142</v>
      </c>
      <c r="B30" s="1" t="s">
        <v>43</v>
      </c>
      <c r="C30" s="1" t="str">
        <f>VLOOKUP(B30,Mapping!A:B,2,0)</f>
        <v>Lateral</v>
      </c>
      <c r="D30" s="1" t="str">
        <f>VLOOKUP(B30,Mapping!A:C,3,0)</f>
        <v>West</v>
      </c>
      <c r="E30" s="1" t="str">
        <f>VLOOKUP(B30,Mapping!A:D,4,0)</f>
        <v>West 2</v>
      </c>
      <c r="F30" s="1" t="str">
        <f>VLOOKUP(B30,Mapping!A:E,5,0)</f>
        <v>Anjli</v>
      </c>
      <c r="G30" s="1" t="str">
        <f>VLOOKUP(B30,Mapping!A:F,6,0)</f>
        <v>Shweta</v>
      </c>
      <c r="H30" s="27">
        <v>5.4947099999999995</v>
      </c>
      <c r="I30" s="27">
        <v>6.48</v>
      </c>
      <c r="J30" s="27">
        <v>26.676000000000002</v>
      </c>
      <c r="K30" s="27">
        <v>5</v>
      </c>
      <c r="L30" s="27">
        <v>5.5</v>
      </c>
      <c r="M30" s="27">
        <v>5.5</v>
      </c>
      <c r="N30" s="27">
        <v>5</v>
      </c>
      <c r="O30" s="27">
        <v>5.5</v>
      </c>
      <c r="P30" s="27">
        <v>5.5</v>
      </c>
      <c r="Q30" s="27">
        <v>5</v>
      </c>
      <c r="R30" s="27">
        <v>5.5</v>
      </c>
      <c r="S30" s="27">
        <v>5.5</v>
      </c>
      <c r="T30" s="27">
        <f t="shared" si="1"/>
        <v>86.650710000000004</v>
      </c>
    </row>
    <row r="31" spans="1:20" x14ac:dyDescent="0.35">
      <c r="A31" s="1" t="s">
        <v>142</v>
      </c>
      <c r="B31" s="1" t="s">
        <v>44</v>
      </c>
      <c r="C31" s="1" t="str">
        <f>VLOOKUP(B31,Mapping!A:B,2,0)</f>
        <v>Lateral</v>
      </c>
      <c r="D31" s="1" t="str">
        <f>VLOOKUP(B31,Mapping!A:C,3,0)</f>
        <v>North</v>
      </c>
      <c r="E31" s="1" t="str">
        <f>VLOOKUP(B31,Mapping!A:D,4,0)</f>
        <v>North</v>
      </c>
      <c r="F31" s="1" t="str">
        <f>VLOOKUP(B31,Mapping!A:E,5,0)</f>
        <v>Anjli</v>
      </c>
      <c r="G31" s="1" t="str">
        <f>VLOOKUP(B31,Mapping!A:F,6,0)</f>
        <v>Archana</v>
      </c>
      <c r="H31" s="27">
        <v>26.5</v>
      </c>
      <c r="I31" s="27">
        <v>33</v>
      </c>
      <c r="J31" s="27">
        <v>24</v>
      </c>
      <c r="K31" s="27">
        <v>42</v>
      </c>
      <c r="L31" s="27">
        <v>43</v>
      </c>
      <c r="M31" s="27">
        <v>42</v>
      </c>
      <c r="N31" s="27">
        <v>43</v>
      </c>
      <c r="O31" s="27">
        <v>45</v>
      </c>
      <c r="P31" s="27">
        <v>45</v>
      </c>
      <c r="Q31" s="27">
        <v>40</v>
      </c>
      <c r="R31" s="27">
        <v>40</v>
      </c>
      <c r="S31" s="27">
        <v>40</v>
      </c>
      <c r="T31" s="27">
        <f t="shared" si="1"/>
        <v>463.5</v>
      </c>
    </row>
    <row r="32" spans="1:20" x14ac:dyDescent="0.35">
      <c r="A32" s="1" t="s">
        <v>142</v>
      </c>
      <c r="B32" s="1" t="s">
        <v>45</v>
      </c>
      <c r="C32" s="1" t="str">
        <f>VLOOKUP(B32,Mapping!A:B,2,0)</f>
        <v>Lateral</v>
      </c>
      <c r="D32" s="1" t="str">
        <f>VLOOKUP(B32,Mapping!A:C,3,0)</f>
        <v>South</v>
      </c>
      <c r="E32" s="1" t="str">
        <f>VLOOKUP(B32,Mapping!A:D,4,0)</f>
        <v>South 2</v>
      </c>
      <c r="F32" s="1" t="str">
        <f>VLOOKUP(B32,Mapping!A:E,5,0)</f>
        <v>Sulabh</v>
      </c>
      <c r="G32" s="1" t="str">
        <f>VLOOKUP(B32,Mapping!A:F,6,0)</f>
        <v>Krishna</v>
      </c>
      <c r="H32" s="27">
        <v>0</v>
      </c>
      <c r="I32" s="27">
        <v>0</v>
      </c>
      <c r="J32" s="27">
        <v>0</v>
      </c>
      <c r="K32" s="27">
        <v>0</v>
      </c>
      <c r="L32" s="27">
        <v>0</v>
      </c>
      <c r="M32" s="27">
        <v>0</v>
      </c>
      <c r="N32" s="27">
        <v>0</v>
      </c>
      <c r="O32" s="27">
        <v>0</v>
      </c>
      <c r="P32" s="27">
        <v>0</v>
      </c>
      <c r="Q32" s="27">
        <v>0</v>
      </c>
      <c r="R32" s="27">
        <v>0</v>
      </c>
      <c r="S32" s="27">
        <v>0</v>
      </c>
      <c r="T32" s="27">
        <f t="shared" si="1"/>
        <v>0</v>
      </c>
    </row>
    <row r="33" spans="1:20" x14ac:dyDescent="0.35">
      <c r="A33" s="1" t="s">
        <v>142</v>
      </c>
      <c r="B33" s="1" t="s">
        <v>46</v>
      </c>
      <c r="C33" s="1" t="str">
        <f>VLOOKUP(B33,Mapping!A:B,2,0)</f>
        <v>Lateral</v>
      </c>
      <c r="D33" s="1" t="str">
        <f>VLOOKUP(B33,Mapping!A:C,3,0)</f>
        <v>West</v>
      </c>
      <c r="E33" s="1" t="str">
        <f>VLOOKUP(B33,Mapping!A:D,4,0)</f>
        <v>West 1</v>
      </c>
      <c r="F33" s="1" t="str">
        <f>VLOOKUP(B33,Mapping!A:E,5,0)</f>
        <v>Anjli</v>
      </c>
      <c r="G33" s="1" t="str">
        <f>VLOOKUP(B33,Mapping!A:F,6,0)</f>
        <v>Geetu</v>
      </c>
      <c r="H33" s="27">
        <v>30.8</v>
      </c>
      <c r="I33" s="27">
        <v>30.77</v>
      </c>
      <c r="J33" s="27">
        <v>21.5</v>
      </c>
      <c r="K33" s="27">
        <v>21.13</v>
      </c>
      <c r="L33" s="27">
        <v>21.13</v>
      </c>
      <c r="M33" s="27">
        <v>21.13</v>
      </c>
      <c r="N33" s="27">
        <v>19.7</v>
      </c>
      <c r="O33" s="27">
        <v>19.7</v>
      </c>
      <c r="P33" s="27">
        <v>19.7</v>
      </c>
      <c r="Q33" s="27">
        <v>20.25</v>
      </c>
      <c r="R33" s="27">
        <v>20.25</v>
      </c>
      <c r="S33" s="27">
        <v>20.25</v>
      </c>
      <c r="T33" s="27">
        <f t="shared" si="1"/>
        <v>266.30999999999995</v>
      </c>
    </row>
    <row r="34" spans="1:20" x14ac:dyDescent="0.35">
      <c r="A34" s="1" t="s">
        <v>142</v>
      </c>
      <c r="B34" s="1" t="s">
        <v>47</v>
      </c>
      <c r="C34" s="1" t="str">
        <f>VLOOKUP(B34,Mapping!A:B,2,0)</f>
        <v>Lateral</v>
      </c>
      <c r="D34" s="1" t="str">
        <f>VLOOKUP(B34,Mapping!A:C,3,0)</f>
        <v>West</v>
      </c>
      <c r="E34" s="1" t="str">
        <f>VLOOKUP(B34,Mapping!A:D,4,0)</f>
        <v>West 1</v>
      </c>
      <c r="F34" s="1" t="str">
        <f>VLOOKUP(B34,Mapping!A:E,5,0)</f>
        <v>Anjli</v>
      </c>
      <c r="G34" s="1" t="str">
        <f>VLOOKUP(B34,Mapping!A:F,6,0)</f>
        <v>Geetu</v>
      </c>
      <c r="H34" s="27">
        <v>0</v>
      </c>
      <c r="I34" s="27">
        <v>0</v>
      </c>
      <c r="J34" s="27">
        <v>0</v>
      </c>
      <c r="K34" s="27">
        <v>1</v>
      </c>
      <c r="L34" s="27">
        <v>1.5</v>
      </c>
      <c r="M34" s="27">
        <v>1</v>
      </c>
      <c r="N34" s="27">
        <v>1</v>
      </c>
      <c r="O34" s="27">
        <v>1</v>
      </c>
      <c r="P34" s="27">
        <v>1.5</v>
      </c>
      <c r="Q34" s="27">
        <v>1</v>
      </c>
      <c r="R34" s="27">
        <v>1</v>
      </c>
      <c r="S34" s="27">
        <v>1</v>
      </c>
      <c r="T34" s="27">
        <f t="shared" si="1"/>
        <v>10</v>
      </c>
    </row>
    <row r="35" spans="1:20" x14ac:dyDescent="0.35">
      <c r="A35" s="1" t="s">
        <v>142</v>
      </c>
      <c r="B35" s="1" t="s">
        <v>48</v>
      </c>
      <c r="C35" s="1" t="str">
        <f>VLOOKUP(B35,Mapping!A:B,2,0)</f>
        <v>Lateral</v>
      </c>
      <c r="D35" s="1" t="str">
        <f>VLOOKUP(B35,Mapping!A:C,3,0)</f>
        <v>West</v>
      </c>
      <c r="E35" s="1" t="str">
        <f>VLOOKUP(B35,Mapping!A:D,4,0)</f>
        <v>West 1</v>
      </c>
      <c r="F35" s="1" t="str">
        <f>VLOOKUP(B35,Mapping!A:E,5,0)</f>
        <v>Anjli</v>
      </c>
      <c r="G35" s="1" t="str">
        <f>VLOOKUP(B35,Mapping!A:F,6,0)</f>
        <v>Geetu</v>
      </c>
      <c r="H35" s="27">
        <v>0</v>
      </c>
      <c r="I35" s="27">
        <v>3.22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f t="shared" ref="T35:T66" si="2">SUM(H35:S35)</f>
        <v>3.22</v>
      </c>
    </row>
    <row r="36" spans="1:20" x14ac:dyDescent="0.35">
      <c r="A36" s="1" t="s">
        <v>142</v>
      </c>
      <c r="B36" s="1" t="s">
        <v>49</v>
      </c>
      <c r="C36" s="1" t="str">
        <f>VLOOKUP(B36,Mapping!A:B,2,0)</f>
        <v>Lateral</v>
      </c>
      <c r="D36" s="1" t="str">
        <f>VLOOKUP(B36,Mapping!A:C,3,0)</f>
        <v>North</v>
      </c>
      <c r="E36" s="1" t="str">
        <f>VLOOKUP(B36,Mapping!A:D,4,0)</f>
        <v>North</v>
      </c>
      <c r="F36" s="1" t="str">
        <f>VLOOKUP(B36,Mapping!A:E,5,0)</f>
        <v>Anjli</v>
      </c>
      <c r="G36" s="1" t="str">
        <f>VLOOKUP(B36,Mapping!A:F,6,0)</f>
        <v>Archana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f t="shared" si="2"/>
        <v>0</v>
      </c>
    </row>
    <row r="37" spans="1:20" x14ac:dyDescent="0.35">
      <c r="A37" s="1" t="s">
        <v>142</v>
      </c>
      <c r="B37" s="1" t="s">
        <v>50</v>
      </c>
      <c r="C37" s="1" t="str">
        <f>VLOOKUP(B37,Mapping!A:B,2,0)</f>
        <v>Lateral</v>
      </c>
      <c r="D37" s="1" t="str">
        <f>VLOOKUP(B37,Mapping!A:C,3,0)</f>
        <v>North</v>
      </c>
      <c r="E37" s="1" t="str">
        <f>VLOOKUP(B37,Mapping!A:D,4,0)</f>
        <v>North</v>
      </c>
      <c r="F37" s="1" t="str">
        <f>VLOOKUP(B37,Mapping!A:E,5,0)</f>
        <v>Anjli</v>
      </c>
      <c r="G37" s="1" t="str">
        <f>VLOOKUP(B37,Mapping!A:F,6,0)</f>
        <v>Archana</v>
      </c>
      <c r="H37" s="27">
        <v>3.81</v>
      </c>
      <c r="I37" s="27">
        <v>2.78</v>
      </c>
      <c r="J37" s="27">
        <v>2</v>
      </c>
      <c r="K37" s="27">
        <v>3</v>
      </c>
      <c r="L37" s="27">
        <v>3.1</v>
      </c>
      <c r="M37" s="27">
        <v>3</v>
      </c>
      <c r="N37" s="27">
        <v>3</v>
      </c>
      <c r="O37" s="27">
        <v>4</v>
      </c>
      <c r="P37" s="27">
        <v>4</v>
      </c>
      <c r="Q37" s="27">
        <v>4</v>
      </c>
      <c r="R37" s="27">
        <v>4.2</v>
      </c>
      <c r="S37" s="27">
        <v>4.2</v>
      </c>
      <c r="T37" s="27">
        <f t="shared" si="2"/>
        <v>41.09</v>
      </c>
    </row>
    <row r="38" spans="1:20" x14ac:dyDescent="0.35">
      <c r="A38" s="1" t="s">
        <v>142</v>
      </c>
      <c r="B38" s="1" t="s">
        <v>51</v>
      </c>
      <c r="C38" s="1" t="str">
        <f>VLOOKUP(B38,Mapping!A:B,2,0)</f>
        <v>Lateral</v>
      </c>
      <c r="D38" s="1" t="str">
        <f>VLOOKUP(B38,Mapping!A:C,3,0)</f>
        <v>West</v>
      </c>
      <c r="E38" s="1" t="str">
        <f>VLOOKUP(B38,Mapping!A:D,4,0)</f>
        <v>West 1</v>
      </c>
      <c r="F38" s="1" t="str">
        <f>VLOOKUP(B38,Mapping!A:E,5,0)</f>
        <v>Anjli</v>
      </c>
      <c r="G38" s="1" t="str">
        <f>VLOOKUP(B38,Mapping!A:F,6,0)</f>
        <v>Geetu</v>
      </c>
      <c r="H38" s="27">
        <v>3.6067749999999998</v>
      </c>
      <c r="I38" s="27">
        <v>4.76</v>
      </c>
      <c r="J38" s="27">
        <v>3.5</v>
      </c>
      <c r="K38" s="27">
        <v>8.2379999999999995</v>
      </c>
      <c r="L38" s="27">
        <v>8.2379999999999995</v>
      </c>
      <c r="M38" s="27">
        <v>8.2379999999999995</v>
      </c>
      <c r="N38" s="27">
        <v>8.5933333333333337</v>
      </c>
      <c r="O38" s="27">
        <v>8.5933333333333337</v>
      </c>
      <c r="P38" s="27">
        <v>8.5933333333333337</v>
      </c>
      <c r="Q38" s="27">
        <v>8.7383333333333333</v>
      </c>
      <c r="R38" s="27">
        <v>8.7383333333333333</v>
      </c>
      <c r="S38" s="27">
        <v>8.7383333333333333</v>
      </c>
      <c r="T38" s="27">
        <f t="shared" si="2"/>
        <v>88.575774999999993</v>
      </c>
    </row>
    <row r="39" spans="1:20" x14ac:dyDescent="0.35">
      <c r="A39" s="1" t="s">
        <v>142</v>
      </c>
      <c r="B39" s="1" t="s">
        <v>52</v>
      </c>
      <c r="C39" s="1" t="str">
        <f>VLOOKUP(B39,Mapping!A:B,2,0)</f>
        <v>Lateral</v>
      </c>
      <c r="D39" s="1" t="str">
        <f>VLOOKUP(B39,Mapping!A:C,3,0)</f>
        <v>West</v>
      </c>
      <c r="E39" s="1" t="str">
        <f>VLOOKUP(B39,Mapping!A:D,4,0)</f>
        <v>West 2</v>
      </c>
      <c r="F39" s="1" t="str">
        <f>VLOOKUP(B39,Mapping!A:E,5,0)</f>
        <v>Anjli</v>
      </c>
      <c r="G39" s="1" t="str">
        <f>VLOOKUP(B39,Mapping!A:F,6,0)</f>
        <v>Shweta</v>
      </c>
      <c r="H39" s="27">
        <v>4.83</v>
      </c>
      <c r="I39" s="27">
        <v>7.3425019999999996</v>
      </c>
      <c r="J39" s="27">
        <v>5.5</v>
      </c>
      <c r="K39" s="27">
        <v>5</v>
      </c>
      <c r="L39" s="27">
        <v>6</v>
      </c>
      <c r="M39" s="27">
        <v>7</v>
      </c>
      <c r="N39" s="27">
        <v>5</v>
      </c>
      <c r="O39" s="27">
        <v>6</v>
      </c>
      <c r="P39" s="27">
        <v>6</v>
      </c>
      <c r="Q39" s="27">
        <v>5</v>
      </c>
      <c r="R39" s="27">
        <v>5</v>
      </c>
      <c r="S39" s="27">
        <v>5</v>
      </c>
      <c r="T39" s="27">
        <f t="shared" si="2"/>
        <v>67.672502000000009</v>
      </c>
    </row>
    <row r="40" spans="1:20" x14ac:dyDescent="0.35">
      <c r="A40" s="1" t="s">
        <v>142</v>
      </c>
      <c r="B40" s="1" t="s">
        <v>53</v>
      </c>
      <c r="C40" s="1" t="str">
        <f>VLOOKUP(B40,Mapping!A:B,2,0)</f>
        <v>Lateral</v>
      </c>
      <c r="D40" s="1" t="str">
        <f>VLOOKUP(B40,Mapping!A:C,3,0)</f>
        <v>West</v>
      </c>
      <c r="E40" s="1" t="str">
        <f>VLOOKUP(B40,Mapping!A:D,4,0)</f>
        <v>West 1</v>
      </c>
      <c r="F40" s="1" t="str">
        <f>VLOOKUP(B40,Mapping!A:E,5,0)</f>
        <v>Anjli</v>
      </c>
      <c r="G40" s="1" t="str">
        <f>VLOOKUP(B40,Mapping!A:F,6,0)</f>
        <v>Ankit</v>
      </c>
      <c r="H40" s="27">
        <v>37.19</v>
      </c>
      <c r="I40" s="27">
        <v>27.19</v>
      </c>
      <c r="J40" s="27">
        <v>30</v>
      </c>
      <c r="K40" s="27">
        <v>36</v>
      </c>
      <c r="L40" s="27">
        <v>32</v>
      </c>
      <c r="M40" s="27">
        <v>31</v>
      </c>
      <c r="N40" s="27">
        <v>31</v>
      </c>
      <c r="O40" s="27">
        <v>38</v>
      </c>
      <c r="P40" s="27">
        <v>35</v>
      </c>
      <c r="Q40" s="27">
        <v>36</v>
      </c>
      <c r="R40" s="27">
        <v>37</v>
      </c>
      <c r="S40" s="27">
        <v>38</v>
      </c>
      <c r="T40" s="27">
        <f t="shared" si="2"/>
        <v>408.38</v>
      </c>
    </row>
    <row r="41" spans="1:20" x14ac:dyDescent="0.35">
      <c r="A41" s="1" t="s">
        <v>142</v>
      </c>
      <c r="B41" s="1" t="s">
        <v>55</v>
      </c>
      <c r="C41" s="1" t="str">
        <f>VLOOKUP(B41,Mapping!A:B,2,0)</f>
        <v>Lateral</v>
      </c>
      <c r="D41" s="1" t="str">
        <f>VLOOKUP(B41,Mapping!A:C,3,0)</f>
        <v>South</v>
      </c>
      <c r="E41" s="1" t="str">
        <f>VLOOKUP(B41,Mapping!A:D,4,0)</f>
        <v>South 2</v>
      </c>
      <c r="F41" s="1" t="str">
        <f>VLOOKUP(B41,Mapping!A:E,5,0)</f>
        <v>Sulabh</v>
      </c>
      <c r="G41" s="1" t="str">
        <f>VLOOKUP(B41,Mapping!A:F,6,0)</f>
        <v>Krishna</v>
      </c>
      <c r="H41" s="27">
        <v>12</v>
      </c>
      <c r="I41" s="27">
        <v>18</v>
      </c>
      <c r="J41" s="27">
        <v>24.4</v>
      </c>
      <c r="K41" s="27">
        <v>20</v>
      </c>
      <c r="L41" s="27">
        <v>20</v>
      </c>
      <c r="M41" s="27">
        <v>20</v>
      </c>
      <c r="N41" s="27">
        <v>17</v>
      </c>
      <c r="O41" s="27">
        <v>21</v>
      </c>
      <c r="P41" s="27">
        <v>22</v>
      </c>
      <c r="Q41" s="27">
        <v>18</v>
      </c>
      <c r="R41" s="27">
        <v>20</v>
      </c>
      <c r="S41" s="27">
        <v>24</v>
      </c>
      <c r="T41" s="27">
        <f t="shared" si="2"/>
        <v>236.4</v>
      </c>
    </row>
    <row r="42" spans="1:20" x14ac:dyDescent="0.35">
      <c r="A42" s="1" t="s">
        <v>142</v>
      </c>
      <c r="B42" s="1" t="s">
        <v>56</v>
      </c>
      <c r="C42" s="1" t="str">
        <f>VLOOKUP(B42,Mapping!A:B,2,0)</f>
        <v>Lateral</v>
      </c>
      <c r="D42" s="1" t="str">
        <f>VLOOKUP(B42,Mapping!A:C,3,0)</f>
        <v>North</v>
      </c>
      <c r="E42" s="1" t="str">
        <f>VLOOKUP(B42,Mapping!A:D,4,0)</f>
        <v>North</v>
      </c>
      <c r="F42" s="1" t="str">
        <f>VLOOKUP(B42,Mapping!A:E,5,0)</f>
        <v>Anjli</v>
      </c>
      <c r="G42" s="1" t="str">
        <f>VLOOKUP(B42,Mapping!A:F,6,0)</f>
        <v>Archana</v>
      </c>
      <c r="H42" s="27">
        <v>3.5616104000000002</v>
      </c>
      <c r="I42" s="27">
        <v>7.04</v>
      </c>
      <c r="J42" s="27">
        <v>9</v>
      </c>
      <c r="K42" s="27">
        <v>5</v>
      </c>
      <c r="L42" s="27">
        <v>5</v>
      </c>
      <c r="M42" s="27">
        <v>6</v>
      </c>
      <c r="N42" s="27">
        <v>5</v>
      </c>
      <c r="O42" s="27">
        <v>5</v>
      </c>
      <c r="P42" s="27">
        <v>5</v>
      </c>
      <c r="Q42" s="27">
        <v>5</v>
      </c>
      <c r="R42" s="27">
        <v>5</v>
      </c>
      <c r="S42" s="27">
        <v>5</v>
      </c>
      <c r="T42" s="27">
        <f t="shared" si="2"/>
        <v>65.601610399999998</v>
      </c>
    </row>
    <row r="43" spans="1:20" x14ac:dyDescent="0.35">
      <c r="A43" s="1" t="s">
        <v>142</v>
      </c>
      <c r="B43" s="1" t="s">
        <v>57</v>
      </c>
      <c r="C43" s="1" t="str">
        <f>VLOOKUP(B43,Mapping!A:B,2,0)</f>
        <v>Lateral</v>
      </c>
      <c r="D43" s="1" t="str">
        <f>VLOOKUP(B43,Mapping!A:C,3,0)</f>
        <v>South</v>
      </c>
      <c r="E43" s="1" t="str">
        <f>VLOOKUP(B43,Mapping!A:D,4,0)</f>
        <v>South 2</v>
      </c>
      <c r="F43" s="1" t="str">
        <f>VLOOKUP(B43,Mapping!A:E,5,0)</f>
        <v>Sulabh</v>
      </c>
      <c r="G43" s="1" t="str">
        <f>VLOOKUP(B43,Mapping!A:F,6,0)</f>
        <v>Krishna</v>
      </c>
      <c r="H43" s="27">
        <v>0</v>
      </c>
      <c r="I43" s="27">
        <v>0</v>
      </c>
      <c r="J43" s="27">
        <v>0</v>
      </c>
      <c r="K43" s="27">
        <v>0</v>
      </c>
      <c r="L43" s="27">
        <v>0</v>
      </c>
      <c r="M43" s="27">
        <v>0</v>
      </c>
      <c r="N43" s="27">
        <v>0</v>
      </c>
      <c r="O43" s="27">
        <v>0</v>
      </c>
      <c r="P43" s="27">
        <v>0</v>
      </c>
      <c r="Q43" s="27">
        <v>0</v>
      </c>
      <c r="R43" s="27">
        <v>0</v>
      </c>
      <c r="S43" s="27">
        <v>0</v>
      </c>
      <c r="T43" s="27">
        <f t="shared" si="2"/>
        <v>0</v>
      </c>
    </row>
    <row r="44" spans="1:20" x14ac:dyDescent="0.35">
      <c r="A44" s="1" t="s">
        <v>142</v>
      </c>
      <c r="B44" s="1" t="s">
        <v>58</v>
      </c>
      <c r="C44" s="1" t="str">
        <f>VLOOKUP(B44,Mapping!A:B,2,0)</f>
        <v>Lateral</v>
      </c>
      <c r="D44" s="1" t="str">
        <f>VLOOKUP(B44,Mapping!A:C,3,0)</f>
        <v>West</v>
      </c>
      <c r="E44" s="1" t="str">
        <f>VLOOKUP(B44,Mapping!A:D,4,0)</f>
        <v>West 1</v>
      </c>
      <c r="F44" s="1" t="str">
        <f>VLOOKUP(B44,Mapping!A:E,5,0)</f>
        <v>Anjli</v>
      </c>
      <c r="G44" s="1" t="str">
        <f>VLOOKUP(B44,Mapping!A:F,6,0)</f>
        <v>Elton</v>
      </c>
      <c r="H44" s="27">
        <v>1.75</v>
      </c>
      <c r="I44" s="27">
        <v>1.75</v>
      </c>
      <c r="J44" s="27">
        <v>1.75</v>
      </c>
      <c r="K44" s="27">
        <f>5.1/3</f>
        <v>1.7</v>
      </c>
      <c r="L44" s="27">
        <f t="shared" ref="L44:M44" si="3">5.1/3</f>
        <v>1.7</v>
      </c>
      <c r="M44" s="27">
        <f t="shared" si="3"/>
        <v>1.7</v>
      </c>
      <c r="N44" s="27">
        <v>0</v>
      </c>
      <c r="O44" s="27">
        <v>0</v>
      </c>
      <c r="P44" s="27">
        <v>0</v>
      </c>
      <c r="Q44" s="27">
        <v>0</v>
      </c>
      <c r="R44" s="27">
        <v>0</v>
      </c>
      <c r="S44" s="27">
        <v>0</v>
      </c>
      <c r="T44" s="27">
        <f t="shared" si="2"/>
        <v>10.35</v>
      </c>
    </row>
    <row r="45" spans="1:20" x14ac:dyDescent="0.35">
      <c r="A45" s="1" t="s">
        <v>142</v>
      </c>
      <c r="B45" s="1" t="s">
        <v>60</v>
      </c>
      <c r="C45" s="1" t="str">
        <f>VLOOKUP(B45,Mapping!A:B,2,0)</f>
        <v>Lateral</v>
      </c>
      <c r="D45" s="1" t="str">
        <f>VLOOKUP(B45,Mapping!A:C,3,0)</f>
        <v>West</v>
      </c>
      <c r="E45" s="1" t="str">
        <f>VLOOKUP(B45,Mapping!A:D,4,0)</f>
        <v>West 2</v>
      </c>
      <c r="F45" s="1" t="str">
        <f>VLOOKUP(B45,Mapping!A:E,5,0)</f>
        <v>Anjli</v>
      </c>
      <c r="G45" s="1" t="str">
        <f>VLOOKUP(B45,Mapping!A:F,6,0)</f>
        <v>Shweta</v>
      </c>
      <c r="H45" s="27">
        <v>0</v>
      </c>
      <c r="I45" s="27">
        <v>0</v>
      </c>
      <c r="J45" s="27">
        <v>0</v>
      </c>
      <c r="K45" s="27">
        <v>0</v>
      </c>
      <c r="L45" s="27">
        <v>0</v>
      </c>
      <c r="M45" s="27">
        <v>0</v>
      </c>
      <c r="N45" s="27">
        <v>0</v>
      </c>
      <c r="O45" s="27">
        <v>0</v>
      </c>
      <c r="P45" s="27">
        <v>0</v>
      </c>
      <c r="Q45" s="27">
        <v>0</v>
      </c>
      <c r="R45" s="27">
        <v>0</v>
      </c>
      <c r="S45" s="27">
        <v>0</v>
      </c>
      <c r="T45" s="27">
        <f t="shared" si="2"/>
        <v>0</v>
      </c>
    </row>
    <row r="46" spans="1:20" x14ac:dyDescent="0.35">
      <c r="A46" s="1" t="s">
        <v>142</v>
      </c>
      <c r="B46" s="1" t="s">
        <v>61</v>
      </c>
      <c r="C46" s="1" t="str">
        <f>VLOOKUP(B46,Mapping!A:B,2,0)</f>
        <v>Lateral</v>
      </c>
      <c r="D46" s="1" t="str">
        <f>VLOOKUP(B46,Mapping!A:C,3,0)</f>
        <v>West</v>
      </c>
      <c r="E46" s="1" t="str">
        <f>VLOOKUP(B46,Mapping!A:D,4,0)</f>
        <v>West 1</v>
      </c>
      <c r="F46" s="1" t="str">
        <f>VLOOKUP(B46,Mapping!A:E,5,0)</f>
        <v>Anjli</v>
      </c>
      <c r="G46" s="1" t="str">
        <f>VLOOKUP(B46,Mapping!A:F,6,0)</f>
        <v>Elton</v>
      </c>
      <c r="H46" s="27">
        <v>0</v>
      </c>
      <c r="I46" s="27">
        <v>0</v>
      </c>
      <c r="J46" s="27">
        <v>0</v>
      </c>
      <c r="K46" s="27">
        <v>0</v>
      </c>
      <c r="L46" s="27">
        <v>0</v>
      </c>
      <c r="M46" s="27">
        <v>0</v>
      </c>
      <c r="N46" s="27">
        <v>0</v>
      </c>
      <c r="O46" s="27">
        <v>0</v>
      </c>
      <c r="P46" s="27">
        <v>0</v>
      </c>
      <c r="Q46" s="27">
        <v>0</v>
      </c>
      <c r="R46" s="27">
        <v>0</v>
      </c>
      <c r="S46" s="27">
        <v>0</v>
      </c>
      <c r="T46" s="27">
        <f t="shared" si="2"/>
        <v>0</v>
      </c>
    </row>
    <row r="47" spans="1:20" x14ac:dyDescent="0.35">
      <c r="A47" s="1" t="s">
        <v>142</v>
      </c>
      <c r="B47" s="1" t="s">
        <v>62</v>
      </c>
      <c r="C47" s="1" t="str">
        <f>VLOOKUP(B47,Mapping!A:B,2,0)</f>
        <v>Lateral</v>
      </c>
      <c r="D47" s="1" t="str">
        <f>VLOOKUP(B47,Mapping!A:C,3,0)</f>
        <v>South</v>
      </c>
      <c r="E47" s="1" t="str">
        <f>VLOOKUP(B47,Mapping!A:D,4,0)</f>
        <v>South 2</v>
      </c>
      <c r="F47" s="1" t="str">
        <f>VLOOKUP(B47,Mapping!A:E,5,0)</f>
        <v>Sulabh</v>
      </c>
      <c r="G47" s="1" t="str">
        <f>VLOOKUP(B47,Mapping!A:F,6,0)</f>
        <v>Subu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  <c r="O47" s="27">
        <v>0</v>
      </c>
      <c r="P47" s="27">
        <v>0</v>
      </c>
      <c r="Q47" s="27">
        <v>0</v>
      </c>
      <c r="R47" s="27">
        <v>0</v>
      </c>
      <c r="S47" s="27">
        <v>0</v>
      </c>
      <c r="T47" s="27">
        <f t="shared" si="2"/>
        <v>0</v>
      </c>
    </row>
    <row r="48" spans="1:20" x14ac:dyDescent="0.35">
      <c r="A48" s="1" t="s">
        <v>142</v>
      </c>
      <c r="B48" s="1" t="s">
        <v>63</v>
      </c>
      <c r="C48" s="1" t="str">
        <f>VLOOKUP(B48,Mapping!A:B,2,0)</f>
        <v>Lateral</v>
      </c>
      <c r="D48" s="1" t="str">
        <f>VLOOKUP(B48,Mapping!A:C,3,0)</f>
        <v>West</v>
      </c>
      <c r="E48" s="1" t="str">
        <f>VLOOKUP(B48,Mapping!A:D,4,0)</f>
        <v>West 1</v>
      </c>
      <c r="F48" s="1" t="str">
        <f>VLOOKUP(B48,Mapping!A:E,5,0)</f>
        <v>Anjli</v>
      </c>
      <c r="G48" s="1" t="str">
        <f>VLOOKUP(B48,Mapping!A:F,6,0)</f>
        <v>Elton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7">
        <v>0</v>
      </c>
      <c r="N48" s="27">
        <v>0</v>
      </c>
      <c r="O48" s="27">
        <v>0</v>
      </c>
      <c r="P48" s="27">
        <v>0</v>
      </c>
      <c r="Q48" s="27">
        <v>0</v>
      </c>
      <c r="R48" s="27">
        <v>0</v>
      </c>
      <c r="S48" s="27">
        <v>0</v>
      </c>
      <c r="T48" s="27">
        <f t="shared" si="2"/>
        <v>0</v>
      </c>
    </row>
    <row r="49" spans="1:20" x14ac:dyDescent="0.35">
      <c r="A49" s="1" t="s">
        <v>142</v>
      </c>
      <c r="B49" s="1" t="s">
        <v>64</v>
      </c>
      <c r="C49" s="1" t="str">
        <f>VLOOKUP(B49,Mapping!A:B,2,0)</f>
        <v>Lateral</v>
      </c>
      <c r="D49" s="1" t="str">
        <f>VLOOKUP(B49,Mapping!A:C,3,0)</f>
        <v>South</v>
      </c>
      <c r="E49" s="1" t="str">
        <f>VLOOKUP(B49,Mapping!A:D,4,0)</f>
        <v>South 2</v>
      </c>
      <c r="F49" s="1" t="str">
        <f>VLOOKUP(B49,Mapping!A:E,5,0)</f>
        <v>Sulabh</v>
      </c>
      <c r="G49" s="1" t="str">
        <f>VLOOKUP(B49,Mapping!A:F,6,0)</f>
        <v>Sulabh</v>
      </c>
      <c r="H49" s="27">
        <v>0</v>
      </c>
      <c r="I49" s="27">
        <v>0</v>
      </c>
      <c r="J49" s="27">
        <v>0</v>
      </c>
      <c r="K49" s="27">
        <v>0</v>
      </c>
      <c r="L49" s="27">
        <v>0</v>
      </c>
      <c r="M49" s="27">
        <v>0</v>
      </c>
      <c r="N49" s="27">
        <v>0</v>
      </c>
      <c r="O49" s="27">
        <v>0</v>
      </c>
      <c r="P49" s="27">
        <v>0</v>
      </c>
      <c r="Q49" s="27">
        <v>0</v>
      </c>
      <c r="R49" s="27">
        <v>0</v>
      </c>
      <c r="S49" s="27">
        <v>0</v>
      </c>
      <c r="T49" s="27">
        <f t="shared" si="2"/>
        <v>0</v>
      </c>
    </row>
    <row r="50" spans="1:20" x14ac:dyDescent="0.35">
      <c r="A50" s="1" t="s">
        <v>142</v>
      </c>
      <c r="B50" s="1" t="s">
        <v>65</v>
      </c>
      <c r="C50" s="1" t="str">
        <f>VLOOKUP(B50,Mapping!A:B,2,0)</f>
        <v>Lateral</v>
      </c>
      <c r="D50" s="1" t="str">
        <f>VLOOKUP(B50,Mapping!A:C,3,0)</f>
        <v>South</v>
      </c>
      <c r="E50" s="1" t="str">
        <f>VLOOKUP(B50,Mapping!A:D,4,0)</f>
        <v>South 2</v>
      </c>
      <c r="F50" s="1" t="str">
        <f>VLOOKUP(B50,Mapping!A:E,5,0)</f>
        <v>Sulabh</v>
      </c>
      <c r="G50" s="1" t="str">
        <f>VLOOKUP(B50,Mapping!A:F,6,0)</f>
        <v>Sulabh</v>
      </c>
      <c r="H50" s="27">
        <v>0</v>
      </c>
      <c r="I50" s="27">
        <v>0</v>
      </c>
      <c r="J50" s="27">
        <v>0</v>
      </c>
      <c r="K50" s="27">
        <v>0</v>
      </c>
      <c r="L50" s="27">
        <v>0</v>
      </c>
      <c r="M50" s="27">
        <v>0</v>
      </c>
      <c r="N50" s="27">
        <v>0</v>
      </c>
      <c r="O50" s="27">
        <v>0</v>
      </c>
      <c r="P50" s="27">
        <v>0</v>
      </c>
      <c r="Q50" s="27">
        <v>0</v>
      </c>
      <c r="R50" s="27">
        <v>0</v>
      </c>
      <c r="S50" s="27">
        <v>0</v>
      </c>
      <c r="T50" s="27">
        <f t="shared" si="2"/>
        <v>0</v>
      </c>
    </row>
    <row r="51" spans="1:20" x14ac:dyDescent="0.35">
      <c r="A51" s="1" t="s">
        <v>142</v>
      </c>
      <c r="B51" s="1" t="s">
        <v>66</v>
      </c>
      <c r="C51" s="1" t="str">
        <f>VLOOKUP(B51,Mapping!A:B,2,0)</f>
        <v>Lateral</v>
      </c>
      <c r="D51" s="1" t="str">
        <f>VLOOKUP(B51,Mapping!A:C,3,0)</f>
        <v>South</v>
      </c>
      <c r="E51" s="1" t="str">
        <f>VLOOKUP(B51,Mapping!A:D,4,0)</f>
        <v>South 2</v>
      </c>
      <c r="F51" s="1" t="str">
        <f>VLOOKUP(B51,Mapping!A:E,5,0)</f>
        <v>Sulabh</v>
      </c>
      <c r="G51" s="1" t="str">
        <f>VLOOKUP(B51,Mapping!A:F,6,0)</f>
        <v>Abhilash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f t="shared" si="2"/>
        <v>0</v>
      </c>
    </row>
    <row r="52" spans="1:20" x14ac:dyDescent="0.35">
      <c r="A52" s="1" t="s">
        <v>142</v>
      </c>
      <c r="B52" s="1" t="s">
        <v>68</v>
      </c>
      <c r="C52" s="1" t="str">
        <f>VLOOKUP(B52,Mapping!A:B,2,0)</f>
        <v>Lateral</v>
      </c>
      <c r="D52" s="1" t="str">
        <f>VLOOKUP(B52,Mapping!A:C,3,0)</f>
        <v>West</v>
      </c>
      <c r="E52" s="1" t="str">
        <f>VLOOKUP(B52,Mapping!A:D,4,0)</f>
        <v>West 1</v>
      </c>
      <c r="F52" s="1" t="str">
        <f>VLOOKUP(B52,Mapping!A:E,5,0)</f>
        <v>Anjli</v>
      </c>
      <c r="G52" s="1" t="str">
        <f>VLOOKUP(B52,Mapping!A:F,6,0)</f>
        <v>Elton</v>
      </c>
      <c r="H52" s="27">
        <v>0</v>
      </c>
      <c r="I52" s="27">
        <v>0</v>
      </c>
      <c r="J52" s="27">
        <v>0</v>
      </c>
      <c r="K52" s="27">
        <v>0</v>
      </c>
      <c r="L52" s="27">
        <v>0</v>
      </c>
      <c r="M52" s="27">
        <v>0</v>
      </c>
      <c r="N52" s="27">
        <v>0</v>
      </c>
      <c r="O52" s="27">
        <v>0</v>
      </c>
      <c r="P52" s="27">
        <v>0</v>
      </c>
      <c r="Q52" s="27">
        <v>0</v>
      </c>
      <c r="R52" s="27">
        <v>0</v>
      </c>
      <c r="S52" s="27">
        <v>0</v>
      </c>
      <c r="T52" s="27">
        <f t="shared" si="2"/>
        <v>0</v>
      </c>
    </row>
    <row r="53" spans="1:20" x14ac:dyDescent="0.35">
      <c r="A53" s="1" t="s">
        <v>142</v>
      </c>
      <c r="B53" s="1" t="s">
        <v>69</v>
      </c>
      <c r="C53" s="1" t="str">
        <f>VLOOKUP(B53,Mapping!A:B,2,0)</f>
        <v>Leadership</v>
      </c>
      <c r="D53" s="1" t="str">
        <f>VLOOKUP(B53,Mapping!A:C,3,0)</f>
        <v>South</v>
      </c>
      <c r="E53" s="1" t="str">
        <f>VLOOKUP(B53,Mapping!A:D,4,0)</f>
        <v>South 1</v>
      </c>
      <c r="F53" s="1" t="str">
        <f>VLOOKUP(B53,Mapping!A:E,5,0)</f>
        <v>Bapi</v>
      </c>
      <c r="G53" s="1" t="str">
        <f>VLOOKUP(B53,Mapping!A:F,6,0)</f>
        <v>Parul</v>
      </c>
      <c r="H53" s="27">
        <v>2.2562000000000002</v>
      </c>
      <c r="I53" s="27">
        <v>6.6</v>
      </c>
      <c r="J53" s="27">
        <v>1.02</v>
      </c>
      <c r="K53" s="27">
        <v>1</v>
      </c>
      <c r="L53" s="27">
        <v>2</v>
      </c>
      <c r="M53" s="27">
        <v>2</v>
      </c>
      <c r="N53" s="27">
        <v>1</v>
      </c>
      <c r="O53" s="27">
        <v>2</v>
      </c>
      <c r="P53" s="27">
        <v>2</v>
      </c>
      <c r="Q53" s="27">
        <v>1</v>
      </c>
      <c r="R53" s="27">
        <v>2</v>
      </c>
      <c r="S53" s="27">
        <v>2</v>
      </c>
      <c r="T53" s="27">
        <f t="shared" si="2"/>
        <v>24.876199999999997</v>
      </c>
    </row>
    <row r="54" spans="1:20" x14ac:dyDescent="0.35">
      <c r="A54" s="1" t="s">
        <v>142</v>
      </c>
      <c r="B54" s="1" t="s">
        <v>71</v>
      </c>
      <c r="C54" s="1" t="str">
        <f>VLOOKUP(B54,Mapping!A:B,2,0)</f>
        <v>Leadership</v>
      </c>
      <c r="D54" s="1" t="str">
        <f>VLOOKUP(B54,Mapping!A:C,3,0)</f>
        <v>South</v>
      </c>
      <c r="E54" s="1" t="str">
        <f>VLOOKUP(B54,Mapping!A:D,4,0)</f>
        <v>South 2</v>
      </c>
      <c r="F54" s="1" t="str">
        <f>VLOOKUP(B54,Mapping!A:E,5,0)</f>
        <v>Sulabh</v>
      </c>
      <c r="G54" s="1" t="str">
        <f>VLOOKUP(B54,Mapping!A:F,6,0)</f>
        <v>Parul</v>
      </c>
      <c r="H54" s="27">
        <v>0</v>
      </c>
      <c r="I54" s="27">
        <v>0</v>
      </c>
      <c r="J54" s="27">
        <v>0</v>
      </c>
      <c r="K54" s="27">
        <v>0</v>
      </c>
      <c r="L54" s="27">
        <v>0</v>
      </c>
      <c r="M54" s="27">
        <v>0</v>
      </c>
      <c r="N54" s="27">
        <v>0</v>
      </c>
      <c r="O54" s="27">
        <v>0</v>
      </c>
      <c r="P54" s="27">
        <v>0</v>
      </c>
      <c r="Q54" s="27">
        <v>0</v>
      </c>
      <c r="R54" s="27">
        <v>0</v>
      </c>
      <c r="S54" s="27">
        <v>0</v>
      </c>
      <c r="T54" s="27">
        <f t="shared" si="2"/>
        <v>0</v>
      </c>
    </row>
    <row r="55" spans="1:20" x14ac:dyDescent="0.35">
      <c r="A55" s="1" t="s">
        <v>142</v>
      </c>
      <c r="B55" s="1" t="s">
        <v>72</v>
      </c>
      <c r="C55" s="1" t="str">
        <f>VLOOKUP(B55,Mapping!A:B,2,0)</f>
        <v>Leadership</v>
      </c>
      <c r="D55" s="1" t="str">
        <f>VLOOKUP(B55,Mapping!A:C,3,0)</f>
        <v>West</v>
      </c>
      <c r="E55" s="1" t="str">
        <f>VLOOKUP(B55,Mapping!A:D,4,0)</f>
        <v>West 2</v>
      </c>
      <c r="F55" s="1" t="str">
        <f>VLOOKUP(B55,Mapping!A:E,5,0)</f>
        <v>Anjli</v>
      </c>
      <c r="G55" s="1" t="str">
        <f>VLOOKUP(B55,Mapping!A:F,6,0)</f>
        <v>Parul</v>
      </c>
      <c r="H55" s="27">
        <v>1</v>
      </c>
      <c r="I55" s="27">
        <v>0</v>
      </c>
      <c r="J55" s="27">
        <v>5</v>
      </c>
      <c r="K55" s="27">
        <v>1</v>
      </c>
      <c r="L55" s="27">
        <v>2</v>
      </c>
      <c r="M55" s="27">
        <v>3</v>
      </c>
      <c r="N55" s="27">
        <v>1</v>
      </c>
      <c r="O55" s="27">
        <v>5</v>
      </c>
      <c r="P55" s="27">
        <v>3</v>
      </c>
      <c r="Q55" s="27">
        <v>1</v>
      </c>
      <c r="R55" s="27">
        <v>3</v>
      </c>
      <c r="S55" s="27">
        <v>3</v>
      </c>
      <c r="T55" s="27">
        <f t="shared" si="2"/>
        <v>28</v>
      </c>
    </row>
    <row r="56" spans="1:20" x14ac:dyDescent="0.35">
      <c r="A56" s="1" t="s">
        <v>142</v>
      </c>
      <c r="B56" s="1" t="s">
        <v>73</v>
      </c>
      <c r="C56" s="1" t="str">
        <f>VLOOKUP(B56,Mapping!A:B,2,0)</f>
        <v>Leadership</v>
      </c>
      <c r="D56" s="1" t="str">
        <f>VLOOKUP(B56,Mapping!A:C,3,0)</f>
        <v>West</v>
      </c>
      <c r="E56" s="1" t="str">
        <f>VLOOKUP(B56,Mapping!A:D,4,0)</f>
        <v>West 1</v>
      </c>
      <c r="F56" s="1" t="str">
        <f>VLOOKUP(B56,Mapping!A:E,5,0)</f>
        <v>Anjli</v>
      </c>
      <c r="G56" s="1" t="str">
        <f>VLOOKUP(B56,Mapping!A:F,6,0)</f>
        <v>Parul</v>
      </c>
      <c r="H56" s="27">
        <v>6.1910834999999995</v>
      </c>
      <c r="I56" s="27">
        <v>24.3</v>
      </c>
      <c r="J56" s="27">
        <v>45</v>
      </c>
      <c r="K56" s="27">
        <v>20</v>
      </c>
      <c r="L56" s="27">
        <v>20</v>
      </c>
      <c r="M56" s="27">
        <v>30</v>
      </c>
      <c r="N56" s="27">
        <v>20</v>
      </c>
      <c r="O56" s="27">
        <v>10</v>
      </c>
      <c r="P56" s="27">
        <v>10</v>
      </c>
      <c r="Q56" s="27">
        <v>20</v>
      </c>
      <c r="R56" s="27">
        <v>20</v>
      </c>
      <c r="S56" s="27">
        <v>30</v>
      </c>
      <c r="T56" s="27">
        <f t="shared" si="2"/>
        <v>255.4910835</v>
      </c>
    </row>
    <row r="57" spans="1:20" x14ac:dyDescent="0.35">
      <c r="A57" s="1" t="s">
        <v>142</v>
      </c>
      <c r="B57" s="1" t="s">
        <v>74</v>
      </c>
      <c r="C57" s="1" t="str">
        <f>VLOOKUP(B57,Mapping!A:B,2,0)</f>
        <v>Leadership</v>
      </c>
      <c r="D57" s="1" t="str">
        <f>VLOOKUP(B57,Mapping!A:C,3,0)</f>
        <v>West</v>
      </c>
      <c r="E57" s="1" t="str">
        <f>VLOOKUP(B57,Mapping!A:D,4,0)</f>
        <v>West 1</v>
      </c>
      <c r="F57" s="1" t="str">
        <f>VLOOKUP(B57,Mapping!A:E,5,0)</f>
        <v>Anjli</v>
      </c>
      <c r="G57" s="1" t="str">
        <f>VLOOKUP(B57,Mapping!A:F,6,0)</f>
        <v>Parul</v>
      </c>
      <c r="H57" s="27">
        <v>0.1</v>
      </c>
      <c r="I57" s="27">
        <v>2.3849999999999998</v>
      </c>
      <c r="J57" s="27">
        <v>2.16</v>
      </c>
      <c r="K57" s="27">
        <v>5</v>
      </c>
      <c r="L57" s="27">
        <v>8</v>
      </c>
      <c r="M57" s="27">
        <v>10</v>
      </c>
      <c r="N57" s="27">
        <v>8</v>
      </c>
      <c r="O57" s="27">
        <v>8</v>
      </c>
      <c r="P57" s="27">
        <v>10</v>
      </c>
      <c r="Q57" s="27">
        <v>10</v>
      </c>
      <c r="R57" s="27">
        <v>8</v>
      </c>
      <c r="S57" s="27">
        <v>8</v>
      </c>
      <c r="T57" s="27">
        <f t="shared" si="2"/>
        <v>79.644999999999996</v>
      </c>
    </row>
    <row r="58" spans="1:20" x14ac:dyDescent="0.35">
      <c r="A58" s="1" t="s">
        <v>142</v>
      </c>
      <c r="B58" s="1" t="s">
        <v>75</v>
      </c>
      <c r="C58" s="1" t="str">
        <f>VLOOKUP(B58,Mapping!A:B,2,0)</f>
        <v>Leadership</v>
      </c>
      <c r="D58" s="1" t="str">
        <f>VLOOKUP(B58,Mapping!A:C,3,0)</f>
        <v>South</v>
      </c>
      <c r="E58" s="1" t="str">
        <f>VLOOKUP(B58,Mapping!A:D,4,0)</f>
        <v>South 2</v>
      </c>
      <c r="F58" s="1" t="str">
        <f>VLOOKUP(B58,Mapping!A:E,5,0)</f>
        <v>Sulabh</v>
      </c>
      <c r="G58" s="1" t="str">
        <f>VLOOKUP(B58,Mapping!A:F,6,0)</f>
        <v>Parul</v>
      </c>
      <c r="H58" s="27">
        <v>0</v>
      </c>
      <c r="I58" s="27">
        <v>0</v>
      </c>
      <c r="J58" s="27">
        <v>1</v>
      </c>
      <c r="K58" s="27">
        <v>1</v>
      </c>
      <c r="L58" s="27">
        <v>1</v>
      </c>
      <c r="M58" s="27">
        <v>1</v>
      </c>
      <c r="N58" s="27">
        <v>0</v>
      </c>
      <c r="O58" s="27">
        <v>0</v>
      </c>
      <c r="P58" s="27">
        <v>0</v>
      </c>
      <c r="Q58" s="27">
        <v>0</v>
      </c>
      <c r="R58" s="27">
        <v>0</v>
      </c>
      <c r="S58" s="27">
        <v>0</v>
      </c>
      <c r="T58" s="27">
        <f t="shared" si="2"/>
        <v>4</v>
      </c>
    </row>
    <row r="59" spans="1:20" x14ac:dyDescent="0.35">
      <c r="A59" s="1" t="s">
        <v>142</v>
      </c>
      <c r="B59" s="1" t="s">
        <v>76</v>
      </c>
      <c r="C59" s="1" t="str">
        <f>VLOOKUP(B59,Mapping!A:B,2,0)</f>
        <v>Leadership</v>
      </c>
      <c r="D59" s="1" t="str">
        <f>VLOOKUP(B59,Mapping!A:C,3,0)</f>
        <v>South</v>
      </c>
      <c r="E59" s="1" t="str">
        <f>VLOOKUP(B59,Mapping!A:D,4,0)</f>
        <v>South 2</v>
      </c>
      <c r="F59" s="1" t="str">
        <f>VLOOKUP(B59,Mapping!A:E,5,0)</f>
        <v>Sulabh</v>
      </c>
      <c r="G59" s="1" t="str">
        <f>VLOOKUP(B59,Mapping!A:F,6,0)</f>
        <v>Parul</v>
      </c>
      <c r="H59" s="27">
        <v>0</v>
      </c>
      <c r="I59" s="27">
        <v>0</v>
      </c>
      <c r="J59" s="27">
        <v>0</v>
      </c>
      <c r="K59" s="27">
        <v>1</v>
      </c>
      <c r="L59" s="27">
        <v>1</v>
      </c>
      <c r="M59" s="27">
        <v>1</v>
      </c>
      <c r="N59" s="27">
        <v>0</v>
      </c>
      <c r="O59" s="27">
        <v>0</v>
      </c>
      <c r="P59" s="27">
        <v>2</v>
      </c>
      <c r="Q59" s="27">
        <v>0</v>
      </c>
      <c r="R59" s="27">
        <v>0</v>
      </c>
      <c r="S59" s="27">
        <v>1</v>
      </c>
      <c r="T59" s="27">
        <f t="shared" si="2"/>
        <v>6</v>
      </c>
    </row>
    <row r="60" spans="1:20" x14ac:dyDescent="0.35">
      <c r="A60" s="1" t="s">
        <v>142</v>
      </c>
      <c r="B60" s="1" t="s">
        <v>77</v>
      </c>
      <c r="C60" s="1" t="str">
        <f>VLOOKUP(B60,Mapping!A:B,2,0)</f>
        <v>Leadership</v>
      </c>
      <c r="D60" s="1" t="str">
        <f>VLOOKUP(B60,Mapping!A:C,3,0)</f>
        <v>North</v>
      </c>
      <c r="E60" s="1" t="str">
        <f>VLOOKUP(B60,Mapping!A:D,4,0)</f>
        <v>North</v>
      </c>
      <c r="F60" s="1" t="str">
        <f>VLOOKUP(B60,Mapping!A:E,5,0)</f>
        <v>Anjli</v>
      </c>
      <c r="G60" s="1" t="str">
        <f>VLOOKUP(B60,Mapping!A:F,6,0)</f>
        <v>Parul</v>
      </c>
      <c r="H60" s="27">
        <v>0</v>
      </c>
      <c r="I60" s="27">
        <v>0</v>
      </c>
      <c r="J60" s="27">
        <v>0</v>
      </c>
      <c r="K60" s="27">
        <v>0</v>
      </c>
      <c r="L60" s="27">
        <v>0</v>
      </c>
      <c r="M60" s="27">
        <v>0</v>
      </c>
      <c r="N60" s="27">
        <v>0</v>
      </c>
      <c r="O60" s="27">
        <v>0</v>
      </c>
      <c r="P60" s="27">
        <v>0</v>
      </c>
      <c r="Q60" s="27">
        <v>0</v>
      </c>
      <c r="R60" s="27">
        <v>0</v>
      </c>
      <c r="S60" s="27">
        <v>0</v>
      </c>
      <c r="T60" s="27">
        <f t="shared" si="2"/>
        <v>0</v>
      </c>
    </row>
    <row r="61" spans="1:20" x14ac:dyDescent="0.35">
      <c r="A61" s="1" t="s">
        <v>142</v>
      </c>
      <c r="B61" s="1" t="s">
        <v>78</v>
      </c>
      <c r="C61" s="1" t="str">
        <f>VLOOKUP(B61,Mapping!A:B,2,0)</f>
        <v>Leadership</v>
      </c>
      <c r="D61" s="1" t="str">
        <f>VLOOKUP(B61,Mapping!A:C,3,0)</f>
        <v>West</v>
      </c>
      <c r="E61" s="1" t="str">
        <f>VLOOKUP(B61,Mapping!A:D,4,0)</f>
        <v>West 1</v>
      </c>
      <c r="F61" s="1" t="str">
        <f>VLOOKUP(B61,Mapping!A:E,5,0)</f>
        <v>Anjli</v>
      </c>
      <c r="G61" s="1" t="str">
        <f>VLOOKUP(B61,Mapping!A:F,6,0)</f>
        <v>Parul</v>
      </c>
      <c r="H61" s="27">
        <v>0</v>
      </c>
      <c r="I61" s="27">
        <v>0</v>
      </c>
      <c r="J61" s="27">
        <v>0</v>
      </c>
      <c r="K61" s="27">
        <v>0</v>
      </c>
      <c r="L61" s="27">
        <v>0</v>
      </c>
      <c r="M61" s="27">
        <v>0</v>
      </c>
      <c r="N61" s="27">
        <v>0</v>
      </c>
      <c r="O61" s="27">
        <v>0</v>
      </c>
      <c r="P61" s="27">
        <v>0</v>
      </c>
      <c r="Q61" s="27">
        <v>0</v>
      </c>
      <c r="R61" s="27">
        <v>0</v>
      </c>
      <c r="S61" s="27">
        <v>0</v>
      </c>
      <c r="T61" s="27">
        <f t="shared" si="2"/>
        <v>0</v>
      </c>
    </row>
    <row r="62" spans="1:20" x14ac:dyDescent="0.35">
      <c r="A62" s="1" t="s">
        <v>142</v>
      </c>
      <c r="B62" s="1" t="s">
        <v>79</v>
      </c>
      <c r="C62" s="1" t="str">
        <f>VLOOKUP(B62,Mapping!A:B,2,0)</f>
        <v>Leadership</v>
      </c>
      <c r="D62" s="1" t="str">
        <f>VLOOKUP(B62,Mapping!A:C,3,0)</f>
        <v>West</v>
      </c>
      <c r="E62" s="1" t="str">
        <f>VLOOKUP(B62,Mapping!A:D,4,0)</f>
        <v>West 2</v>
      </c>
      <c r="F62" s="1" t="str">
        <f>VLOOKUP(B62,Mapping!A:E,5,0)</f>
        <v>Anjli</v>
      </c>
      <c r="G62" s="1" t="str">
        <f>VLOOKUP(B62,Mapping!A:F,6,0)</f>
        <v>Parul</v>
      </c>
      <c r="H62" s="27">
        <v>0</v>
      </c>
      <c r="I62" s="27">
        <v>0</v>
      </c>
      <c r="J62" s="27">
        <v>1.8</v>
      </c>
      <c r="K62" s="27">
        <v>0</v>
      </c>
      <c r="L62" s="27">
        <v>0</v>
      </c>
      <c r="M62" s="27">
        <v>3</v>
      </c>
      <c r="N62" s="27">
        <v>0</v>
      </c>
      <c r="O62" s="27">
        <v>0</v>
      </c>
      <c r="P62" s="27">
        <v>2</v>
      </c>
      <c r="Q62" s="27">
        <v>0</v>
      </c>
      <c r="R62" s="27">
        <v>0</v>
      </c>
      <c r="S62" s="27">
        <v>2</v>
      </c>
      <c r="T62" s="27">
        <f t="shared" si="2"/>
        <v>8.8000000000000007</v>
      </c>
    </row>
    <row r="63" spans="1:20" x14ac:dyDescent="0.35">
      <c r="A63" s="1" t="s">
        <v>142</v>
      </c>
      <c r="B63" s="1" t="s">
        <v>80</v>
      </c>
      <c r="C63" s="1" t="str">
        <f>VLOOKUP(B63,Mapping!A:B,2,0)</f>
        <v>Leadership</v>
      </c>
      <c r="D63" s="1" t="str">
        <f>VLOOKUP(B63,Mapping!A:C,3,0)</f>
        <v>North</v>
      </c>
      <c r="E63" s="1" t="str">
        <f>VLOOKUP(B63,Mapping!A:D,4,0)</f>
        <v>North</v>
      </c>
      <c r="F63" s="1" t="str">
        <f>VLOOKUP(B63,Mapping!A:E,5,0)</f>
        <v>Anjli</v>
      </c>
      <c r="G63" s="1" t="str">
        <f>VLOOKUP(B63,Mapping!A:F,6,0)</f>
        <v>Parul</v>
      </c>
      <c r="H63" s="27">
        <v>0</v>
      </c>
      <c r="I63" s="27">
        <v>0</v>
      </c>
      <c r="J63" s="27">
        <v>0</v>
      </c>
      <c r="K63" s="27">
        <v>0</v>
      </c>
      <c r="L63" s="27">
        <v>0</v>
      </c>
      <c r="M63" s="27">
        <v>0</v>
      </c>
      <c r="N63" s="27">
        <v>0</v>
      </c>
      <c r="O63" s="27">
        <v>0</v>
      </c>
      <c r="P63" s="27">
        <v>0</v>
      </c>
      <c r="Q63" s="27">
        <v>0</v>
      </c>
      <c r="R63" s="27">
        <v>0</v>
      </c>
      <c r="S63" s="27">
        <v>0</v>
      </c>
      <c r="T63" s="27">
        <f t="shared" si="2"/>
        <v>0</v>
      </c>
    </row>
    <row r="64" spans="1:20" x14ac:dyDescent="0.35">
      <c r="A64" s="1" t="s">
        <v>142</v>
      </c>
      <c r="B64" s="1" t="s">
        <v>81</v>
      </c>
      <c r="C64" s="1" t="str">
        <f>VLOOKUP(B64,Mapping!A:B,2,0)</f>
        <v>Leadership</v>
      </c>
      <c r="D64" s="1" t="str">
        <f>VLOOKUP(B64,Mapping!A:C,3,0)</f>
        <v>North</v>
      </c>
      <c r="E64" s="1" t="str">
        <f>VLOOKUP(B64,Mapping!A:D,4,0)</f>
        <v>North</v>
      </c>
      <c r="F64" s="1" t="str">
        <f>VLOOKUP(B64,Mapping!A:E,5,0)</f>
        <v>Anjli</v>
      </c>
      <c r="G64" s="1" t="str">
        <f>VLOOKUP(B64,Mapping!A:F,6,0)</f>
        <v>Parul</v>
      </c>
      <c r="H64" s="27">
        <v>0</v>
      </c>
      <c r="I64" s="27">
        <v>0</v>
      </c>
      <c r="J64" s="27">
        <v>0</v>
      </c>
      <c r="K64" s="27">
        <v>0</v>
      </c>
      <c r="L64" s="27">
        <v>0</v>
      </c>
      <c r="M64" s="27">
        <v>0</v>
      </c>
      <c r="N64" s="27">
        <v>0</v>
      </c>
      <c r="O64" s="27">
        <v>0</v>
      </c>
      <c r="P64" s="27">
        <v>0</v>
      </c>
      <c r="Q64" s="27">
        <v>0</v>
      </c>
      <c r="R64" s="27">
        <v>0</v>
      </c>
      <c r="S64" s="27">
        <v>0</v>
      </c>
      <c r="T64" s="27">
        <f t="shared" si="2"/>
        <v>0</v>
      </c>
    </row>
    <row r="65" spans="1:20" x14ac:dyDescent="0.35">
      <c r="A65" s="1" t="s">
        <v>142</v>
      </c>
      <c r="B65" s="1" t="s">
        <v>82</v>
      </c>
      <c r="C65" s="1" t="str">
        <f>VLOOKUP(B65,Mapping!A:B,2,0)</f>
        <v>Leadership</v>
      </c>
      <c r="D65" s="1" t="str">
        <f>VLOOKUP(B65,Mapping!A:C,3,0)</f>
        <v>West</v>
      </c>
      <c r="E65" s="1" t="str">
        <f>VLOOKUP(B65,Mapping!A:D,4,0)</f>
        <v>West 1</v>
      </c>
      <c r="F65" s="1" t="str">
        <f>VLOOKUP(B65,Mapping!A:E,5,0)</f>
        <v>Anjli</v>
      </c>
      <c r="G65" s="1" t="str">
        <f>VLOOKUP(B65,Mapping!A:F,6,0)</f>
        <v>Parul</v>
      </c>
      <c r="H65" s="27">
        <v>0</v>
      </c>
      <c r="I65" s="27">
        <v>0</v>
      </c>
      <c r="J65" s="27">
        <v>0</v>
      </c>
      <c r="K65" s="27">
        <v>0</v>
      </c>
      <c r="L65" s="27">
        <v>0</v>
      </c>
      <c r="M65" s="27">
        <v>0</v>
      </c>
      <c r="N65" s="27">
        <v>0</v>
      </c>
      <c r="O65" s="27">
        <v>0</v>
      </c>
      <c r="P65" s="27">
        <v>0</v>
      </c>
      <c r="Q65" s="27">
        <v>0</v>
      </c>
      <c r="R65" s="27">
        <v>0</v>
      </c>
      <c r="S65" s="27">
        <v>0</v>
      </c>
      <c r="T65" s="27">
        <f t="shared" si="2"/>
        <v>0</v>
      </c>
    </row>
    <row r="66" spans="1:20" x14ac:dyDescent="0.35">
      <c r="A66" s="1" t="s">
        <v>142</v>
      </c>
      <c r="B66" s="1" t="s">
        <v>83</v>
      </c>
      <c r="C66" s="1" t="str">
        <f>VLOOKUP(B66,Mapping!A:B,2,0)</f>
        <v>Leadership</v>
      </c>
      <c r="D66" s="1" t="str">
        <f>VLOOKUP(B66,Mapping!A:C,3,0)</f>
        <v>North</v>
      </c>
      <c r="E66" s="1" t="str">
        <f>VLOOKUP(B66,Mapping!A:D,4,0)</f>
        <v>North</v>
      </c>
      <c r="F66" s="1" t="str">
        <f>VLOOKUP(B66,Mapping!A:E,5,0)</f>
        <v>Anjli</v>
      </c>
      <c r="G66" s="1" t="str">
        <f>VLOOKUP(B66,Mapping!A:F,6,0)</f>
        <v>Parul</v>
      </c>
      <c r="H66" s="27">
        <v>0</v>
      </c>
      <c r="I66" s="27">
        <v>0</v>
      </c>
      <c r="J66" s="27">
        <v>0</v>
      </c>
      <c r="K66" s="27">
        <v>0</v>
      </c>
      <c r="L66" s="27">
        <v>0</v>
      </c>
      <c r="M66" s="27">
        <v>0</v>
      </c>
      <c r="N66" s="27">
        <v>0</v>
      </c>
      <c r="O66" s="27">
        <v>0</v>
      </c>
      <c r="P66" s="27">
        <v>1</v>
      </c>
      <c r="Q66" s="27">
        <v>0</v>
      </c>
      <c r="R66" s="27">
        <v>0</v>
      </c>
      <c r="S66" s="27">
        <v>2</v>
      </c>
      <c r="T66" s="27">
        <f t="shared" si="2"/>
        <v>3</v>
      </c>
    </row>
    <row r="67" spans="1:20" x14ac:dyDescent="0.35">
      <c r="A67" s="1" t="s">
        <v>142</v>
      </c>
      <c r="B67" s="1" t="s">
        <v>84</v>
      </c>
      <c r="C67" s="1" t="str">
        <f>VLOOKUP(B67,Mapping!A:B,2,0)</f>
        <v>Lateral</v>
      </c>
      <c r="D67" s="1" t="str">
        <f>VLOOKUP(B67,Mapping!A:C,3,0)</f>
        <v>South</v>
      </c>
      <c r="E67" s="1" t="str">
        <f>VLOOKUP(B67,Mapping!A:D,4,0)</f>
        <v>South 1</v>
      </c>
      <c r="F67" s="1" t="str">
        <f>VLOOKUP(B67,Mapping!A:E,5,0)</f>
        <v>Ashish</v>
      </c>
      <c r="G67" s="1" t="str">
        <f>VLOOKUP(B67,Mapping!A:F,6,0)</f>
        <v>Ashish</v>
      </c>
      <c r="H67" s="27">
        <v>65.400000000000006</v>
      </c>
      <c r="I67" s="27">
        <v>45.8</v>
      </c>
      <c r="J67" s="27">
        <v>45.8</v>
      </c>
      <c r="K67" s="27">
        <v>45.833333333333336</v>
      </c>
      <c r="L67" s="27">
        <v>45.833333333333336</v>
      </c>
      <c r="M67" s="27">
        <v>45.833333333333336</v>
      </c>
      <c r="N67" s="27">
        <v>45.833333333333336</v>
      </c>
      <c r="O67" s="27">
        <v>45.833333333333336</v>
      </c>
      <c r="P67" s="27">
        <v>45.833333333333336</v>
      </c>
      <c r="Q67" s="27">
        <v>45.833333333333336</v>
      </c>
      <c r="R67" s="27">
        <v>45.833333333333336</v>
      </c>
      <c r="S67" s="27">
        <v>45.833333333333336</v>
      </c>
      <c r="T67" s="27">
        <f t="shared" ref="T67" si="4">SUM(H67:S67)</f>
        <v>569.5</v>
      </c>
    </row>
    <row r="68" spans="1:20" x14ac:dyDescent="0.35">
      <c r="A68" s="1" t="s">
        <v>142</v>
      </c>
      <c r="B68" s="1" t="s">
        <v>86</v>
      </c>
      <c r="C68" s="1" t="str">
        <f>VLOOKUP(B68,Mapping!A:B,2,0)</f>
        <v>Lateral</v>
      </c>
      <c r="D68" s="1" t="str">
        <f>VLOOKUP(B68,Mapping!A:C,3,0)</f>
        <v>New Sales</v>
      </c>
      <c r="E68" s="1" t="str">
        <f>VLOOKUP(B68,Mapping!A:D,4,0)</f>
        <v>New Sales</v>
      </c>
      <c r="F68" s="1" t="str">
        <f>VLOOKUP(B68,Mapping!A:E,5,0)</f>
        <v>Nizar</v>
      </c>
      <c r="G68" s="1" t="str">
        <f>VLOOKUP(B68,Mapping!A:F,6,0)</f>
        <v>Nizar</v>
      </c>
      <c r="H68" s="27"/>
      <c r="I68" s="27">
        <v>0</v>
      </c>
      <c r="J68" s="27">
        <v>0</v>
      </c>
      <c r="K68" s="27">
        <v>0</v>
      </c>
      <c r="L68" s="27">
        <v>0</v>
      </c>
      <c r="M68" s="27">
        <v>0</v>
      </c>
      <c r="N68" s="27">
        <v>0</v>
      </c>
      <c r="O68" s="27">
        <v>0</v>
      </c>
      <c r="P68" s="27">
        <v>0</v>
      </c>
      <c r="Q68" s="27">
        <v>0</v>
      </c>
      <c r="R68" s="27">
        <v>0</v>
      </c>
      <c r="S68" s="27">
        <v>0</v>
      </c>
      <c r="T68" s="27">
        <f t="shared" ref="T68:T85" si="5">SUM(H68:S68)</f>
        <v>0</v>
      </c>
    </row>
    <row r="69" spans="1:20" x14ac:dyDescent="0.35">
      <c r="A69" s="1" t="s">
        <v>142</v>
      </c>
      <c r="B69" s="1" t="s">
        <v>89</v>
      </c>
      <c r="C69" s="1" t="str">
        <f>VLOOKUP(B69,Mapping!A:B,2,0)</f>
        <v>Lateral</v>
      </c>
      <c r="D69" s="1" t="str">
        <f>VLOOKUP(B69,Mapping!A:C,3,0)</f>
        <v>North</v>
      </c>
      <c r="E69" s="1" t="str">
        <f>VLOOKUP(B69,Mapping!A:D,4,0)</f>
        <v>North</v>
      </c>
      <c r="F69" s="1" t="str">
        <f>VLOOKUP(B69,Mapping!A:E,5,0)</f>
        <v>Anjli</v>
      </c>
      <c r="G69" s="1" t="str">
        <f>VLOOKUP(B69,Mapping!A:F,6,0)</f>
        <v>Archana</v>
      </c>
      <c r="H69" s="27">
        <v>10.17</v>
      </c>
      <c r="I69" s="27">
        <v>10.19</v>
      </c>
      <c r="J69" s="27">
        <v>9.75</v>
      </c>
      <c r="K69" s="27">
        <v>9.5</v>
      </c>
      <c r="L69" s="27">
        <v>9.5</v>
      </c>
      <c r="M69" s="27">
        <v>9.5</v>
      </c>
      <c r="N69" s="27">
        <v>11</v>
      </c>
      <c r="O69" s="27">
        <v>11</v>
      </c>
      <c r="P69" s="27">
        <v>11</v>
      </c>
      <c r="Q69" s="27">
        <v>5</v>
      </c>
      <c r="R69" s="27">
        <v>5</v>
      </c>
      <c r="S69" s="27">
        <v>5</v>
      </c>
      <c r="T69" s="27">
        <f t="shared" si="5"/>
        <v>106.61</v>
      </c>
    </row>
    <row r="70" spans="1:20" x14ac:dyDescent="0.35">
      <c r="A70" s="1" t="s">
        <v>142</v>
      </c>
      <c r="B70" s="1" t="s">
        <v>91</v>
      </c>
      <c r="C70" s="1" t="str">
        <f>VLOOKUP(B70,Mapping!A:B,2,0)</f>
        <v>Lateral</v>
      </c>
      <c r="D70" s="1" t="str">
        <f>VLOOKUP(B70,Mapping!A:C,3,0)</f>
        <v>North</v>
      </c>
      <c r="E70" s="1" t="str">
        <f>VLOOKUP(B70,Mapping!A:D,4,0)</f>
        <v>North</v>
      </c>
      <c r="F70" s="1" t="str">
        <f>VLOOKUP(B70,Mapping!A:E,5,0)</f>
        <v>Anjli</v>
      </c>
      <c r="G70" s="1" t="str">
        <f>VLOOKUP(B70,Mapping!A:F,6,0)</f>
        <v>Archana</v>
      </c>
      <c r="H70" s="27">
        <v>6.5951000000000004</v>
      </c>
      <c r="I70" s="27">
        <v>4.0999999999999996</v>
      </c>
      <c r="J70" s="27">
        <v>4</v>
      </c>
      <c r="K70" s="27">
        <v>4</v>
      </c>
      <c r="L70" s="27">
        <v>4</v>
      </c>
      <c r="M70" s="27">
        <v>4</v>
      </c>
      <c r="N70" s="27">
        <v>4</v>
      </c>
      <c r="O70" s="27">
        <v>4</v>
      </c>
      <c r="P70" s="27">
        <v>4</v>
      </c>
      <c r="Q70" s="27">
        <v>4</v>
      </c>
      <c r="R70" s="27">
        <v>4</v>
      </c>
      <c r="S70" s="27">
        <v>4</v>
      </c>
      <c r="T70" s="27">
        <f t="shared" si="5"/>
        <v>50.695099999999996</v>
      </c>
    </row>
    <row r="71" spans="1:20" x14ac:dyDescent="0.35">
      <c r="A71" s="1" t="s">
        <v>142</v>
      </c>
      <c r="B71" s="1" t="s">
        <v>92</v>
      </c>
      <c r="C71" s="1" t="e">
        <f>VLOOKUP(B71,Mapping!A:B,2,0)</f>
        <v>#N/A</v>
      </c>
      <c r="D71" s="1" t="e">
        <f>VLOOKUP(B71,Mapping!A:C,3,0)</f>
        <v>#N/A</v>
      </c>
      <c r="E71" s="1" t="e">
        <f>VLOOKUP(B71,Mapping!A:D,4,0)</f>
        <v>#N/A</v>
      </c>
      <c r="F71" s="1" t="e">
        <f>VLOOKUP(B71,Mapping!A:E,5,0)</f>
        <v>#N/A</v>
      </c>
      <c r="G71" s="1" t="e">
        <f>VLOOKUP(B71,Mapping!A:F,6,0)</f>
        <v>#N/A</v>
      </c>
      <c r="H71" s="27">
        <v>17</v>
      </c>
      <c r="I71" s="27">
        <v>25</v>
      </c>
      <c r="J71" s="27">
        <v>30</v>
      </c>
      <c r="K71" s="27">
        <v>37.379999999999995</v>
      </c>
      <c r="L71" s="27">
        <v>37.379999999999995</v>
      </c>
      <c r="M71" s="27">
        <v>40.93</v>
      </c>
      <c r="N71" s="27">
        <v>40.93</v>
      </c>
      <c r="O71" s="27">
        <v>40.93</v>
      </c>
      <c r="P71" s="27">
        <v>40.93</v>
      </c>
      <c r="Q71" s="27">
        <v>40.93</v>
      </c>
      <c r="R71" s="27">
        <v>40.93</v>
      </c>
      <c r="S71" s="27">
        <v>40.93</v>
      </c>
      <c r="T71" s="27">
        <f t="shared" si="5"/>
        <v>433.27000000000004</v>
      </c>
    </row>
    <row r="72" spans="1:20" x14ac:dyDescent="0.35">
      <c r="A72" s="1" t="s">
        <v>142</v>
      </c>
      <c r="B72" s="1" t="s">
        <v>93</v>
      </c>
      <c r="C72" s="1" t="str">
        <f>VLOOKUP(B72,Mapping!A:B,2,0)</f>
        <v>Lateral</v>
      </c>
      <c r="D72" s="1" t="str">
        <f>VLOOKUP(B72,Mapping!A:C,3,0)</f>
        <v>West</v>
      </c>
      <c r="E72" s="1" t="str">
        <f>VLOOKUP(B72,Mapping!A:D,4,0)</f>
        <v>West 1</v>
      </c>
      <c r="F72" s="1" t="str">
        <f>VLOOKUP(B72,Mapping!A:E,5,0)</f>
        <v>Anjli</v>
      </c>
      <c r="G72" s="1" t="str">
        <f>VLOOKUP(B72,Mapping!A:F,6,0)</f>
        <v>Geetu</v>
      </c>
      <c r="H72" s="27">
        <v>10.65</v>
      </c>
      <c r="I72" s="27">
        <v>8.56</v>
      </c>
      <c r="J72" s="27">
        <v>5.0999999999999996</v>
      </c>
      <c r="K72" s="27">
        <v>7.1333333333333329</v>
      </c>
      <c r="L72" s="27">
        <v>7.1333333333333329</v>
      </c>
      <c r="M72" s="27">
        <v>7.1333333333333329</v>
      </c>
      <c r="N72" s="27">
        <v>7.2166666666666659</v>
      </c>
      <c r="O72" s="27">
        <v>7.2166666666666659</v>
      </c>
      <c r="P72" s="27">
        <v>7.2166666666666659</v>
      </c>
      <c r="Q72" s="27">
        <v>6.7</v>
      </c>
      <c r="R72" s="27">
        <v>6.7</v>
      </c>
      <c r="S72" s="27">
        <v>6.7</v>
      </c>
      <c r="T72" s="27">
        <f t="shared" si="5"/>
        <v>87.460000000000008</v>
      </c>
    </row>
    <row r="73" spans="1:20" x14ac:dyDescent="0.35">
      <c r="A73" s="1" t="s">
        <v>142</v>
      </c>
      <c r="B73" s="1" t="s">
        <v>94</v>
      </c>
      <c r="C73" s="1" t="str">
        <f>VLOOKUP(B73,Mapping!A:B,2,0)</f>
        <v>Lateral</v>
      </c>
      <c r="D73" s="1" t="str">
        <f>VLOOKUP(B73,Mapping!A:C,3,0)</f>
        <v>West</v>
      </c>
      <c r="E73" s="1" t="str">
        <f>VLOOKUP(B73,Mapping!A:D,4,0)</f>
        <v>West 1</v>
      </c>
      <c r="F73" s="1" t="str">
        <f>VLOOKUP(B73,Mapping!A:E,5,0)</f>
        <v>Anjli</v>
      </c>
      <c r="G73" s="1" t="str">
        <f>VLOOKUP(B73,Mapping!A:F,6,0)</f>
        <v>Archana</v>
      </c>
      <c r="H73" s="27">
        <v>0</v>
      </c>
      <c r="I73" s="27">
        <v>0</v>
      </c>
      <c r="J73" s="27">
        <v>0</v>
      </c>
      <c r="K73" s="27">
        <f>5.1/3</f>
        <v>1.7</v>
      </c>
      <c r="L73" s="27">
        <f t="shared" ref="L73:M73" si="6">5.1/3</f>
        <v>1.7</v>
      </c>
      <c r="M73" s="27">
        <f t="shared" si="6"/>
        <v>1.7</v>
      </c>
      <c r="N73" s="27">
        <v>46.5</v>
      </c>
      <c r="O73" s="27">
        <v>46.5</v>
      </c>
      <c r="P73" s="27">
        <v>46.5</v>
      </c>
      <c r="Q73" s="27">
        <v>46.5</v>
      </c>
      <c r="R73" s="27">
        <v>46.5</v>
      </c>
      <c r="S73" s="27">
        <v>46.5</v>
      </c>
      <c r="T73" s="27">
        <f t="shared" si="5"/>
        <v>284.10000000000002</v>
      </c>
    </row>
    <row r="74" spans="1:20" x14ac:dyDescent="0.35">
      <c r="A74" s="1" t="s">
        <v>142</v>
      </c>
      <c r="B74" s="1" t="s">
        <v>95</v>
      </c>
      <c r="C74" s="1" t="str">
        <f>VLOOKUP(B74,Mapping!A:B,2,0)</f>
        <v>Lateral</v>
      </c>
      <c r="D74" s="1" t="str">
        <f>VLOOKUP(B74,Mapping!A:C,3,0)</f>
        <v>South</v>
      </c>
      <c r="E74" s="1" t="str">
        <f>VLOOKUP(B74,Mapping!A:D,4,0)</f>
        <v>South 2</v>
      </c>
      <c r="F74" s="1" t="str">
        <f>VLOOKUP(B74,Mapping!A:E,5,0)</f>
        <v>Sulabh</v>
      </c>
      <c r="G74" s="1" t="str">
        <f>VLOOKUP(B74,Mapping!A:F,6,0)</f>
        <v>Lekhana</v>
      </c>
      <c r="H74" s="27">
        <v>7.97</v>
      </c>
      <c r="I74" s="27">
        <v>9.0863999999999994</v>
      </c>
      <c r="J74" s="27">
        <v>9.0863999999999994</v>
      </c>
      <c r="K74" s="27">
        <v>10</v>
      </c>
      <c r="L74" s="27">
        <v>10</v>
      </c>
      <c r="M74" s="27">
        <v>10</v>
      </c>
      <c r="N74" s="27">
        <v>14.432000000000002</v>
      </c>
      <c r="O74" s="27">
        <v>14.432000000000002</v>
      </c>
      <c r="P74" s="27">
        <v>14.432000000000002</v>
      </c>
      <c r="Q74" s="27">
        <v>14.432000000000002</v>
      </c>
      <c r="R74" s="27">
        <v>14.432000000000002</v>
      </c>
      <c r="S74" s="27">
        <v>14.432000000000002</v>
      </c>
      <c r="T74" s="27">
        <f t="shared" si="5"/>
        <v>142.73480000000001</v>
      </c>
    </row>
    <row r="75" spans="1:20" x14ac:dyDescent="0.35">
      <c r="A75" s="1" t="s">
        <v>142</v>
      </c>
      <c r="B75" s="1" t="s">
        <v>97</v>
      </c>
      <c r="C75" s="1" t="str">
        <f>VLOOKUP(B75,Mapping!A:B,2,0)</f>
        <v>Lateral</v>
      </c>
      <c r="D75" s="1" t="str">
        <f>VLOOKUP(B75,Mapping!A:C,3,0)</f>
        <v>South</v>
      </c>
      <c r="E75" s="1" t="str">
        <f>VLOOKUP(B75,Mapping!A:D,4,0)</f>
        <v>South 2</v>
      </c>
      <c r="F75" s="1" t="str">
        <f>VLOOKUP(B75,Mapping!A:E,5,0)</f>
        <v>Sulabh</v>
      </c>
      <c r="G75" s="1" t="str">
        <f>VLOOKUP(B75,Mapping!A:F,6,0)</f>
        <v>Satya</v>
      </c>
      <c r="H75" s="27">
        <v>2.90625</v>
      </c>
      <c r="I75" s="27">
        <v>7.95</v>
      </c>
      <c r="J75" s="27">
        <v>9</v>
      </c>
      <c r="K75" s="27">
        <v>7</v>
      </c>
      <c r="L75" s="27">
        <v>7</v>
      </c>
      <c r="M75" s="27">
        <v>6</v>
      </c>
      <c r="N75" s="27">
        <v>4</v>
      </c>
      <c r="O75" s="27">
        <v>4</v>
      </c>
      <c r="P75" s="27">
        <v>4</v>
      </c>
      <c r="Q75" s="27">
        <v>5</v>
      </c>
      <c r="R75" s="27">
        <v>5</v>
      </c>
      <c r="S75" s="27">
        <v>5</v>
      </c>
      <c r="T75" s="27">
        <f t="shared" si="5"/>
        <v>66.856250000000003</v>
      </c>
    </row>
    <row r="76" spans="1:20" x14ac:dyDescent="0.35">
      <c r="A76" s="1" t="s">
        <v>142</v>
      </c>
      <c r="B76" s="1" t="s">
        <v>98</v>
      </c>
      <c r="C76" s="1" t="str">
        <f>VLOOKUP(B76,Mapping!A:B,2,0)</f>
        <v>Lateral</v>
      </c>
      <c r="D76" s="1" t="str">
        <f>VLOOKUP(B76,Mapping!A:C,3,0)</f>
        <v>West</v>
      </c>
      <c r="E76" s="1" t="str">
        <f>VLOOKUP(B76,Mapping!A:D,4,0)</f>
        <v>West 1</v>
      </c>
      <c r="F76" s="1" t="str">
        <f>VLOOKUP(B76,Mapping!A:E,5,0)</f>
        <v>Anjli</v>
      </c>
      <c r="G76" s="1" t="str">
        <f>VLOOKUP(B76,Mapping!A:F,6,0)</f>
        <v>Anjli</v>
      </c>
      <c r="H76" s="27"/>
      <c r="I76" s="27">
        <v>0</v>
      </c>
      <c r="J76" s="27">
        <v>0</v>
      </c>
      <c r="K76" s="27">
        <v>0</v>
      </c>
      <c r="L76" s="27">
        <v>0</v>
      </c>
      <c r="M76" s="27">
        <v>0</v>
      </c>
      <c r="N76" s="27">
        <v>0</v>
      </c>
      <c r="O76" s="27">
        <v>0</v>
      </c>
      <c r="P76" s="27">
        <v>0</v>
      </c>
      <c r="Q76" s="27">
        <v>0</v>
      </c>
      <c r="R76" s="27">
        <v>0</v>
      </c>
      <c r="S76" s="27">
        <v>0</v>
      </c>
      <c r="T76" s="27">
        <f t="shared" si="5"/>
        <v>0</v>
      </c>
    </row>
    <row r="77" spans="1:20" x14ac:dyDescent="0.35">
      <c r="A77" s="1" t="s">
        <v>142</v>
      </c>
      <c r="B77" s="1" t="s">
        <v>99</v>
      </c>
      <c r="C77" s="1" t="e">
        <f>VLOOKUP(B77,Mapping!A:B,2,0)</f>
        <v>#N/A</v>
      </c>
      <c r="D77" s="1" t="e">
        <f>VLOOKUP(B77,Mapping!A:C,3,0)</f>
        <v>#N/A</v>
      </c>
      <c r="E77" s="1" t="e">
        <f>VLOOKUP(B77,Mapping!A:D,4,0)</f>
        <v>#N/A</v>
      </c>
      <c r="F77" s="1" t="e">
        <f>VLOOKUP(B77,Mapping!A:E,5,0)</f>
        <v>#N/A</v>
      </c>
      <c r="G77" s="1" t="e">
        <f>VLOOKUP(B77,Mapping!A:F,6,0)</f>
        <v>#N/A</v>
      </c>
      <c r="H77" s="27">
        <v>7.9112900000000002</v>
      </c>
      <c r="I77" s="27">
        <v>10.6</v>
      </c>
      <c r="J77" s="27">
        <v>3.83</v>
      </c>
      <c r="K77" s="27">
        <v>8.3000000000000007</v>
      </c>
      <c r="L77" s="27">
        <v>8.3000000000000007</v>
      </c>
      <c r="M77" s="27">
        <v>8.3000000000000007</v>
      </c>
      <c r="N77" s="27">
        <v>7.9</v>
      </c>
      <c r="O77" s="27">
        <v>7.9</v>
      </c>
      <c r="P77" s="27">
        <v>7.9</v>
      </c>
      <c r="Q77" s="27">
        <v>7.25</v>
      </c>
      <c r="R77" s="27">
        <v>7.25</v>
      </c>
      <c r="S77" s="27">
        <v>7.25</v>
      </c>
      <c r="T77" s="27">
        <f t="shared" si="5"/>
        <v>92.691290000000009</v>
      </c>
    </row>
    <row r="78" spans="1:20" x14ac:dyDescent="0.35">
      <c r="A78" s="1" t="s">
        <v>142</v>
      </c>
      <c r="B78" s="1" t="s">
        <v>100</v>
      </c>
      <c r="C78" s="1" t="str">
        <f>VLOOKUP(B78,Mapping!A:B,2,0)</f>
        <v>Lateral</v>
      </c>
      <c r="D78" s="1" t="str">
        <f>VLOOKUP(B78,Mapping!A:C,3,0)</f>
        <v>West</v>
      </c>
      <c r="E78" s="1" t="str">
        <f>VLOOKUP(B78,Mapping!A:D,4,0)</f>
        <v>West 1</v>
      </c>
      <c r="F78" s="1" t="str">
        <f>VLOOKUP(B78,Mapping!A:E,5,0)</f>
        <v>Anjli</v>
      </c>
      <c r="G78" s="1" t="str">
        <f>VLOOKUP(B78,Mapping!A:F,6,0)</f>
        <v>Anjli</v>
      </c>
      <c r="H78" s="27">
        <v>9</v>
      </c>
      <c r="I78" s="27">
        <v>12.5</v>
      </c>
      <c r="J78" s="27">
        <v>11</v>
      </c>
      <c r="K78" s="27">
        <v>40.30932</v>
      </c>
      <c r="L78" s="27">
        <v>41.069319999999998</v>
      </c>
      <c r="M78" s="27">
        <v>49.244320000000002</v>
      </c>
      <c r="N78" s="27">
        <v>54.954340000000002</v>
      </c>
      <c r="O78" s="27">
        <v>40.723320000000001</v>
      </c>
      <c r="P78" s="27">
        <v>53.838369999999998</v>
      </c>
      <c r="Q78" s="27">
        <v>53.59937</v>
      </c>
      <c r="R78" s="27">
        <v>70.003410000000002</v>
      </c>
      <c r="S78" s="27">
        <v>70.003410000000002</v>
      </c>
      <c r="T78" s="27">
        <f t="shared" si="5"/>
        <v>506.24518</v>
      </c>
    </row>
    <row r="79" spans="1:20" x14ac:dyDescent="0.35">
      <c r="A79" s="1" t="s">
        <v>142</v>
      </c>
      <c r="B79" s="1" t="s">
        <v>127</v>
      </c>
      <c r="C79" s="1" t="s">
        <v>127</v>
      </c>
      <c r="D79" s="1" t="s">
        <v>127</v>
      </c>
      <c r="E79" s="1" t="s">
        <v>127</v>
      </c>
      <c r="F79" s="1" t="s">
        <v>129</v>
      </c>
      <c r="G79" s="1" t="s">
        <v>128</v>
      </c>
      <c r="H79" s="27">
        <v>2.9410600000000002</v>
      </c>
      <c r="I79" s="27">
        <v>0.83</v>
      </c>
      <c r="J79" s="27">
        <v>0</v>
      </c>
      <c r="K79" s="27">
        <f>6.5/3</f>
        <v>2.1666666666666665</v>
      </c>
      <c r="L79" s="27">
        <f t="shared" ref="L79:M79" si="7">6.5/3</f>
        <v>2.1666666666666665</v>
      </c>
      <c r="M79" s="27">
        <f t="shared" si="7"/>
        <v>2.1666666666666665</v>
      </c>
      <c r="N79" s="27">
        <v>10</v>
      </c>
      <c r="O79" s="27">
        <v>15</v>
      </c>
      <c r="P79" s="27">
        <v>15</v>
      </c>
      <c r="Q79" s="27">
        <v>15</v>
      </c>
      <c r="R79" s="27">
        <v>15</v>
      </c>
      <c r="S79" s="27">
        <v>20</v>
      </c>
      <c r="T79" s="27">
        <f t="shared" si="5"/>
        <v>100.27106000000001</v>
      </c>
    </row>
    <row r="80" spans="1:20" x14ac:dyDescent="0.35">
      <c r="A80" s="1" t="s">
        <v>142</v>
      </c>
      <c r="B80" s="1" t="s">
        <v>126</v>
      </c>
      <c r="C80" s="1" t="s">
        <v>126</v>
      </c>
      <c r="D80" s="1" t="s">
        <v>126</v>
      </c>
      <c r="E80" s="1" t="s">
        <v>126</v>
      </c>
      <c r="F80" s="1" t="s">
        <v>129</v>
      </c>
      <c r="G80" s="1" t="s">
        <v>128</v>
      </c>
      <c r="H80" s="27">
        <v>0</v>
      </c>
      <c r="I80" s="27">
        <v>0</v>
      </c>
      <c r="J80" s="27">
        <v>0</v>
      </c>
      <c r="K80" s="27">
        <v>10</v>
      </c>
      <c r="L80" s="27">
        <v>10</v>
      </c>
      <c r="M80" s="27">
        <v>10</v>
      </c>
      <c r="N80" s="27">
        <v>38</v>
      </c>
      <c r="O80" s="27">
        <v>38</v>
      </c>
      <c r="P80" s="27">
        <v>42</v>
      </c>
      <c r="Q80" s="27">
        <v>52</v>
      </c>
      <c r="R80" s="27">
        <v>44</v>
      </c>
      <c r="S80" s="27">
        <v>54</v>
      </c>
      <c r="T80" s="27">
        <f t="shared" si="5"/>
        <v>298</v>
      </c>
    </row>
    <row r="81" spans="1:20" x14ac:dyDescent="0.35">
      <c r="A81" s="1" t="s">
        <v>142</v>
      </c>
      <c r="B81" s="1" t="s">
        <v>143</v>
      </c>
      <c r="C81" s="1" t="s">
        <v>144</v>
      </c>
      <c r="D81" s="1" t="s">
        <v>5</v>
      </c>
      <c r="E81" s="1" t="s">
        <v>102</v>
      </c>
      <c r="F81" s="1" t="s">
        <v>6</v>
      </c>
      <c r="G81" s="1" t="s">
        <v>6</v>
      </c>
      <c r="H81" s="27">
        <v>0</v>
      </c>
      <c r="I81" s="27">
        <v>2</v>
      </c>
      <c r="J81" s="27">
        <v>2</v>
      </c>
      <c r="K81" s="27">
        <f>23/3</f>
        <v>7.666666666666667</v>
      </c>
      <c r="L81" s="27">
        <f t="shared" ref="L81:M81" si="8">23/3</f>
        <v>7.666666666666667</v>
      </c>
      <c r="M81" s="27">
        <f t="shared" si="8"/>
        <v>7.666666666666667</v>
      </c>
      <c r="N81" s="27">
        <v>0</v>
      </c>
      <c r="O81" s="27">
        <v>0</v>
      </c>
      <c r="P81" s="27">
        <v>0</v>
      </c>
      <c r="Q81" s="27">
        <v>0</v>
      </c>
      <c r="R81" s="27">
        <v>0</v>
      </c>
      <c r="S81" s="27">
        <v>0</v>
      </c>
      <c r="T81" s="27">
        <f t="shared" si="5"/>
        <v>27.000000000000004</v>
      </c>
    </row>
    <row r="82" spans="1:20" x14ac:dyDescent="0.35">
      <c r="A82" s="1" t="s">
        <v>142</v>
      </c>
      <c r="B82" s="1" t="s">
        <v>145</v>
      </c>
      <c r="C82" s="1" t="s">
        <v>112</v>
      </c>
      <c r="D82" s="1" t="s">
        <v>5</v>
      </c>
      <c r="E82" s="1" t="s">
        <v>102</v>
      </c>
      <c r="F82" s="1" t="s">
        <v>6</v>
      </c>
      <c r="G82" s="1" t="s">
        <v>6</v>
      </c>
      <c r="H82" s="27">
        <v>0</v>
      </c>
      <c r="I82" s="27">
        <v>0</v>
      </c>
      <c r="J82" s="27">
        <v>0</v>
      </c>
      <c r="K82" s="27">
        <v>0</v>
      </c>
      <c r="L82" s="27">
        <v>0</v>
      </c>
      <c r="M82" s="27">
        <v>0</v>
      </c>
      <c r="N82" s="27">
        <v>0</v>
      </c>
      <c r="O82" s="27">
        <v>0</v>
      </c>
      <c r="P82" s="27">
        <v>0</v>
      </c>
      <c r="Q82" s="27">
        <v>0</v>
      </c>
      <c r="R82" s="27">
        <v>0</v>
      </c>
      <c r="S82" s="27">
        <v>0</v>
      </c>
      <c r="T82" s="27">
        <f t="shared" si="5"/>
        <v>0</v>
      </c>
    </row>
    <row r="83" spans="1:20" x14ac:dyDescent="0.35">
      <c r="A83" s="1" t="s">
        <v>142</v>
      </c>
      <c r="B83" s="1" t="s">
        <v>146</v>
      </c>
      <c r="C83" s="1" t="s">
        <v>112</v>
      </c>
      <c r="D83" s="1" t="s">
        <v>5</v>
      </c>
      <c r="E83" s="1" t="s">
        <v>102</v>
      </c>
      <c r="F83" s="1" t="s">
        <v>6</v>
      </c>
      <c r="G83" s="1" t="s">
        <v>6</v>
      </c>
      <c r="H83" s="27">
        <v>0</v>
      </c>
      <c r="I83" s="27">
        <v>0</v>
      </c>
      <c r="J83" s="27">
        <v>0</v>
      </c>
      <c r="K83" s="27">
        <v>0</v>
      </c>
      <c r="L83" s="27">
        <v>0</v>
      </c>
      <c r="M83" s="27">
        <v>0</v>
      </c>
      <c r="N83" s="27">
        <v>0</v>
      </c>
      <c r="O83" s="27">
        <v>0</v>
      </c>
      <c r="P83" s="27">
        <v>0</v>
      </c>
      <c r="Q83" s="27">
        <v>0</v>
      </c>
      <c r="R83" s="27">
        <v>0</v>
      </c>
      <c r="S83" s="27">
        <v>0</v>
      </c>
      <c r="T83" s="27">
        <f t="shared" si="5"/>
        <v>0</v>
      </c>
    </row>
    <row r="84" spans="1:20" x14ac:dyDescent="0.35">
      <c r="A84" s="1" t="s">
        <v>142</v>
      </c>
      <c r="B84" s="1" t="s">
        <v>147</v>
      </c>
      <c r="C84" s="1" t="s">
        <v>113</v>
      </c>
      <c r="D84" s="1" t="s">
        <v>11</v>
      </c>
      <c r="E84" s="1" t="s">
        <v>11</v>
      </c>
      <c r="F84" s="1" t="s">
        <v>149</v>
      </c>
      <c r="G84" s="1" t="s">
        <v>149</v>
      </c>
      <c r="H84" s="1"/>
      <c r="I84" s="1">
        <v>12.5</v>
      </c>
      <c r="J84" s="27">
        <v>12.5</v>
      </c>
      <c r="K84" s="27">
        <f>29.36/3</f>
        <v>9.7866666666666671</v>
      </c>
      <c r="L84" s="27">
        <f t="shared" ref="L84:M84" si="9">29.36/3</f>
        <v>9.7866666666666671</v>
      </c>
      <c r="M84" s="27">
        <f t="shared" si="9"/>
        <v>9.7866666666666671</v>
      </c>
      <c r="N84" s="1"/>
      <c r="O84" s="1"/>
      <c r="P84" s="1"/>
      <c r="Q84" s="1"/>
      <c r="R84" s="1"/>
      <c r="S84" s="1"/>
      <c r="T84" s="27">
        <f t="shared" si="5"/>
        <v>54.360000000000007</v>
      </c>
    </row>
    <row r="85" spans="1:20" x14ac:dyDescent="0.35">
      <c r="A85" s="1" t="s">
        <v>142</v>
      </c>
      <c r="B85" s="1" t="s">
        <v>148</v>
      </c>
      <c r="C85" s="1" t="s">
        <v>113</v>
      </c>
      <c r="D85" s="1" t="s">
        <v>13</v>
      </c>
      <c r="E85" s="1" t="s">
        <v>13</v>
      </c>
      <c r="F85" s="1" t="s">
        <v>141</v>
      </c>
      <c r="G85" s="1" t="s">
        <v>141</v>
      </c>
      <c r="H85" s="1"/>
      <c r="I85" s="1">
        <f>1.06*2</f>
        <v>2.12</v>
      </c>
      <c r="J85" s="27">
        <v>1.06</v>
      </c>
      <c r="K85" s="27">
        <v>1.0666666666666667</v>
      </c>
      <c r="L85" s="27">
        <v>1.0666666666666667</v>
      </c>
      <c r="M85" s="27">
        <v>1.0666666666666667</v>
      </c>
      <c r="N85" s="1"/>
      <c r="O85" s="1"/>
      <c r="P85" s="1"/>
      <c r="Q85" s="1"/>
      <c r="R85" s="1"/>
      <c r="S85" s="1"/>
      <c r="T85" s="27">
        <f t="shared" si="5"/>
        <v>6.38</v>
      </c>
    </row>
  </sheetData>
  <conditionalFormatting sqref="B2:B85">
    <cfRule type="duplicateValues" dxfId="73" priority="1"/>
  </conditionalFormatting>
  <conditionalFormatting sqref="B53:B75 B3:B43">
    <cfRule type="duplicateValues" dxfId="72" priority="99"/>
  </conditionalFormatting>
  <conditionalFormatting sqref="B76:B78 B44:B52 B81">
    <cfRule type="duplicateValues" dxfId="71" priority="94"/>
  </conditionalFormatting>
  <conditionalFormatting sqref="I2:S2 A2:B2 E2:G2">
    <cfRule type="duplicateValues" dxfId="70" priority="10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EAC1B-AFF0-468A-802C-48F7A27C3DC7}">
  <sheetPr codeName="Sheet7">
    <tabColor rgb="FF92D050"/>
  </sheetPr>
  <dimension ref="A1:T84"/>
  <sheetViews>
    <sheetView topLeftCell="D65" workbookViewId="0">
      <selection activeCell="T2" sqref="T2:T84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customWidth="1"/>
    <col min="4" max="4" width="10.1796875" customWidth="1"/>
    <col min="5" max="5" width="10.81640625" customWidth="1"/>
    <col min="6" max="6" width="12.1796875" customWidth="1"/>
    <col min="7" max="7" width="13.1796875" customWidth="1"/>
    <col min="8" max="15" width="8.81640625" customWidth="1"/>
    <col min="16" max="16" width="9.81640625" customWidth="1"/>
    <col min="17" max="18" width="8.81640625" customWidth="1"/>
    <col min="19" max="19" width="9.81640625" bestFit="1" customWidth="1"/>
    <col min="20" max="20" width="10.81640625" bestFit="1" customWidth="1"/>
  </cols>
  <sheetData>
    <row r="1" spans="1:20" x14ac:dyDescent="0.35">
      <c r="A1" s="25" t="str">
        <f>Revenue_Budget!A2</f>
        <v>FY</v>
      </c>
      <c r="B1" s="25" t="str">
        <f>Revenue_Budget!B2</f>
        <v>Project</v>
      </c>
      <c r="C1" s="25" t="str">
        <f>Revenue_Budget!C2</f>
        <v>Vertical</v>
      </c>
      <c r="D1" s="25" t="str">
        <f>Revenue_Budget!D2</f>
        <v>Region</v>
      </c>
      <c r="E1" s="25" t="str">
        <f>Revenue_Budget!E2</f>
        <v>Sub Region</v>
      </c>
      <c r="F1" s="25" t="str">
        <f>Revenue_Budget!F2</f>
        <v>Region Head</v>
      </c>
      <c r="G1" s="25" t="str">
        <f>Revenue_Budget!G2</f>
        <v>Practice Head</v>
      </c>
      <c r="H1" s="26">
        <f>Revenue_Budget!H2</f>
        <v>46113</v>
      </c>
      <c r="I1" s="26">
        <f>Revenue_Budget!I2</f>
        <v>46143</v>
      </c>
      <c r="J1" s="26">
        <f>Revenue_Budget!J2</f>
        <v>46174</v>
      </c>
      <c r="K1" s="26">
        <f>Revenue_Budget!K2</f>
        <v>46204</v>
      </c>
      <c r="L1" s="26">
        <f>Revenue_Budget!L2</f>
        <v>46235</v>
      </c>
      <c r="M1" s="26">
        <f>Revenue_Budget!M2</f>
        <v>46266</v>
      </c>
      <c r="N1" s="26">
        <f>Revenue_Budget!N2</f>
        <v>46296</v>
      </c>
      <c r="O1" s="26">
        <f>Revenue_Budget!O2</f>
        <v>46327</v>
      </c>
      <c r="P1" s="26">
        <f>Revenue_Budget!P2</f>
        <v>46357</v>
      </c>
      <c r="Q1" s="26">
        <f>Revenue_Budget!Q2</f>
        <v>46388</v>
      </c>
      <c r="R1" s="26">
        <f>Revenue_Budget!R2</f>
        <v>46419</v>
      </c>
      <c r="S1" s="26">
        <f>Revenue_Budget!S2</f>
        <v>46447</v>
      </c>
      <c r="T1" s="1" t="s">
        <v>132</v>
      </c>
    </row>
    <row r="2" spans="1:20" x14ac:dyDescent="0.35">
      <c r="A2" s="1" t="s">
        <v>142</v>
      </c>
      <c r="B2" s="1" t="s">
        <v>2</v>
      </c>
      <c r="C2" s="1" t="str">
        <f>VLOOKUP(B2,Mapping!A:B,2,0)</f>
        <v>Lateral</v>
      </c>
      <c r="D2" s="1" t="str">
        <f>VLOOKUP(B2,Mapping!A:C,3,0)</f>
        <v>South</v>
      </c>
      <c r="E2" s="1" t="str">
        <f>VLOOKUP(B2,Mapping!A:D,4,0)</f>
        <v>South 1</v>
      </c>
      <c r="F2" s="1" t="str">
        <f>VLOOKUP(B2,Mapping!A:E,5,0)</f>
        <v>Bapi</v>
      </c>
      <c r="G2" s="1" t="str">
        <f>VLOOKUP(B2,Mapping!A:F,6,0)</f>
        <v>Bapi</v>
      </c>
      <c r="H2" s="27">
        <v>120</v>
      </c>
      <c r="I2" s="27">
        <v>167</v>
      </c>
      <c r="J2" s="27">
        <v>188</v>
      </c>
      <c r="K2" s="27">
        <v>108</v>
      </c>
      <c r="L2" s="27">
        <v>155</v>
      </c>
      <c r="M2" s="27">
        <v>177</v>
      </c>
      <c r="N2" s="27">
        <v>82</v>
      </c>
      <c r="O2" s="27">
        <v>116</v>
      </c>
      <c r="P2" s="27">
        <v>132</v>
      </c>
      <c r="Q2" s="27">
        <v>120</v>
      </c>
      <c r="R2" s="27">
        <v>168</v>
      </c>
      <c r="S2" s="27">
        <v>192</v>
      </c>
      <c r="T2" s="3">
        <f>SUM(H2:S2)</f>
        <v>1725</v>
      </c>
    </row>
    <row r="3" spans="1:20" x14ac:dyDescent="0.35">
      <c r="A3" s="1" t="s">
        <v>142</v>
      </c>
      <c r="B3" s="1" t="s">
        <v>4</v>
      </c>
      <c r="C3" s="1" t="str">
        <f>VLOOKUP(B3,Mapping!A:B,2,0)</f>
        <v>Lateral</v>
      </c>
      <c r="D3" s="1" t="str">
        <f>VLOOKUP(B3,Mapping!A:C,3,0)</f>
        <v>West</v>
      </c>
      <c r="E3" s="1" t="str">
        <f>VLOOKUP(B3,Mapping!A:D,4,0)</f>
        <v>West 1</v>
      </c>
      <c r="F3" s="1" t="str">
        <f>VLOOKUP(B3,Mapping!A:E,5,0)</f>
        <v>Anjli</v>
      </c>
      <c r="G3" s="1" t="str">
        <f>VLOOKUP(B3,Mapping!A:F,6,0)</f>
        <v>Usha</v>
      </c>
      <c r="H3" s="27">
        <v>9.3010766</v>
      </c>
      <c r="I3" s="27">
        <v>8.4985999999999997</v>
      </c>
      <c r="J3" s="27">
        <v>5.5</v>
      </c>
      <c r="K3" s="27">
        <v>8</v>
      </c>
      <c r="L3" s="27">
        <v>8</v>
      </c>
      <c r="M3" s="27">
        <v>8</v>
      </c>
      <c r="N3" s="27">
        <v>5</v>
      </c>
      <c r="O3" s="27">
        <v>5</v>
      </c>
      <c r="P3" s="27">
        <v>5</v>
      </c>
      <c r="Q3" s="27">
        <v>5</v>
      </c>
      <c r="R3" s="27">
        <v>6</v>
      </c>
      <c r="S3" s="27">
        <v>6</v>
      </c>
      <c r="T3" s="3">
        <f t="shared" ref="T3:T66" si="0">SUM(H3:S3)</f>
        <v>79.299676599999998</v>
      </c>
    </row>
    <row r="4" spans="1:20" x14ac:dyDescent="0.35">
      <c r="A4" s="1" t="s">
        <v>142</v>
      </c>
      <c r="B4" s="1" t="s">
        <v>8</v>
      </c>
      <c r="C4" s="1" t="str">
        <f>VLOOKUP(B4,Mapping!A:B,2,0)</f>
        <v>Lateral</v>
      </c>
      <c r="D4" s="1" t="str">
        <f>VLOOKUP(B4,Mapping!A:C,3,0)</f>
        <v>West</v>
      </c>
      <c r="E4" s="1" t="str">
        <f>VLOOKUP(B4,Mapping!A:D,4,0)</f>
        <v>West 2</v>
      </c>
      <c r="F4" s="1" t="str">
        <f>VLOOKUP(B4,Mapping!A:E,5,0)</f>
        <v>Anjli</v>
      </c>
      <c r="G4" s="1" t="str">
        <f>VLOOKUP(B4,Mapping!A:F,6,0)</f>
        <v>Shweta</v>
      </c>
      <c r="H4" s="27">
        <v>0</v>
      </c>
      <c r="I4" s="27">
        <v>0</v>
      </c>
      <c r="J4" s="27">
        <v>0</v>
      </c>
      <c r="K4" s="27">
        <v>0</v>
      </c>
      <c r="L4" s="27">
        <v>0</v>
      </c>
      <c r="M4" s="27">
        <v>0</v>
      </c>
      <c r="N4" s="27">
        <v>0</v>
      </c>
      <c r="O4" s="27">
        <v>0</v>
      </c>
      <c r="P4" s="27">
        <v>0</v>
      </c>
      <c r="Q4" s="27">
        <v>0</v>
      </c>
      <c r="R4" s="27">
        <v>0</v>
      </c>
      <c r="S4" s="27">
        <v>0</v>
      </c>
      <c r="T4" s="3">
        <f t="shared" si="0"/>
        <v>0</v>
      </c>
    </row>
    <row r="5" spans="1:20" x14ac:dyDescent="0.35">
      <c r="A5" s="1" t="s">
        <v>142</v>
      </c>
      <c r="B5" s="1" t="s">
        <v>10</v>
      </c>
      <c r="C5" s="1" t="str">
        <f>VLOOKUP(B5,Mapping!A:B,2,0)</f>
        <v>Lateral</v>
      </c>
      <c r="D5" s="1" t="str">
        <f>VLOOKUP(B5,Mapping!A:C,3,0)</f>
        <v>North</v>
      </c>
      <c r="E5" s="1" t="str">
        <f>VLOOKUP(B5,Mapping!A:D,4,0)</f>
        <v>North</v>
      </c>
      <c r="F5" s="1" t="str">
        <f>VLOOKUP(B5,Mapping!A:E,5,0)</f>
        <v>Anjli</v>
      </c>
      <c r="G5" s="1" t="str">
        <f>VLOOKUP(B5,Mapping!A:F,6,0)</f>
        <v>Archana</v>
      </c>
      <c r="H5" s="27">
        <v>26.5</v>
      </c>
      <c r="I5" s="27">
        <v>17</v>
      </c>
      <c r="J5" s="27">
        <v>35.9</v>
      </c>
      <c r="K5" s="27">
        <v>18</v>
      </c>
      <c r="L5" s="27">
        <v>23</v>
      </c>
      <c r="M5" s="27">
        <v>22</v>
      </c>
      <c r="N5" s="27">
        <v>19</v>
      </c>
      <c r="O5" s="27">
        <v>20</v>
      </c>
      <c r="P5" s="27">
        <v>18</v>
      </c>
      <c r="Q5" s="27">
        <v>17</v>
      </c>
      <c r="R5" s="27">
        <v>15</v>
      </c>
      <c r="S5" s="27">
        <v>14</v>
      </c>
      <c r="T5" s="3">
        <f t="shared" si="0"/>
        <v>245.4</v>
      </c>
    </row>
    <row r="6" spans="1:20" x14ac:dyDescent="0.35">
      <c r="A6" s="1" t="s">
        <v>142</v>
      </c>
      <c r="B6" s="1" t="s">
        <v>139</v>
      </c>
      <c r="C6" s="1" t="s">
        <v>113</v>
      </c>
      <c r="D6" s="1" t="s">
        <v>13</v>
      </c>
      <c r="E6" s="1" t="s">
        <v>101</v>
      </c>
      <c r="F6" s="1" t="s">
        <v>141</v>
      </c>
      <c r="G6" s="1" t="s">
        <v>15</v>
      </c>
      <c r="H6" s="27">
        <v>6.1185</v>
      </c>
      <c r="I6" s="27">
        <v>6</v>
      </c>
      <c r="J6" s="27">
        <v>7</v>
      </c>
      <c r="K6" s="27">
        <v>6.3633333333333333</v>
      </c>
      <c r="L6" s="27">
        <v>6.3633333333333333</v>
      </c>
      <c r="M6" s="27">
        <v>6.3633333333333333</v>
      </c>
      <c r="N6" s="27">
        <v>9.1999999999999993</v>
      </c>
      <c r="O6" s="27">
        <v>10.7</v>
      </c>
      <c r="P6" s="27">
        <v>11.6</v>
      </c>
      <c r="Q6" s="27">
        <v>11.9</v>
      </c>
      <c r="R6" s="27">
        <v>11.9</v>
      </c>
      <c r="S6" s="27">
        <v>11.9</v>
      </c>
      <c r="T6" s="3">
        <f t="shared" si="0"/>
        <v>105.40850000000002</v>
      </c>
    </row>
    <row r="7" spans="1:20" x14ac:dyDescent="0.35">
      <c r="A7" s="1" t="s">
        <v>142</v>
      </c>
      <c r="B7" s="1" t="s">
        <v>140</v>
      </c>
      <c r="C7" s="1" t="s">
        <v>113</v>
      </c>
      <c r="D7" s="1" t="s">
        <v>11</v>
      </c>
      <c r="E7" s="1" t="s">
        <v>11</v>
      </c>
      <c r="F7" s="1" t="s">
        <v>6</v>
      </c>
      <c r="G7" s="1" t="s">
        <v>90</v>
      </c>
      <c r="H7" s="27">
        <v>13.0525</v>
      </c>
      <c r="I7" s="27">
        <v>11.28</v>
      </c>
      <c r="J7" s="27">
        <v>11</v>
      </c>
      <c r="K7" s="27">
        <v>11.5</v>
      </c>
      <c r="L7" s="27">
        <v>12</v>
      </c>
      <c r="M7" s="27">
        <v>11</v>
      </c>
      <c r="N7" s="27">
        <v>10</v>
      </c>
      <c r="O7" s="27">
        <v>10</v>
      </c>
      <c r="P7" s="27">
        <v>10.6</v>
      </c>
      <c r="Q7" s="27">
        <v>11.6</v>
      </c>
      <c r="R7" s="27">
        <v>12.5</v>
      </c>
      <c r="S7" s="27">
        <v>12.5</v>
      </c>
      <c r="T7" s="3">
        <f t="shared" si="0"/>
        <v>137.03249999999997</v>
      </c>
    </row>
    <row r="8" spans="1:20" x14ac:dyDescent="0.35">
      <c r="A8" s="1" t="s">
        <v>142</v>
      </c>
      <c r="B8" s="1" t="s">
        <v>16</v>
      </c>
      <c r="C8" s="1" t="str">
        <f>VLOOKUP(B8,Mapping!A:B,2,0)</f>
        <v>Lateral</v>
      </c>
      <c r="D8" s="1" t="str">
        <f>VLOOKUP(B8,Mapping!A:C,3,0)</f>
        <v>West</v>
      </c>
      <c r="E8" s="1" t="str">
        <f>VLOOKUP(B8,Mapping!A:D,4,0)</f>
        <v>West 1</v>
      </c>
      <c r="F8" s="1" t="str">
        <f>VLOOKUP(B8,Mapping!A:E,5,0)</f>
        <v>Anjli</v>
      </c>
      <c r="G8" s="1" t="str">
        <f>VLOOKUP(B8,Mapping!A:F,6,0)</f>
        <v>Usha</v>
      </c>
      <c r="H8" s="27">
        <v>6.83</v>
      </c>
      <c r="I8" s="27">
        <v>9.0500000000000007</v>
      </c>
      <c r="J8" s="27">
        <v>8.75</v>
      </c>
      <c r="K8" s="27">
        <v>15.166666666666668</v>
      </c>
      <c r="L8" s="27">
        <v>15.166666666666668</v>
      </c>
      <c r="M8" s="27">
        <v>15.166666666666668</v>
      </c>
      <c r="N8" s="27">
        <v>16</v>
      </c>
      <c r="O8" s="27">
        <v>16</v>
      </c>
      <c r="P8" s="27">
        <v>16</v>
      </c>
      <c r="Q8" s="27">
        <v>16.833333333333332</v>
      </c>
      <c r="R8" s="27">
        <v>16.833333333333332</v>
      </c>
      <c r="S8" s="27">
        <v>16.833333333333332</v>
      </c>
      <c r="T8" s="3">
        <f t="shared" si="0"/>
        <v>168.63000000000002</v>
      </c>
    </row>
    <row r="9" spans="1:20" x14ac:dyDescent="0.35">
      <c r="A9" s="1" t="s">
        <v>142</v>
      </c>
      <c r="B9" s="1" t="s">
        <v>17</v>
      </c>
      <c r="C9" s="1" t="str">
        <f>VLOOKUP(B9,Mapping!A:B,2,0)</f>
        <v>Lateral</v>
      </c>
      <c r="D9" s="1" t="str">
        <f>VLOOKUP(B9,Mapping!A:C,3,0)</f>
        <v>West</v>
      </c>
      <c r="E9" s="1" t="str">
        <f>VLOOKUP(B9,Mapping!A:D,4,0)</f>
        <v>West 2</v>
      </c>
      <c r="F9" s="1" t="str">
        <f>VLOOKUP(B9,Mapping!A:E,5,0)</f>
        <v>Anjli</v>
      </c>
      <c r="G9" s="1" t="str">
        <f>VLOOKUP(B9,Mapping!A:F,6,0)</f>
        <v>Shweta</v>
      </c>
      <c r="H9" s="27">
        <v>2.7279200000000001</v>
      </c>
      <c r="I9" s="27">
        <v>3.2114332000000001</v>
      </c>
      <c r="J9" s="27">
        <v>4.3313845999999998</v>
      </c>
      <c r="K9" s="27">
        <v>4</v>
      </c>
      <c r="L9" s="27">
        <v>4</v>
      </c>
      <c r="M9" s="27">
        <v>4</v>
      </c>
      <c r="N9" s="27">
        <v>4.5</v>
      </c>
      <c r="O9" s="27">
        <v>4</v>
      </c>
      <c r="P9" s="27">
        <v>4.5</v>
      </c>
      <c r="Q9" s="27">
        <v>4.5</v>
      </c>
      <c r="R9" s="27">
        <v>4.5</v>
      </c>
      <c r="S9" s="27">
        <v>4</v>
      </c>
      <c r="T9" s="3">
        <f t="shared" si="0"/>
        <v>48.270737799999999</v>
      </c>
    </row>
    <row r="10" spans="1:20" x14ac:dyDescent="0.35">
      <c r="A10" s="1" t="s">
        <v>142</v>
      </c>
      <c r="B10" s="1" t="s">
        <v>18</v>
      </c>
      <c r="C10" s="1" t="str">
        <f>VLOOKUP(B10,Mapping!A:B,2,0)</f>
        <v>Lateral</v>
      </c>
      <c r="D10" s="1" t="str">
        <f>VLOOKUP(B10,Mapping!A:C,3,0)</f>
        <v>West</v>
      </c>
      <c r="E10" s="1" t="str">
        <f>VLOOKUP(B10,Mapping!A:D,4,0)</f>
        <v>West 1</v>
      </c>
      <c r="F10" s="1" t="str">
        <f>VLOOKUP(B10,Mapping!A:E,5,0)</f>
        <v>Anjli</v>
      </c>
      <c r="G10" s="1" t="str">
        <f>VLOOKUP(B10,Mapping!A:F,6,0)</f>
        <v>Geetu</v>
      </c>
      <c r="H10" s="27">
        <v>12.79</v>
      </c>
      <c r="I10" s="27">
        <v>13.3</v>
      </c>
      <c r="J10" s="27">
        <v>13.3</v>
      </c>
      <c r="K10" s="27">
        <v>15.733333333333333</v>
      </c>
      <c r="L10" s="27">
        <v>15.733333333333333</v>
      </c>
      <c r="M10" s="27">
        <v>15.733333333333333</v>
      </c>
      <c r="N10" s="27">
        <v>16.600000000000001</v>
      </c>
      <c r="O10" s="27">
        <v>16.600000000000001</v>
      </c>
      <c r="P10" s="27">
        <v>16.600000000000001</v>
      </c>
      <c r="Q10" s="27">
        <v>15.533333333333333</v>
      </c>
      <c r="R10" s="27">
        <v>15.533333333333333</v>
      </c>
      <c r="S10" s="27">
        <v>15.533333333333333</v>
      </c>
      <c r="T10" s="3">
        <f t="shared" si="0"/>
        <v>182.98999999999998</v>
      </c>
    </row>
    <row r="11" spans="1:20" x14ac:dyDescent="0.35">
      <c r="A11" s="1" t="s">
        <v>142</v>
      </c>
      <c r="B11" s="1" t="s">
        <v>20</v>
      </c>
      <c r="C11" s="1" t="str">
        <f>VLOOKUP(B11,Mapping!A:B,2,0)</f>
        <v>Lateral</v>
      </c>
      <c r="D11" s="1" t="str">
        <f>VLOOKUP(B11,Mapping!A:C,3,0)</f>
        <v>West</v>
      </c>
      <c r="E11" s="1" t="str">
        <f>VLOOKUP(B11,Mapping!A:D,4,0)</f>
        <v>West 1</v>
      </c>
      <c r="F11" s="1" t="str">
        <f>VLOOKUP(B11,Mapping!A:E,5,0)</f>
        <v>Anjli</v>
      </c>
      <c r="G11" s="1" t="str">
        <f>VLOOKUP(B11,Mapping!A:F,6,0)</f>
        <v>Geetu</v>
      </c>
      <c r="H11" s="27">
        <v>0</v>
      </c>
      <c r="I11" s="27">
        <v>0</v>
      </c>
      <c r="J11" s="27">
        <v>0</v>
      </c>
      <c r="K11" s="27">
        <v>0</v>
      </c>
      <c r="L11" s="27">
        <v>0</v>
      </c>
      <c r="M11" s="27">
        <v>0</v>
      </c>
      <c r="N11" s="27">
        <v>0</v>
      </c>
      <c r="O11" s="27">
        <v>0</v>
      </c>
      <c r="P11" s="27">
        <v>0</v>
      </c>
      <c r="Q11" s="27">
        <v>0</v>
      </c>
      <c r="R11" s="27">
        <v>0</v>
      </c>
      <c r="S11" s="27">
        <v>0</v>
      </c>
      <c r="T11" s="3">
        <f t="shared" si="0"/>
        <v>0</v>
      </c>
    </row>
    <row r="12" spans="1:20" x14ac:dyDescent="0.35">
      <c r="A12" s="1" t="s">
        <v>142</v>
      </c>
      <c r="B12" s="1" t="s">
        <v>21</v>
      </c>
      <c r="C12" s="1" t="str">
        <f>VLOOKUP(B12,Mapping!A:B,2,0)</f>
        <v>Lateral</v>
      </c>
      <c r="D12" s="1" t="str">
        <f>VLOOKUP(B12,Mapping!A:C,3,0)</f>
        <v>South</v>
      </c>
      <c r="E12" s="1" t="str">
        <f>VLOOKUP(B12,Mapping!A:D,4,0)</f>
        <v>South 1</v>
      </c>
      <c r="F12" s="1" t="str">
        <f>VLOOKUP(B12,Mapping!A:E,5,0)</f>
        <v>Mahak</v>
      </c>
      <c r="G12" s="1" t="str">
        <f>VLOOKUP(B12,Mapping!A:F,6,0)</f>
        <v>Mahak</v>
      </c>
      <c r="H12" s="27">
        <v>181.56917999999999</v>
      </c>
      <c r="I12" s="27">
        <v>115.71541000000001</v>
      </c>
      <c r="J12" s="27">
        <v>115.71541000000001</v>
      </c>
      <c r="K12" s="27">
        <v>112.66666666666667</v>
      </c>
      <c r="L12" s="27">
        <v>112.66666666666667</v>
      </c>
      <c r="M12" s="27">
        <v>112.66666666666667</v>
      </c>
      <c r="N12" s="27">
        <v>113.19042089999999</v>
      </c>
      <c r="O12" s="27">
        <v>113.19042089999999</v>
      </c>
      <c r="P12" s="27">
        <v>103.19042090000001</v>
      </c>
      <c r="Q12" s="27">
        <v>134.0015889</v>
      </c>
      <c r="R12" s="27">
        <v>134.0015889</v>
      </c>
      <c r="S12" s="27">
        <v>124.0015889</v>
      </c>
      <c r="T12" s="3">
        <f t="shared" si="0"/>
        <v>1472.5760294000002</v>
      </c>
    </row>
    <row r="13" spans="1:20" x14ac:dyDescent="0.35">
      <c r="A13" s="1" t="s">
        <v>142</v>
      </c>
      <c r="B13" s="1" t="s">
        <v>23</v>
      </c>
      <c r="C13" s="1" t="str">
        <f>VLOOKUP(B13,Mapping!A:B,2,0)</f>
        <v>Lateral</v>
      </c>
      <c r="D13" s="1" t="str">
        <f>VLOOKUP(B13,Mapping!A:C,3,0)</f>
        <v>South</v>
      </c>
      <c r="E13" s="1" t="str">
        <f>VLOOKUP(B13,Mapping!A:D,4,0)</f>
        <v>South 1</v>
      </c>
      <c r="F13" s="1" t="str">
        <f>VLOOKUP(B13,Mapping!A:E,5,0)</f>
        <v>Anjli</v>
      </c>
      <c r="G13" s="1" t="str">
        <f>VLOOKUP(B13,Mapping!A:F,6,0)</f>
        <v>Satya</v>
      </c>
      <c r="H13" s="27">
        <v>3.7850000000000001</v>
      </c>
      <c r="I13" s="27">
        <v>5</v>
      </c>
      <c r="J13" s="27">
        <v>6</v>
      </c>
      <c r="K13" s="27">
        <v>5</v>
      </c>
      <c r="L13" s="27">
        <v>5</v>
      </c>
      <c r="M13" s="27">
        <v>5</v>
      </c>
      <c r="N13" s="27">
        <v>6</v>
      </c>
      <c r="O13" s="27">
        <v>7</v>
      </c>
      <c r="P13" s="27">
        <v>7</v>
      </c>
      <c r="Q13" s="27">
        <v>8</v>
      </c>
      <c r="R13" s="27">
        <v>7</v>
      </c>
      <c r="S13" s="27">
        <v>8</v>
      </c>
      <c r="T13" s="3">
        <f t="shared" si="0"/>
        <v>72.784999999999997</v>
      </c>
    </row>
    <row r="14" spans="1:20" x14ac:dyDescent="0.35">
      <c r="A14" s="1" t="s">
        <v>142</v>
      </c>
      <c r="B14" s="1" t="s">
        <v>25</v>
      </c>
      <c r="C14" s="1" t="str">
        <f>VLOOKUP(B14,Mapping!A:B,2,0)</f>
        <v>Lateral</v>
      </c>
      <c r="D14" s="1" t="str">
        <f>VLOOKUP(B14,Mapping!A:C,3,0)</f>
        <v>West</v>
      </c>
      <c r="E14" s="1" t="str">
        <f>VLOOKUP(B14,Mapping!A:D,4,0)</f>
        <v>West 1</v>
      </c>
      <c r="F14" s="1" t="str">
        <f>VLOOKUP(B14,Mapping!A:E,5,0)</f>
        <v>Anjli</v>
      </c>
      <c r="G14" s="1" t="str">
        <f>VLOOKUP(B14,Mapping!A:F,6,0)</f>
        <v>Geetu</v>
      </c>
      <c r="H14" s="27">
        <v>0.9</v>
      </c>
      <c r="I14" s="27">
        <v>0</v>
      </c>
      <c r="J14" s="27">
        <v>0</v>
      </c>
      <c r="K14" s="27">
        <v>0</v>
      </c>
      <c r="L14" s="27">
        <v>0</v>
      </c>
      <c r="M14" s="27">
        <v>0</v>
      </c>
      <c r="N14" s="27">
        <v>0</v>
      </c>
      <c r="O14" s="27">
        <v>0</v>
      </c>
      <c r="P14" s="27">
        <v>0</v>
      </c>
      <c r="Q14" s="27">
        <v>0</v>
      </c>
      <c r="R14" s="27">
        <v>0</v>
      </c>
      <c r="S14" s="27">
        <v>0</v>
      </c>
      <c r="T14" s="3">
        <f t="shared" si="0"/>
        <v>0.9</v>
      </c>
    </row>
    <row r="15" spans="1:20" x14ac:dyDescent="0.35">
      <c r="A15" s="1" t="s">
        <v>142</v>
      </c>
      <c r="B15" s="1" t="s">
        <v>26</v>
      </c>
      <c r="C15" s="1" t="str">
        <f>VLOOKUP(B15,Mapping!A:B,2,0)</f>
        <v>Lateral</v>
      </c>
      <c r="D15" s="1" t="str">
        <f>VLOOKUP(B15,Mapping!A:C,3,0)</f>
        <v>South</v>
      </c>
      <c r="E15" s="1" t="str">
        <f>VLOOKUP(B15,Mapping!A:D,4,0)</f>
        <v>South 2</v>
      </c>
      <c r="F15" s="1" t="str">
        <f>VLOOKUP(B15,Mapping!A:E,5,0)</f>
        <v>Sulabh</v>
      </c>
      <c r="G15" s="1" t="str">
        <f>VLOOKUP(B15,Mapping!A:F,6,0)</f>
        <v>Krishna</v>
      </c>
      <c r="H15" s="27">
        <v>4.5916899999999998</v>
      </c>
      <c r="I15" s="27">
        <v>4</v>
      </c>
      <c r="J15" s="27">
        <v>5</v>
      </c>
      <c r="K15" s="27">
        <v>1.3333333333333333</v>
      </c>
      <c r="L15" s="27">
        <v>1.3333333333333333</v>
      </c>
      <c r="M15" s="27">
        <v>1.3333333333333333</v>
      </c>
      <c r="N15" s="27">
        <v>4</v>
      </c>
      <c r="O15" s="27">
        <v>4</v>
      </c>
      <c r="P15" s="27">
        <v>3</v>
      </c>
      <c r="Q15" s="27">
        <v>3</v>
      </c>
      <c r="R15" s="27">
        <v>4</v>
      </c>
      <c r="S15" s="27">
        <v>5</v>
      </c>
      <c r="T15" s="3">
        <f t="shared" si="0"/>
        <v>40.59169</v>
      </c>
    </row>
    <row r="16" spans="1:20" x14ac:dyDescent="0.35">
      <c r="A16" s="1" t="s">
        <v>142</v>
      </c>
      <c r="B16" s="1" t="s">
        <v>28</v>
      </c>
      <c r="C16" s="1" t="str">
        <f>VLOOKUP(B16,Mapping!A:B,2,0)</f>
        <v>Lateral</v>
      </c>
      <c r="D16" s="1" t="str">
        <f>VLOOKUP(B16,Mapping!A:C,3,0)</f>
        <v>West</v>
      </c>
      <c r="E16" s="1" t="str">
        <f>VLOOKUP(B16,Mapping!A:D,4,0)</f>
        <v>West 1</v>
      </c>
      <c r="F16" s="1" t="str">
        <f>VLOOKUP(B16,Mapping!A:E,5,0)</f>
        <v>Anjli</v>
      </c>
      <c r="G16" s="1" t="str">
        <f>VLOOKUP(B16,Mapping!A:F,6,0)</f>
        <v>Dhriti</v>
      </c>
      <c r="H16" s="27">
        <v>119.60778230000001</v>
      </c>
      <c r="I16" s="27">
        <v>121</v>
      </c>
      <c r="J16" s="27">
        <v>140</v>
      </c>
      <c r="K16" s="27">
        <v>110</v>
      </c>
      <c r="L16" s="27">
        <v>110</v>
      </c>
      <c r="M16" s="27">
        <v>110</v>
      </c>
      <c r="N16" s="27">
        <v>120</v>
      </c>
      <c r="O16" s="27">
        <v>120</v>
      </c>
      <c r="P16" s="27">
        <v>120</v>
      </c>
      <c r="Q16" s="27">
        <v>130</v>
      </c>
      <c r="R16" s="27">
        <v>130</v>
      </c>
      <c r="S16" s="27">
        <v>130</v>
      </c>
      <c r="T16" s="3">
        <f t="shared" si="0"/>
        <v>1460.6077823000001</v>
      </c>
    </row>
    <row r="17" spans="1:20" x14ac:dyDescent="0.35">
      <c r="A17" s="1" t="s">
        <v>142</v>
      </c>
      <c r="B17" s="1" t="s">
        <v>29</v>
      </c>
      <c r="C17" s="1" t="str">
        <f>VLOOKUP(B17,Mapping!A:B,2,0)</f>
        <v>Lateral</v>
      </c>
      <c r="D17" s="1" t="str">
        <f>VLOOKUP(B17,Mapping!A:C,3,0)</f>
        <v>South</v>
      </c>
      <c r="E17" s="1" t="str">
        <f>VLOOKUP(B17,Mapping!A:D,4,0)</f>
        <v>South 2</v>
      </c>
      <c r="F17" s="1" t="str">
        <f>VLOOKUP(B17,Mapping!A:E,5,0)</f>
        <v>Sulabh</v>
      </c>
      <c r="G17" s="1" t="str">
        <f>VLOOKUP(B17,Mapping!A:F,6,0)</f>
        <v>Krishna</v>
      </c>
      <c r="H17" s="27">
        <v>0</v>
      </c>
      <c r="I17" s="27">
        <v>0</v>
      </c>
      <c r="J17" s="27">
        <v>0</v>
      </c>
      <c r="K17" s="27">
        <v>0</v>
      </c>
      <c r="L17" s="27">
        <v>0</v>
      </c>
      <c r="M17" s="27">
        <v>0</v>
      </c>
      <c r="N17" s="27">
        <v>0</v>
      </c>
      <c r="O17" s="27">
        <v>0</v>
      </c>
      <c r="P17" s="27">
        <v>0</v>
      </c>
      <c r="Q17" s="27">
        <v>0</v>
      </c>
      <c r="R17" s="27">
        <v>0</v>
      </c>
      <c r="S17" s="27">
        <v>0</v>
      </c>
      <c r="T17" s="3">
        <f t="shared" si="0"/>
        <v>0</v>
      </c>
    </row>
    <row r="18" spans="1:20" x14ac:dyDescent="0.35">
      <c r="A18" s="1" t="s">
        <v>142</v>
      </c>
      <c r="B18" s="1" t="s">
        <v>30</v>
      </c>
      <c r="C18" s="1" t="str">
        <f>VLOOKUP(B18,Mapping!A:B,2,0)</f>
        <v>Lateral</v>
      </c>
      <c r="D18" s="1" t="str">
        <f>VLOOKUP(B18,Mapping!A:C,3,0)</f>
        <v>South</v>
      </c>
      <c r="E18" s="1" t="str">
        <f>VLOOKUP(B18,Mapping!A:D,4,0)</f>
        <v>South 1</v>
      </c>
      <c r="F18" s="1" t="str">
        <f>VLOOKUP(B18,Mapping!A:E,5,0)</f>
        <v>Sulabh</v>
      </c>
      <c r="G18" s="1" t="str">
        <f>VLOOKUP(B18,Mapping!A:F,6,0)</f>
        <v>Subu</v>
      </c>
      <c r="H18" s="27">
        <v>39.987499999999997</v>
      </c>
      <c r="I18" s="27">
        <v>23</v>
      </c>
      <c r="J18" s="27">
        <v>23</v>
      </c>
      <c r="K18" s="27">
        <v>23</v>
      </c>
      <c r="L18" s="27">
        <v>23</v>
      </c>
      <c r="M18" s="27">
        <v>23</v>
      </c>
      <c r="N18" s="27">
        <v>40</v>
      </c>
      <c r="O18" s="27">
        <v>30</v>
      </c>
      <c r="P18" s="27">
        <v>30</v>
      </c>
      <c r="Q18" s="27">
        <v>60</v>
      </c>
      <c r="R18" s="27">
        <v>60</v>
      </c>
      <c r="S18" s="27">
        <v>30</v>
      </c>
      <c r="T18" s="3">
        <f t="shared" si="0"/>
        <v>404.98750000000001</v>
      </c>
    </row>
    <row r="19" spans="1:20" x14ac:dyDescent="0.35">
      <c r="A19" s="1" t="s">
        <v>142</v>
      </c>
      <c r="B19" s="1" t="s">
        <v>32</v>
      </c>
      <c r="C19" s="1" t="str">
        <f>VLOOKUP(B19,Mapping!A:B,2,0)</f>
        <v>Lateral</v>
      </c>
      <c r="D19" s="1" t="str">
        <f>VLOOKUP(B19,Mapping!A:C,3,0)</f>
        <v>West</v>
      </c>
      <c r="E19" s="1" t="str">
        <f>VLOOKUP(B19,Mapping!A:D,4,0)</f>
        <v>West 2</v>
      </c>
      <c r="F19" s="1" t="str">
        <f>VLOOKUP(B19,Mapping!A:E,5,0)</f>
        <v>Anjli</v>
      </c>
      <c r="G19" s="1" t="str">
        <f>VLOOKUP(B19,Mapping!A:F,6,0)</f>
        <v>Anjli</v>
      </c>
      <c r="H19" s="27">
        <v>0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  <c r="N19" s="27">
        <v>0</v>
      </c>
      <c r="O19" s="27">
        <v>0</v>
      </c>
      <c r="P19" s="27">
        <v>0</v>
      </c>
      <c r="Q19" s="27">
        <v>0</v>
      </c>
      <c r="R19" s="27">
        <v>0</v>
      </c>
      <c r="S19" s="27">
        <v>0</v>
      </c>
      <c r="T19" s="3">
        <f t="shared" si="0"/>
        <v>0</v>
      </c>
    </row>
    <row r="20" spans="1:20" x14ac:dyDescent="0.35">
      <c r="A20" s="1" t="s">
        <v>142</v>
      </c>
      <c r="B20" s="1" t="s">
        <v>33</v>
      </c>
      <c r="C20" s="1" t="str">
        <f>VLOOKUP(B20,Mapping!A:B,2,0)</f>
        <v>Lateral</v>
      </c>
      <c r="D20" s="1" t="str">
        <f>VLOOKUP(B20,Mapping!A:C,3,0)</f>
        <v>West</v>
      </c>
      <c r="E20" s="1" t="str">
        <f>VLOOKUP(B20,Mapping!A:D,4,0)</f>
        <v>West 1</v>
      </c>
      <c r="F20" s="1" t="str">
        <f>VLOOKUP(B20,Mapping!A:E,5,0)</f>
        <v>Anjli</v>
      </c>
      <c r="G20" s="1" t="str">
        <f>VLOOKUP(B20,Mapping!A:F,6,0)</f>
        <v>Geetu</v>
      </c>
      <c r="H20" s="27">
        <v>6.9908000000000001</v>
      </c>
      <c r="I20" s="27">
        <v>14.080000000000002</v>
      </c>
      <c r="J20" s="27">
        <v>6.44</v>
      </c>
      <c r="K20" s="27">
        <v>9.2883333333333322</v>
      </c>
      <c r="L20" s="27">
        <v>9.2883333333333322</v>
      </c>
      <c r="M20" s="27">
        <v>9.2883333333333322</v>
      </c>
      <c r="N20" s="27">
        <v>8.5449999999999999</v>
      </c>
      <c r="O20" s="27">
        <v>8.5449999999999999</v>
      </c>
      <c r="P20" s="27">
        <v>8.5449999999999999</v>
      </c>
      <c r="Q20" s="27">
        <v>7.9033333333333333</v>
      </c>
      <c r="R20" s="27">
        <v>7.9033333333333333</v>
      </c>
      <c r="S20" s="27">
        <v>7.9033333333333333</v>
      </c>
      <c r="T20" s="3">
        <f t="shared" si="0"/>
        <v>104.72080000000001</v>
      </c>
    </row>
    <row r="21" spans="1:20" x14ac:dyDescent="0.35">
      <c r="A21" s="1" t="s">
        <v>142</v>
      </c>
      <c r="B21" s="1" t="s">
        <v>34</v>
      </c>
      <c r="C21" s="1" t="str">
        <f>VLOOKUP(B21,Mapping!A:B,2,0)</f>
        <v>Lateral</v>
      </c>
      <c r="D21" s="1" t="str">
        <f>VLOOKUP(B21,Mapping!A:C,3,0)</f>
        <v>South</v>
      </c>
      <c r="E21" s="1" t="str">
        <f>VLOOKUP(B21,Mapping!A:D,4,0)</f>
        <v>South 1</v>
      </c>
      <c r="F21" s="1" t="str">
        <f>VLOOKUP(B21,Mapping!A:E,5,0)</f>
        <v>Sulabh</v>
      </c>
      <c r="G21" s="1" t="str">
        <f>VLOOKUP(B21,Mapping!A:F,6,0)</f>
        <v>Satya</v>
      </c>
      <c r="H21" s="27">
        <v>0</v>
      </c>
      <c r="I21" s="27">
        <v>0</v>
      </c>
      <c r="J21" s="27">
        <v>0</v>
      </c>
      <c r="K21" s="27">
        <v>0</v>
      </c>
      <c r="L21" s="27">
        <v>0</v>
      </c>
      <c r="M21" s="27">
        <v>0</v>
      </c>
      <c r="N21" s="27">
        <v>0</v>
      </c>
      <c r="O21" s="27">
        <v>0</v>
      </c>
      <c r="P21" s="27">
        <v>0</v>
      </c>
      <c r="Q21" s="27">
        <v>0</v>
      </c>
      <c r="R21" s="27">
        <v>0</v>
      </c>
      <c r="S21" s="27">
        <v>0</v>
      </c>
      <c r="T21" s="3">
        <f t="shared" si="0"/>
        <v>0</v>
      </c>
    </row>
    <row r="22" spans="1:20" x14ac:dyDescent="0.35">
      <c r="A22" s="1" t="s">
        <v>142</v>
      </c>
      <c r="B22" s="1" t="s">
        <v>35</v>
      </c>
      <c r="C22" s="1" t="str">
        <f>VLOOKUP(B22,Mapping!A:B,2,0)</f>
        <v>Lateral</v>
      </c>
      <c r="D22" s="1" t="str">
        <f>VLOOKUP(B22,Mapping!A:C,3,0)</f>
        <v>West</v>
      </c>
      <c r="E22" s="1" t="str">
        <f>VLOOKUP(B22,Mapping!A:D,4,0)</f>
        <v>West 1</v>
      </c>
      <c r="F22" s="1" t="str">
        <f>VLOOKUP(B22,Mapping!A:E,5,0)</f>
        <v>Anjli</v>
      </c>
      <c r="G22" s="1" t="str">
        <f>VLOOKUP(B22,Mapping!A:F,6,0)</f>
        <v>Alifia</v>
      </c>
      <c r="H22" s="27">
        <v>26.27983</v>
      </c>
      <c r="I22" s="27">
        <v>28.880000000000003</v>
      </c>
      <c r="J22" s="27">
        <v>52.88</v>
      </c>
      <c r="K22" s="27">
        <v>30</v>
      </c>
      <c r="L22" s="27">
        <v>30</v>
      </c>
      <c r="M22" s="27">
        <v>30</v>
      </c>
      <c r="N22" s="27">
        <v>30</v>
      </c>
      <c r="O22" s="27">
        <v>30</v>
      </c>
      <c r="P22" s="27">
        <v>30</v>
      </c>
      <c r="Q22" s="27">
        <v>30</v>
      </c>
      <c r="R22" s="27">
        <v>30</v>
      </c>
      <c r="S22" s="27">
        <v>30</v>
      </c>
      <c r="T22" s="3">
        <f t="shared" si="0"/>
        <v>378.03982999999999</v>
      </c>
    </row>
    <row r="23" spans="1:20" x14ac:dyDescent="0.35">
      <c r="A23" s="1" t="s">
        <v>142</v>
      </c>
      <c r="B23" s="1" t="s">
        <v>37</v>
      </c>
      <c r="C23" s="1" t="str">
        <f>VLOOKUP(B23,Mapping!A:B,2,0)</f>
        <v>Lateral</v>
      </c>
      <c r="D23" s="1" t="str">
        <f>VLOOKUP(B23,Mapping!A:C,3,0)</f>
        <v>South</v>
      </c>
      <c r="E23" s="1" t="str">
        <f>VLOOKUP(B23,Mapping!A:D,4,0)</f>
        <v>South 2</v>
      </c>
      <c r="F23" s="1" t="str">
        <f>VLOOKUP(B23,Mapping!A:E,5,0)</f>
        <v>Sulabh</v>
      </c>
      <c r="G23" s="1" t="str">
        <f>VLOOKUP(B23,Mapping!A:F,6,0)</f>
        <v>Subu</v>
      </c>
      <c r="H23" s="27">
        <v>0.68445</v>
      </c>
      <c r="I23" s="27">
        <v>1</v>
      </c>
      <c r="J23" s="27">
        <v>1</v>
      </c>
      <c r="K23" s="27">
        <v>0.83333333333333337</v>
      </c>
      <c r="L23" s="27">
        <v>0.83333333333333337</v>
      </c>
      <c r="M23" s="27">
        <v>0.83333333333333337</v>
      </c>
      <c r="N23" s="27">
        <v>0</v>
      </c>
      <c r="O23" s="27">
        <v>0</v>
      </c>
      <c r="P23" s="27">
        <v>0</v>
      </c>
      <c r="Q23" s="27">
        <v>0</v>
      </c>
      <c r="R23" s="27">
        <v>0</v>
      </c>
      <c r="S23" s="27">
        <v>0</v>
      </c>
      <c r="T23" s="3">
        <f t="shared" si="0"/>
        <v>5.18445</v>
      </c>
    </row>
    <row r="24" spans="1:20" x14ac:dyDescent="0.35">
      <c r="A24" s="1" t="s">
        <v>142</v>
      </c>
      <c r="B24" s="1" t="s">
        <v>38</v>
      </c>
      <c r="C24" s="1" t="str">
        <f>VLOOKUP(B24,Mapping!A:B,2,0)</f>
        <v>Lateral</v>
      </c>
      <c r="D24" s="1" t="str">
        <f>VLOOKUP(B24,Mapping!A:C,3,0)</f>
        <v>North</v>
      </c>
      <c r="E24" s="1" t="str">
        <f>VLOOKUP(B24,Mapping!A:D,4,0)</f>
        <v>North</v>
      </c>
      <c r="F24" s="1" t="str">
        <f>VLOOKUP(B24,Mapping!A:E,5,0)</f>
        <v>Anjli</v>
      </c>
      <c r="G24" s="1" t="str">
        <f>VLOOKUP(B24,Mapping!A:F,6,0)</f>
        <v>Archana</v>
      </c>
      <c r="H24" s="27">
        <v>1.6505700000000001</v>
      </c>
      <c r="I24" s="27">
        <v>2.4</v>
      </c>
      <c r="J24" s="27">
        <v>4.8499999999999996</v>
      </c>
      <c r="K24" s="27">
        <v>10</v>
      </c>
      <c r="L24" s="27">
        <v>12</v>
      </c>
      <c r="M24" s="27">
        <v>7</v>
      </c>
      <c r="N24" s="27">
        <v>10</v>
      </c>
      <c r="O24" s="27">
        <v>7</v>
      </c>
      <c r="P24" s="27">
        <v>12</v>
      </c>
      <c r="Q24" s="27">
        <v>10</v>
      </c>
      <c r="R24" s="27">
        <v>10</v>
      </c>
      <c r="S24" s="27">
        <v>10</v>
      </c>
      <c r="T24" s="3">
        <f t="shared" si="0"/>
        <v>96.900570000000002</v>
      </c>
    </row>
    <row r="25" spans="1:20" x14ac:dyDescent="0.35">
      <c r="A25" s="1" t="s">
        <v>142</v>
      </c>
      <c r="B25" s="1" t="s">
        <v>39</v>
      </c>
      <c r="C25" s="1" t="str">
        <f>VLOOKUP(B25,Mapping!A:B,2,0)</f>
        <v>Lateral</v>
      </c>
      <c r="D25" s="1" t="str">
        <f>VLOOKUP(B25,Mapping!A:C,3,0)</f>
        <v>South</v>
      </c>
      <c r="E25" s="1" t="str">
        <f>VLOOKUP(B25,Mapping!A:D,4,0)</f>
        <v>South 2</v>
      </c>
      <c r="F25" s="1" t="str">
        <f>VLOOKUP(B25,Mapping!A:E,5,0)</f>
        <v>Sulabh</v>
      </c>
      <c r="G25" s="1" t="str">
        <f>VLOOKUP(B25,Mapping!A:F,6,0)</f>
        <v>Krishna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3">
        <f t="shared" si="0"/>
        <v>0</v>
      </c>
    </row>
    <row r="26" spans="1:20" x14ac:dyDescent="0.35">
      <c r="A26" s="1" t="s">
        <v>142</v>
      </c>
      <c r="B26" s="1" t="s">
        <v>40</v>
      </c>
      <c r="C26" s="1" t="str">
        <f>VLOOKUP(B26,Mapping!A:B,2,0)</f>
        <v>Lateral</v>
      </c>
      <c r="D26" s="1" t="str">
        <f>VLOOKUP(B26,Mapping!A:C,3,0)</f>
        <v>West</v>
      </c>
      <c r="E26" s="1" t="str">
        <f>VLOOKUP(B26,Mapping!A:D,4,0)</f>
        <v>West 2</v>
      </c>
      <c r="F26" s="1" t="str">
        <f>VLOOKUP(B26,Mapping!A:E,5,0)</f>
        <v>Anjli</v>
      </c>
      <c r="G26" s="1" t="str">
        <f>VLOOKUP(B26,Mapping!A:F,6,0)</f>
        <v>Shweta</v>
      </c>
      <c r="H26" s="27">
        <v>10.015700000000001</v>
      </c>
      <c r="I26" s="27">
        <v>10.74</v>
      </c>
      <c r="J26" s="27">
        <v>9.74</v>
      </c>
      <c r="K26" s="27">
        <v>7</v>
      </c>
      <c r="L26" s="27">
        <v>7.5</v>
      </c>
      <c r="M26" s="27">
        <v>7.5</v>
      </c>
      <c r="N26" s="27">
        <v>7.5</v>
      </c>
      <c r="O26" s="27">
        <v>7.5</v>
      </c>
      <c r="P26" s="27">
        <v>7</v>
      </c>
      <c r="Q26" s="27">
        <v>7.5</v>
      </c>
      <c r="R26" s="27">
        <v>7</v>
      </c>
      <c r="S26" s="27">
        <v>7</v>
      </c>
      <c r="T26" s="3">
        <f t="shared" si="0"/>
        <v>95.995699999999999</v>
      </c>
    </row>
    <row r="27" spans="1:20" x14ac:dyDescent="0.35">
      <c r="A27" s="1" t="s">
        <v>142</v>
      </c>
      <c r="B27" s="1" t="s">
        <v>41</v>
      </c>
      <c r="C27" s="1" t="str">
        <f>VLOOKUP(B27,Mapping!A:B,2,0)</f>
        <v>Lateral</v>
      </c>
      <c r="D27" s="1" t="str">
        <f>VLOOKUP(B27,Mapping!A:C,3,0)</f>
        <v>South</v>
      </c>
      <c r="E27" s="1" t="str">
        <f>VLOOKUP(B27,Mapping!A:D,4,0)</f>
        <v>South 2</v>
      </c>
      <c r="F27" s="1" t="str">
        <f>VLOOKUP(B27,Mapping!A:E,5,0)</f>
        <v>Sulabh</v>
      </c>
      <c r="G27" s="1" t="str">
        <f>VLOOKUP(B27,Mapping!A:F,6,0)</f>
        <v>Krishna</v>
      </c>
      <c r="H27" s="27">
        <v>24.223479999999999</v>
      </c>
      <c r="I27" s="27">
        <v>16</v>
      </c>
      <c r="J27" s="27">
        <v>18</v>
      </c>
      <c r="K27" s="27">
        <v>16</v>
      </c>
      <c r="L27" s="27">
        <v>16</v>
      </c>
      <c r="M27" s="27">
        <v>16</v>
      </c>
      <c r="N27" s="27">
        <v>16</v>
      </c>
      <c r="O27" s="27">
        <v>16</v>
      </c>
      <c r="P27" s="27">
        <v>16</v>
      </c>
      <c r="Q27" s="27">
        <v>16</v>
      </c>
      <c r="R27" s="27">
        <v>16</v>
      </c>
      <c r="S27" s="27">
        <v>16</v>
      </c>
      <c r="T27" s="3">
        <f t="shared" si="0"/>
        <v>202.22348</v>
      </c>
    </row>
    <row r="28" spans="1:20" x14ac:dyDescent="0.35">
      <c r="A28" s="1" t="s">
        <v>142</v>
      </c>
      <c r="B28" s="1" t="s">
        <v>42</v>
      </c>
      <c r="C28" s="1" t="str">
        <f>VLOOKUP(B28,Mapping!A:B,2,0)</f>
        <v>Lateral</v>
      </c>
      <c r="D28" s="1" t="str">
        <f>VLOOKUP(B28,Mapping!A:C,3,0)</f>
        <v>North</v>
      </c>
      <c r="E28" s="1" t="str">
        <f>VLOOKUP(B28,Mapping!A:D,4,0)</f>
        <v>North</v>
      </c>
      <c r="F28" s="1" t="str">
        <f>VLOOKUP(B28,Mapping!A:E,5,0)</f>
        <v>Anjli</v>
      </c>
      <c r="G28" s="1" t="str">
        <f>VLOOKUP(B28,Mapping!A:F,6,0)</f>
        <v>Archana</v>
      </c>
      <c r="H28" s="27">
        <v>10.29</v>
      </c>
      <c r="I28" s="27">
        <v>13.3</v>
      </c>
      <c r="J28" s="27">
        <v>10.1</v>
      </c>
      <c r="K28" s="27">
        <v>15</v>
      </c>
      <c r="L28" s="27">
        <v>15</v>
      </c>
      <c r="M28" s="27">
        <v>20</v>
      </c>
      <c r="N28" s="27">
        <v>18</v>
      </c>
      <c r="O28" s="27">
        <v>20</v>
      </c>
      <c r="P28" s="27">
        <v>20</v>
      </c>
      <c r="Q28" s="27">
        <v>8</v>
      </c>
      <c r="R28" s="27">
        <v>15</v>
      </c>
      <c r="S28" s="27">
        <v>15</v>
      </c>
      <c r="T28" s="3">
        <f t="shared" si="0"/>
        <v>179.69</v>
      </c>
    </row>
    <row r="29" spans="1:20" x14ac:dyDescent="0.35">
      <c r="A29" s="1" t="s">
        <v>142</v>
      </c>
      <c r="B29" s="1" t="s">
        <v>43</v>
      </c>
      <c r="C29" s="1" t="str">
        <f>VLOOKUP(B29,Mapping!A:B,2,0)</f>
        <v>Lateral</v>
      </c>
      <c r="D29" s="1" t="str">
        <f>VLOOKUP(B29,Mapping!A:C,3,0)</f>
        <v>West</v>
      </c>
      <c r="E29" s="1" t="str">
        <f>VLOOKUP(B29,Mapping!A:D,4,0)</f>
        <v>West 2</v>
      </c>
      <c r="F29" s="1" t="str">
        <f>VLOOKUP(B29,Mapping!A:E,5,0)</f>
        <v>Anjli</v>
      </c>
      <c r="G29" s="1" t="str">
        <f>VLOOKUP(B29,Mapping!A:F,6,0)</f>
        <v>Shweta</v>
      </c>
      <c r="H29" s="27">
        <v>5.4947099999999995</v>
      </c>
      <c r="I29" s="27">
        <v>6.48</v>
      </c>
      <c r="J29" s="27">
        <v>26.676000000000002</v>
      </c>
      <c r="K29" s="27">
        <v>5</v>
      </c>
      <c r="L29" s="27">
        <v>5.5</v>
      </c>
      <c r="M29" s="27">
        <v>5.5</v>
      </c>
      <c r="N29" s="27">
        <v>5</v>
      </c>
      <c r="O29" s="27">
        <v>5.5</v>
      </c>
      <c r="P29" s="27">
        <v>5.5</v>
      </c>
      <c r="Q29" s="27">
        <v>5</v>
      </c>
      <c r="R29" s="27">
        <v>5.5</v>
      </c>
      <c r="S29" s="27">
        <v>5.5</v>
      </c>
      <c r="T29" s="3">
        <f t="shared" si="0"/>
        <v>86.650710000000004</v>
      </c>
    </row>
    <row r="30" spans="1:20" x14ac:dyDescent="0.35">
      <c r="A30" s="1" t="s">
        <v>142</v>
      </c>
      <c r="B30" s="1" t="s">
        <v>44</v>
      </c>
      <c r="C30" s="1" t="str">
        <f>VLOOKUP(B30,Mapping!A:B,2,0)</f>
        <v>Lateral</v>
      </c>
      <c r="D30" s="1" t="str">
        <f>VLOOKUP(B30,Mapping!A:C,3,0)</f>
        <v>North</v>
      </c>
      <c r="E30" s="1" t="str">
        <f>VLOOKUP(B30,Mapping!A:D,4,0)</f>
        <v>North</v>
      </c>
      <c r="F30" s="1" t="str">
        <f>VLOOKUP(B30,Mapping!A:E,5,0)</f>
        <v>Anjli</v>
      </c>
      <c r="G30" s="1" t="str">
        <f>VLOOKUP(B30,Mapping!A:F,6,0)</f>
        <v>Archana</v>
      </c>
      <c r="H30" s="27">
        <v>26.5</v>
      </c>
      <c r="I30" s="27">
        <v>33</v>
      </c>
      <c r="J30" s="27">
        <v>24</v>
      </c>
      <c r="K30" s="27">
        <v>42</v>
      </c>
      <c r="L30" s="27">
        <v>43</v>
      </c>
      <c r="M30" s="27">
        <v>42</v>
      </c>
      <c r="N30" s="27">
        <v>43</v>
      </c>
      <c r="O30" s="27">
        <v>45</v>
      </c>
      <c r="P30" s="27">
        <v>45</v>
      </c>
      <c r="Q30" s="27">
        <v>40</v>
      </c>
      <c r="R30" s="27">
        <v>40</v>
      </c>
      <c r="S30" s="27">
        <v>40</v>
      </c>
      <c r="T30" s="3">
        <f t="shared" si="0"/>
        <v>463.5</v>
      </c>
    </row>
    <row r="31" spans="1:20" x14ac:dyDescent="0.35">
      <c r="A31" s="1" t="s">
        <v>142</v>
      </c>
      <c r="B31" s="1" t="s">
        <v>45</v>
      </c>
      <c r="C31" s="1" t="str">
        <f>VLOOKUP(B31,Mapping!A:B,2,0)</f>
        <v>Lateral</v>
      </c>
      <c r="D31" s="1" t="str">
        <f>VLOOKUP(B31,Mapping!A:C,3,0)</f>
        <v>South</v>
      </c>
      <c r="E31" s="1" t="str">
        <f>VLOOKUP(B31,Mapping!A:D,4,0)</f>
        <v>South 2</v>
      </c>
      <c r="F31" s="1" t="str">
        <f>VLOOKUP(B31,Mapping!A:E,5,0)</f>
        <v>Sulabh</v>
      </c>
      <c r="G31" s="1" t="str">
        <f>VLOOKUP(B31,Mapping!A:F,6,0)</f>
        <v>Krishna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  <c r="N31" s="27">
        <v>0</v>
      </c>
      <c r="O31" s="27">
        <v>0</v>
      </c>
      <c r="P31" s="27">
        <v>0</v>
      </c>
      <c r="Q31" s="27">
        <v>0</v>
      </c>
      <c r="R31" s="27">
        <v>0</v>
      </c>
      <c r="S31" s="27">
        <v>0</v>
      </c>
      <c r="T31" s="3">
        <f t="shared" si="0"/>
        <v>0</v>
      </c>
    </row>
    <row r="32" spans="1:20" x14ac:dyDescent="0.35">
      <c r="A32" s="1" t="s">
        <v>142</v>
      </c>
      <c r="B32" s="1" t="s">
        <v>46</v>
      </c>
      <c r="C32" s="1" t="str">
        <f>VLOOKUP(B32,Mapping!A:B,2,0)</f>
        <v>Lateral</v>
      </c>
      <c r="D32" s="1" t="str">
        <f>VLOOKUP(B32,Mapping!A:C,3,0)</f>
        <v>West</v>
      </c>
      <c r="E32" s="1" t="str">
        <f>VLOOKUP(B32,Mapping!A:D,4,0)</f>
        <v>West 1</v>
      </c>
      <c r="F32" s="1" t="str">
        <f>VLOOKUP(B32,Mapping!A:E,5,0)</f>
        <v>Anjli</v>
      </c>
      <c r="G32" s="1" t="str">
        <f>VLOOKUP(B32,Mapping!A:F,6,0)</f>
        <v>Geetu</v>
      </c>
      <c r="H32" s="27">
        <v>30.8</v>
      </c>
      <c r="I32" s="27">
        <v>30.77</v>
      </c>
      <c r="J32" s="27">
        <v>21.5</v>
      </c>
      <c r="K32" s="27">
        <v>21.13</v>
      </c>
      <c r="L32" s="27">
        <v>21.13</v>
      </c>
      <c r="M32" s="27">
        <v>21.13</v>
      </c>
      <c r="N32" s="27">
        <v>19.7</v>
      </c>
      <c r="O32" s="27">
        <v>19.7</v>
      </c>
      <c r="P32" s="27">
        <v>19.7</v>
      </c>
      <c r="Q32" s="27">
        <v>20.25</v>
      </c>
      <c r="R32" s="27">
        <v>20.25</v>
      </c>
      <c r="S32" s="27">
        <v>20.25</v>
      </c>
      <c r="T32" s="3">
        <f t="shared" si="0"/>
        <v>266.30999999999995</v>
      </c>
    </row>
    <row r="33" spans="1:20" x14ac:dyDescent="0.35">
      <c r="A33" s="1" t="s">
        <v>142</v>
      </c>
      <c r="B33" s="1" t="s">
        <v>47</v>
      </c>
      <c r="C33" s="1" t="str">
        <f>VLOOKUP(B33,Mapping!A:B,2,0)</f>
        <v>Lateral</v>
      </c>
      <c r="D33" s="1" t="str">
        <f>VLOOKUP(B33,Mapping!A:C,3,0)</f>
        <v>West</v>
      </c>
      <c r="E33" s="1" t="str">
        <f>VLOOKUP(B33,Mapping!A:D,4,0)</f>
        <v>West 1</v>
      </c>
      <c r="F33" s="1" t="str">
        <f>VLOOKUP(B33,Mapping!A:E,5,0)</f>
        <v>Anjli</v>
      </c>
      <c r="G33" s="1" t="str">
        <f>VLOOKUP(B33,Mapping!A:F,6,0)</f>
        <v>Geetu</v>
      </c>
      <c r="H33" s="27">
        <v>0</v>
      </c>
      <c r="I33" s="27">
        <v>0</v>
      </c>
      <c r="J33" s="27">
        <v>0</v>
      </c>
      <c r="K33" s="27">
        <v>1</v>
      </c>
      <c r="L33" s="27">
        <v>1.5</v>
      </c>
      <c r="M33" s="27">
        <v>1</v>
      </c>
      <c r="N33" s="27">
        <v>1</v>
      </c>
      <c r="O33" s="27">
        <v>1</v>
      </c>
      <c r="P33" s="27">
        <v>1.5</v>
      </c>
      <c r="Q33" s="27">
        <v>1</v>
      </c>
      <c r="R33" s="27">
        <v>1</v>
      </c>
      <c r="S33" s="27">
        <v>1</v>
      </c>
      <c r="T33" s="3">
        <f t="shared" si="0"/>
        <v>10</v>
      </c>
    </row>
    <row r="34" spans="1:20" x14ac:dyDescent="0.35">
      <c r="A34" s="1" t="s">
        <v>142</v>
      </c>
      <c r="B34" s="1" t="s">
        <v>48</v>
      </c>
      <c r="C34" s="1" t="str">
        <f>VLOOKUP(B34,Mapping!A:B,2,0)</f>
        <v>Lateral</v>
      </c>
      <c r="D34" s="1" t="str">
        <f>VLOOKUP(B34,Mapping!A:C,3,0)</f>
        <v>West</v>
      </c>
      <c r="E34" s="1" t="str">
        <f>VLOOKUP(B34,Mapping!A:D,4,0)</f>
        <v>West 1</v>
      </c>
      <c r="F34" s="1" t="str">
        <f>VLOOKUP(B34,Mapping!A:E,5,0)</f>
        <v>Anjli</v>
      </c>
      <c r="G34" s="1" t="str">
        <f>VLOOKUP(B34,Mapping!A:F,6,0)</f>
        <v>Geetu</v>
      </c>
      <c r="H34" s="27">
        <v>0</v>
      </c>
      <c r="I34" s="27">
        <v>3.22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3">
        <f t="shared" si="0"/>
        <v>3.22</v>
      </c>
    </row>
    <row r="35" spans="1:20" x14ac:dyDescent="0.35">
      <c r="A35" s="1" t="s">
        <v>142</v>
      </c>
      <c r="B35" s="1" t="s">
        <v>49</v>
      </c>
      <c r="C35" s="1" t="str">
        <f>VLOOKUP(B35,Mapping!A:B,2,0)</f>
        <v>Lateral</v>
      </c>
      <c r="D35" s="1" t="str">
        <f>VLOOKUP(B35,Mapping!A:C,3,0)</f>
        <v>North</v>
      </c>
      <c r="E35" s="1" t="str">
        <f>VLOOKUP(B35,Mapping!A:D,4,0)</f>
        <v>North</v>
      </c>
      <c r="F35" s="1" t="str">
        <f>VLOOKUP(B35,Mapping!A:E,5,0)</f>
        <v>Anjli</v>
      </c>
      <c r="G35" s="1" t="str">
        <f>VLOOKUP(B35,Mapping!A:F,6,0)</f>
        <v>Archana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3">
        <f t="shared" si="0"/>
        <v>0</v>
      </c>
    </row>
    <row r="36" spans="1:20" x14ac:dyDescent="0.35">
      <c r="A36" s="1" t="s">
        <v>142</v>
      </c>
      <c r="B36" s="1" t="s">
        <v>50</v>
      </c>
      <c r="C36" s="1" t="str">
        <f>VLOOKUP(B36,Mapping!A:B,2,0)</f>
        <v>Lateral</v>
      </c>
      <c r="D36" s="1" t="str">
        <f>VLOOKUP(B36,Mapping!A:C,3,0)</f>
        <v>North</v>
      </c>
      <c r="E36" s="1" t="str">
        <f>VLOOKUP(B36,Mapping!A:D,4,0)</f>
        <v>North</v>
      </c>
      <c r="F36" s="1" t="str">
        <f>VLOOKUP(B36,Mapping!A:E,5,0)</f>
        <v>Anjli</v>
      </c>
      <c r="G36" s="1" t="str">
        <f>VLOOKUP(B36,Mapping!A:F,6,0)</f>
        <v>Archana</v>
      </c>
      <c r="H36" s="27">
        <v>3.81</v>
      </c>
      <c r="I36" s="27">
        <v>2.78</v>
      </c>
      <c r="J36" s="27">
        <v>2</v>
      </c>
      <c r="K36" s="27">
        <v>3</v>
      </c>
      <c r="L36" s="27">
        <v>3.1</v>
      </c>
      <c r="M36" s="27">
        <v>3</v>
      </c>
      <c r="N36" s="27">
        <v>3</v>
      </c>
      <c r="O36" s="27">
        <v>4</v>
      </c>
      <c r="P36" s="27">
        <v>4</v>
      </c>
      <c r="Q36" s="27">
        <v>4</v>
      </c>
      <c r="R36" s="27">
        <v>4.2</v>
      </c>
      <c r="S36" s="27">
        <v>4.2</v>
      </c>
      <c r="T36" s="3">
        <f t="shared" si="0"/>
        <v>41.09</v>
      </c>
    </row>
    <row r="37" spans="1:20" x14ac:dyDescent="0.35">
      <c r="A37" s="1" t="s">
        <v>142</v>
      </c>
      <c r="B37" s="1" t="s">
        <v>51</v>
      </c>
      <c r="C37" s="1" t="str">
        <f>VLOOKUP(B37,Mapping!A:B,2,0)</f>
        <v>Lateral</v>
      </c>
      <c r="D37" s="1" t="str">
        <f>VLOOKUP(B37,Mapping!A:C,3,0)</f>
        <v>West</v>
      </c>
      <c r="E37" s="1" t="str">
        <f>VLOOKUP(B37,Mapping!A:D,4,0)</f>
        <v>West 1</v>
      </c>
      <c r="F37" s="1" t="str">
        <f>VLOOKUP(B37,Mapping!A:E,5,0)</f>
        <v>Anjli</v>
      </c>
      <c r="G37" s="1" t="str">
        <f>VLOOKUP(B37,Mapping!A:F,6,0)</f>
        <v>Geetu</v>
      </c>
      <c r="H37" s="27">
        <v>3.6067749999999998</v>
      </c>
      <c r="I37" s="27">
        <v>4.76</v>
      </c>
      <c r="J37" s="27">
        <v>3.5</v>
      </c>
      <c r="K37" s="27">
        <v>8.2379999999999995</v>
      </c>
      <c r="L37" s="27">
        <v>8.2379999999999995</v>
      </c>
      <c r="M37" s="27">
        <v>8.2379999999999995</v>
      </c>
      <c r="N37" s="27">
        <v>8.5933333333333337</v>
      </c>
      <c r="O37" s="27">
        <v>8.5933333333333337</v>
      </c>
      <c r="P37" s="27">
        <v>8.5933333333333337</v>
      </c>
      <c r="Q37" s="27">
        <v>8.7383333333333333</v>
      </c>
      <c r="R37" s="27">
        <v>8.7383333333333333</v>
      </c>
      <c r="S37" s="27">
        <v>8.7383333333333333</v>
      </c>
      <c r="T37" s="3">
        <f t="shared" si="0"/>
        <v>88.575774999999993</v>
      </c>
    </row>
    <row r="38" spans="1:20" x14ac:dyDescent="0.35">
      <c r="A38" s="1" t="s">
        <v>142</v>
      </c>
      <c r="B38" s="1" t="s">
        <v>52</v>
      </c>
      <c r="C38" s="1" t="str">
        <f>VLOOKUP(B38,Mapping!A:B,2,0)</f>
        <v>Lateral</v>
      </c>
      <c r="D38" s="1" t="str">
        <f>VLOOKUP(B38,Mapping!A:C,3,0)</f>
        <v>West</v>
      </c>
      <c r="E38" s="1" t="str">
        <f>VLOOKUP(B38,Mapping!A:D,4,0)</f>
        <v>West 2</v>
      </c>
      <c r="F38" s="1" t="str">
        <f>VLOOKUP(B38,Mapping!A:E,5,0)</f>
        <v>Anjli</v>
      </c>
      <c r="G38" s="1" t="str">
        <f>VLOOKUP(B38,Mapping!A:F,6,0)</f>
        <v>Shweta</v>
      </c>
      <c r="H38" s="27">
        <v>4.83</v>
      </c>
      <c r="I38" s="27">
        <v>7.3425019999999996</v>
      </c>
      <c r="J38" s="27">
        <v>5.5</v>
      </c>
      <c r="K38" s="27">
        <v>5</v>
      </c>
      <c r="L38" s="27">
        <v>6</v>
      </c>
      <c r="M38" s="27">
        <v>7</v>
      </c>
      <c r="N38" s="27">
        <v>5</v>
      </c>
      <c r="O38" s="27">
        <v>6</v>
      </c>
      <c r="P38" s="27">
        <v>6</v>
      </c>
      <c r="Q38" s="27">
        <v>5</v>
      </c>
      <c r="R38" s="27">
        <v>5</v>
      </c>
      <c r="S38" s="27">
        <v>5</v>
      </c>
      <c r="T38" s="3">
        <f t="shared" si="0"/>
        <v>67.672502000000009</v>
      </c>
    </row>
    <row r="39" spans="1:20" x14ac:dyDescent="0.35">
      <c r="A39" s="1" t="s">
        <v>142</v>
      </c>
      <c r="B39" s="1" t="s">
        <v>53</v>
      </c>
      <c r="C39" s="1" t="str">
        <f>VLOOKUP(B39,Mapping!A:B,2,0)</f>
        <v>Lateral</v>
      </c>
      <c r="D39" s="1" t="str">
        <f>VLOOKUP(B39,Mapping!A:C,3,0)</f>
        <v>West</v>
      </c>
      <c r="E39" s="1" t="str">
        <f>VLOOKUP(B39,Mapping!A:D,4,0)</f>
        <v>West 1</v>
      </c>
      <c r="F39" s="1" t="str">
        <f>VLOOKUP(B39,Mapping!A:E,5,0)</f>
        <v>Anjli</v>
      </c>
      <c r="G39" s="1" t="str">
        <f>VLOOKUP(B39,Mapping!A:F,6,0)</f>
        <v>Ankit</v>
      </c>
      <c r="H39" s="27">
        <v>37.19</v>
      </c>
      <c r="I39" s="27">
        <v>27.19</v>
      </c>
      <c r="J39" s="27">
        <v>30</v>
      </c>
      <c r="K39" s="27">
        <v>36</v>
      </c>
      <c r="L39" s="27">
        <v>32</v>
      </c>
      <c r="M39" s="27">
        <v>31</v>
      </c>
      <c r="N39" s="27">
        <v>31</v>
      </c>
      <c r="O39" s="27">
        <v>38</v>
      </c>
      <c r="P39" s="27">
        <v>35</v>
      </c>
      <c r="Q39" s="27">
        <v>36</v>
      </c>
      <c r="R39" s="27">
        <v>37</v>
      </c>
      <c r="S39" s="27">
        <v>38</v>
      </c>
      <c r="T39" s="3">
        <f t="shared" si="0"/>
        <v>408.38</v>
      </c>
    </row>
    <row r="40" spans="1:20" x14ac:dyDescent="0.35">
      <c r="A40" s="1" t="s">
        <v>142</v>
      </c>
      <c r="B40" s="1" t="s">
        <v>55</v>
      </c>
      <c r="C40" s="1" t="str">
        <f>VLOOKUP(B40,Mapping!A:B,2,0)</f>
        <v>Lateral</v>
      </c>
      <c r="D40" s="1" t="str">
        <f>VLOOKUP(B40,Mapping!A:C,3,0)</f>
        <v>South</v>
      </c>
      <c r="E40" s="1" t="str">
        <f>VLOOKUP(B40,Mapping!A:D,4,0)</f>
        <v>South 2</v>
      </c>
      <c r="F40" s="1" t="str">
        <f>VLOOKUP(B40,Mapping!A:E,5,0)</f>
        <v>Sulabh</v>
      </c>
      <c r="G40" s="1" t="str">
        <f>VLOOKUP(B40,Mapping!A:F,6,0)</f>
        <v>Krishna</v>
      </c>
      <c r="H40" s="27">
        <v>12</v>
      </c>
      <c r="I40" s="27">
        <v>18</v>
      </c>
      <c r="J40" s="27">
        <v>24.4</v>
      </c>
      <c r="K40" s="27">
        <v>20</v>
      </c>
      <c r="L40" s="27">
        <v>20</v>
      </c>
      <c r="M40" s="27">
        <v>20</v>
      </c>
      <c r="N40" s="27">
        <v>17</v>
      </c>
      <c r="O40" s="27">
        <v>21</v>
      </c>
      <c r="P40" s="27">
        <v>22</v>
      </c>
      <c r="Q40" s="27">
        <v>18</v>
      </c>
      <c r="R40" s="27">
        <v>20</v>
      </c>
      <c r="S40" s="27">
        <v>24</v>
      </c>
      <c r="T40" s="3">
        <f t="shared" si="0"/>
        <v>236.4</v>
      </c>
    </row>
    <row r="41" spans="1:20" x14ac:dyDescent="0.35">
      <c r="A41" s="1" t="s">
        <v>142</v>
      </c>
      <c r="B41" s="1" t="s">
        <v>56</v>
      </c>
      <c r="C41" s="1" t="str">
        <f>VLOOKUP(B41,Mapping!A:B,2,0)</f>
        <v>Lateral</v>
      </c>
      <c r="D41" s="1" t="str">
        <f>VLOOKUP(B41,Mapping!A:C,3,0)</f>
        <v>North</v>
      </c>
      <c r="E41" s="1" t="str">
        <f>VLOOKUP(B41,Mapping!A:D,4,0)</f>
        <v>North</v>
      </c>
      <c r="F41" s="1" t="str">
        <f>VLOOKUP(B41,Mapping!A:E,5,0)</f>
        <v>Anjli</v>
      </c>
      <c r="G41" s="1" t="str">
        <f>VLOOKUP(B41,Mapping!A:F,6,0)</f>
        <v>Archana</v>
      </c>
      <c r="H41" s="27">
        <v>3.5616104000000002</v>
      </c>
      <c r="I41" s="27">
        <v>7.04</v>
      </c>
      <c r="J41" s="27">
        <v>9</v>
      </c>
      <c r="K41" s="27">
        <v>5</v>
      </c>
      <c r="L41" s="27">
        <v>5</v>
      </c>
      <c r="M41" s="27">
        <v>6</v>
      </c>
      <c r="N41" s="27">
        <v>5</v>
      </c>
      <c r="O41" s="27">
        <v>5</v>
      </c>
      <c r="P41" s="27">
        <v>5</v>
      </c>
      <c r="Q41" s="27">
        <v>5</v>
      </c>
      <c r="R41" s="27">
        <v>5</v>
      </c>
      <c r="S41" s="27">
        <v>5</v>
      </c>
      <c r="T41" s="3">
        <f t="shared" si="0"/>
        <v>65.601610399999998</v>
      </c>
    </row>
    <row r="42" spans="1:20" x14ac:dyDescent="0.35">
      <c r="A42" s="1" t="s">
        <v>142</v>
      </c>
      <c r="B42" s="1" t="s">
        <v>57</v>
      </c>
      <c r="C42" s="1" t="str">
        <f>VLOOKUP(B42,Mapping!A:B,2,0)</f>
        <v>Lateral</v>
      </c>
      <c r="D42" s="1" t="str">
        <f>VLOOKUP(B42,Mapping!A:C,3,0)</f>
        <v>South</v>
      </c>
      <c r="E42" s="1" t="str">
        <f>VLOOKUP(B42,Mapping!A:D,4,0)</f>
        <v>South 2</v>
      </c>
      <c r="F42" s="1" t="str">
        <f>VLOOKUP(B42,Mapping!A:E,5,0)</f>
        <v>Sulabh</v>
      </c>
      <c r="G42" s="1" t="str">
        <f>VLOOKUP(B42,Mapping!A:F,6,0)</f>
        <v>Krishna</v>
      </c>
      <c r="H42" s="27">
        <v>0</v>
      </c>
      <c r="I42" s="27">
        <v>0</v>
      </c>
      <c r="J42" s="27">
        <v>0</v>
      </c>
      <c r="K42" s="27">
        <v>0</v>
      </c>
      <c r="L42" s="27">
        <v>0</v>
      </c>
      <c r="M42" s="27">
        <v>0</v>
      </c>
      <c r="N42" s="27">
        <v>0</v>
      </c>
      <c r="O42" s="27">
        <v>0</v>
      </c>
      <c r="P42" s="27">
        <v>0</v>
      </c>
      <c r="Q42" s="27">
        <v>0</v>
      </c>
      <c r="R42" s="27">
        <v>0</v>
      </c>
      <c r="S42" s="27">
        <v>0</v>
      </c>
      <c r="T42" s="3">
        <f t="shared" si="0"/>
        <v>0</v>
      </c>
    </row>
    <row r="43" spans="1:20" x14ac:dyDescent="0.35">
      <c r="A43" s="1" t="s">
        <v>142</v>
      </c>
      <c r="B43" s="1" t="s">
        <v>58</v>
      </c>
      <c r="C43" s="1" t="str">
        <f>VLOOKUP(B43,Mapping!A:B,2,0)</f>
        <v>Lateral</v>
      </c>
      <c r="D43" s="1" t="str">
        <f>VLOOKUP(B43,Mapping!A:C,3,0)</f>
        <v>West</v>
      </c>
      <c r="E43" s="1" t="str">
        <f>VLOOKUP(B43,Mapping!A:D,4,0)</f>
        <v>West 1</v>
      </c>
      <c r="F43" s="1" t="str">
        <f>VLOOKUP(B43,Mapping!A:E,5,0)</f>
        <v>Anjli</v>
      </c>
      <c r="G43" s="1" t="str">
        <f>VLOOKUP(B43,Mapping!A:F,6,0)</f>
        <v>Elton</v>
      </c>
      <c r="H43" s="27">
        <v>1.75</v>
      </c>
      <c r="I43" s="27">
        <v>1.75</v>
      </c>
      <c r="J43" s="27">
        <v>1.75</v>
      </c>
      <c r="K43" s="27">
        <v>1.7</v>
      </c>
      <c r="L43" s="27">
        <v>1.7</v>
      </c>
      <c r="M43" s="27">
        <v>1.7</v>
      </c>
      <c r="N43" s="27">
        <v>0</v>
      </c>
      <c r="O43" s="27">
        <v>0</v>
      </c>
      <c r="P43" s="27">
        <v>0</v>
      </c>
      <c r="Q43" s="27">
        <v>0</v>
      </c>
      <c r="R43" s="27">
        <v>0</v>
      </c>
      <c r="S43" s="27">
        <v>0</v>
      </c>
      <c r="T43" s="3">
        <f t="shared" si="0"/>
        <v>10.35</v>
      </c>
    </row>
    <row r="44" spans="1:20" x14ac:dyDescent="0.35">
      <c r="A44" s="1" t="s">
        <v>142</v>
      </c>
      <c r="B44" s="1" t="s">
        <v>60</v>
      </c>
      <c r="C44" s="1" t="str">
        <f>VLOOKUP(B44,Mapping!A:B,2,0)</f>
        <v>Lateral</v>
      </c>
      <c r="D44" s="1" t="str">
        <f>VLOOKUP(B44,Mapping!A:C,3,0)</f>
        <v>West</v>
      </c>
      <c r="E44" s="1" t="str">
        <f>VLOOKUP(B44,Mapping!A:D,4,0)</f>
        <v>West 2</v>
      </c>
      <c r="F44" s="1" t="str">
        <f>VLOOKUP(B44,Mapping!A:E,5,0)</f>
        <v>Anjli</v>
      </c>
      <c r="G44" s="1" t="str">
        <f>VLOOKUP(B44,Mapping!A:F,6,0)</f>
        <v>Shweta</v>
      </c>
      <c r="H44" s="27">
        <v>0</v>
      </c>
      <c r="I44" s="27">
        <v>0</v>
      </c>
      <c r="J44" s="27">
        <v>0</v>
      </c>
      <c r="K44" s="27">
        <v>0</v>
      </c>
      <c r="L44" s="27">
        <v>0</v>
      </c>
      <c r="M44" s="27">
        <v>0</v>
      </c>
      <c r="N44" s="27">
        <v>0</v>
      </c>
      <c r="O44" s="27">
        <v>0</v>
      </c>
      <c r="P44" s="27">
        <v>0</v>
      </c>
      <c r="Q44" s="27">
        <v>0</v>
      </c>
      <c r="R44" s="27">
        <v>0</v>
      </c>
      <c r="S44" s="27">
        <v>0</v>
      </c>
      <c r="T44" s="3">
        <f t="shared" si="0"/>
        <v>0</v>
      </c>
    </row>
    <row r="45" spans="1:20" x14ac:dyDescent="0.35">
      <c r="A45" s="1" t="s">
        <v>142</v>
      </c>
      <c r="B45" s="1" t="s">
        <v>61</v>
      </c>
      <c r="C45" s="1" t="str">
        <f>VLOOKUP(B45,Mapping!A:B,2,0)</f>
        <v>Lateral</v>
      </c>
      <c r="D45" s="1" t="str">
        <f>VLOOKUP(B45,Mapping!A:C,3,0)</f>
        <v>West</v>
      </c>
      <c r="E45" s="1" t="str">
        <f>VLOOKUP(B45,Mapping!A:D,4,0)</f>
        <v>West 1</v>
      </c>
      <c r="F45" s="1" t="str">
        <f>VLOOKUP(B45,Mapping!A:E,5,0)</f>
        <v>Anjli</v>
      </c>
      <c r="G45" s="1" t="str">
        <f>VLOOKUP(B45,Mapping!A:F,6,0)</f>
        <v>Elton</v>
      </c>
      <c r="H45" s="27">
        <v>0</v>
      </c>
      <c r="I45" s="27">
        <v>0</v>
      </c>
      <c r="J45" s="27">
        <v>0</v>
      </c>
      <c r="K45" s="27">
        <v>0</v>
      </c>
      <c r="L45" s="27">
        <v>0</v>
      </c>
      <c r="M45" s="27">
        <v>0</v>
      </c>
      <c r="N45" s="27">
        <v>0</v>
      </c>
      <c r="O45" s="27">
        <v>0</v>
      </c>
      <c r="P45" s="27">
        <v>0</v>
      </c>
      <c r="Q45" s="27">
        <v>0</v>
      </c>
      <c r="R45" s="27">
        <v>0</v>
      </c>
      <c r="S45" s="27">
        <v>0</v>
      </c>
      <c r="T45" s="3">
        <f t="shared" si="0"/>
        <v>0</v>
      </c>
    </row>
    <row r="46" spans="1:20" x14ac:dyDescent="0.35">
      <c r="A46" s="1" t="s">
        <v>142</v>
      </c>
      <c r="B46" s="1" t="s">
        <v>62</v>
      </c>
      <c r="C46" s="1" t="str">
        <f>VLOOKUP(B46,Mapping!A:B,2,0)</f>
        <v>Lateral</v>
      </c>
      <c r="D46" s="1" t="str">
        <f>VLOOKUP(B46,Mapping!A:C,3,0)</f>
        <v>South</v>
      </c>
      <c r="E46" s="1" t="str">
        <f>VLOOKUP(B46,Mapping!A:D,4,0)</f>
        <v>South 2</v>
      </c>
      <c r="F46" s="1" t="str">
        <f>VLOOKUP(B46,Mapping!A:E,5,0)</f>
        <v>Sulabh</v>
      </c>
      <c r="G46" s="1" t="str">
        <f>VLOOKUP(B46,Mapping!A:F,6,0)</f>
        <v>Subu</v>
      </c>
      <c r="H46" s="27">
        <v>0</v>
      </c>
      <c r="I46" s="27">
        <v>0</v>
      </c>
      <c r="J46" s="27">
        <v>0</v>
      </c>
      <c r="K46" s="27">
        <v>0</v>
      </c>
      <c r="L46" s="27">
        <v>0</v>
      </c>
      <c r="M46" s="27">
        <v>0</v>
      </c>
      <c r="N46" s="27">
        <v>0</v>
      </c>
      <c r="O46" s="27">
        <v>0</v>
      </c>
      <c r="P46" s="27">
        <v>0</v>
      </c>
      <c r="Q46" s="27">
        <v>0</v>
      </c>
      <c r="R46" s="27">
        <v>0</v>
      </c>
      <c r="S46" s="27">
        <v>0</v>
      </c>
      <c r="T46" s="3">
        <f t="shared" si="0"/>
        <v>0</v>
      </c>
    </row>
    <row r="47" spans="1:20" x14ac:dyDescent="0.35">
      <c r="A47" s="1" t="s">
        <v>142</v>
      </c>
      <c r="B47" s="1" t="s">
        <v>63</v>
      </c>
      <c r="C47" s="1" t="str">
        <f>VLOOKUP(B47,Mapping!A:B,2,0)</f>
        <v>Lateral</v>
      </c>
      <c r="D47" s="1" t="str">
        <f>VLOOKUP(B47,Mapping!A:C,3,0)</f>
        <v>West</v>
      </c>
      <c r="E47" s="1" t="str">
        <f>VLOOKUP(B47,Mapping!A:D,4,0)</f>
        <v>West 1</v>
      </c>
      <c r="F47" s="1" t="str">
        <f>VLOOKUP(B47,Mapping!A:E,5,0)</f>
        <v>Anjli</v>
      </c>
      <c r="G47" s="1" t="str">
        <f>VLOOKUP(B47,Mapping!A:F,6,0)</f>
        <v>Elton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  <c r="O47" s="27">
        <v>0</v>
      </c>
      <c r="P47" s="27">
        <v>0</v>
      </c>
      <c r="Q47" s="27">
        <v>0</v>
      </c>
      <c r="R47" s="27">
        <v>0</v>
      </c>
      <c r="S47" s="27">
        <v>0</v>
      </c>
      <c r="T47" s="3">
        <f t="shared" si="0"/>
        <v>0</v>
      </c>
    </row>
    <row r="48" spans="1:20" x14ac:dyDescent="0.35">
      <c r="A48" s="1" t="s">
        <v>142</v>
      </c>
      <c r="B48" s="1" t="s">
        <v>64</v>
      </c>
      <c r="C48" s="1" t="str">
        <f>VLOOKUP(B48,Mapping!A:B,2,0)</f>
        <v>Lateral</v>
      </c>
      <c r="D48" s="1" t="str">
        <f>VLOOKUP(B48,Mapping!A:C,3,0)</f>
        <v>South</v>
      </c>
      <c r="E48" s="1" t="str">
        <f>VLOOKUP(B48,Mapping!A:D,4,0)</f>
        <v>South 2</v>
      </c>
      <c r="F48" s="1" t="str">
        <f>VLOOKUP(B48,Mapping!A:E,5,0)</f>
        <v>Sulabh</v>
      </c>
      <c r="G48" s="1" t="str">
        <f>VLOOKUP(B48,Mapping!A:F,6,0)</f>
        <v>Sulabh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7">
        <v>0</v>
      </c>
      <c r="N48" s="27">
        <v>0</v>
      </c>
      <c r="O48" s="27">
        <v>0</v>
      </c>
      <c r="P48" s="27">
        <v>0</v>
      </c>
      <c r="Q48" s="27">
        <v>0</v>
      </c>
      <c r="R48" s="27">
        <v>0</v>
      </c>
      <c r="S48" s="27">
        <v>0</v>
      </c>
      <c r="T48" s="3">
        <f t="shared" si="0"/>
        <v>0</v>
      </c>
    </row>
    <row r="49" spans="1:20" x14ac:dyDescent="0.35">
      <c r="A49" s="1" t="s">
        <v>142</v>
      </c>
      <c r="B49" s="1" t="s">
        <v>65</v>
      </c>
      <c r="C49" s="1" t="str">
        <f>VLOOKUP(B49,Mapping!A:B,2,0)</f>
        <v>Lateral</v>
      </c>
      <c r="D49" s="1" t="str">
        <f>VLOOKUP(B49,Mapping!A:C,3,0)</f>
        <v>South</v>
      </c>
      <c r="E49" s="1" t="str">
        <f>VLOOKUP(B49,Mapping!A:D,4,0)</f>
        <v>South 2</v>
      </c>
      <c r="F49" s="1" t="str">
        <f>VLOOKUP(B49,Mapping!A:E,5,0)</f>
        <v>Sulabh</v>
      </c>
      <c r="G49" s="1" t="str">
        <f>VLOOKUP(B49,Mapping!A:F,6,0)</f>
        <v>Sulabh</v>
      </c>
      <c r="H49" s="27">
        <v>0</v>
      </c>
      <c r="I49" s="27">
        <v>0</v>
      </c>
      <c r="J49" s="27">
        <v>0</v>
      </c>
      <c r="K49" s="27">
        <v>0</v>
      </c>
      <c r="L49" s="27">
        <v>0</v>
      </c>
      <c r="M49" s="27">
        <v>0</v>
      </c>
      <c r="N49" s="27">
        <v>0</v>
      </c>
      <c r="O49" s="27">
        <v>0</v>
      </c>
      <c r="P49" s="27">
        <v>0</v>
      </c>
      <c r="Q49" s="27">
        <v>0</v>
      </c>
      <c r="R49" s="27">
        <v>0</v>
      </c>
      <c r="S49" s="27">
        <v>0</v>
      </c>
      <c r="T49" s="3">
        <f t="shared" si="0"/>
        <v>0</v>
      </c>
    </row>
    <row r="50" spans="1:20" x14ac:dyDescent="0.35">
      <c r="A50" s="1" t="s">
        <v>142</v>
      </c>
      <c r="B50" s="1" t="s">
        <v>66</v>
      </c>
      <c r="C50" s="1" t="str">
        <f>VLOOKUP(B50,Mapping!A:B,2,0)</f>
        <v>Lateral</v>
      </c>
      <c r="D50" s="1" t="str">
        <f>VLOOKUP(B50,Mapping!A:C,3,0)</f>
        <v>South</v>
      </c>
      <c r="E50" s="1" t="str">
        <f>VLOOKUP(B50,Mapping!A:D,4,0)</f>
        <v>South 2</v>
      </c>
      <c r="F50" s="1" t="str">
        <f>VLOOKUP(B50,Mapping!A:E,5,0)</f>
        <v>Sulabh</v>
      </c>
      <c r="G50" s="1" t="str">
        <f>VLOOKUP(B50,Mapping!A:F,6,0)</f>
        <v>Abhilash</v>
      </c>
      <c r="H50" s="27">
        <v>0</v>
      </c>
      <c r="I50" s="27">
        <v>0</v>
      </c>
      <c r="J50" s="27">
        <v>0</v>
      </c>
      <c r="K50" s="27">
        <v>0</v>
      </c>
      <c r="L50" s="27">
        <v>0</v>
      </c>
      <c r="M50" s="27">
        <v>0</v>
      </c>
      <c r="N50" s="27">
        <v>0</v>
      </c>
      <c r="O50" s="27">
        <v>0</v>
      </c>
      <c r="P50" s="27">
        <v>0</v>
      </c>
      <c r="Q50" s="27">
        <v>0</v>
      </c>
      <c r="R50" s="27">
        <v>0</v>
      </c>
      <c r="S50" s="27">
        <v>0</v>
      </c>
      <c r="T50" s="3">
        <f t="shared" si="0"/>
        <v>0</v>
      </c>
    </row>
    <row r="51" spans="1:20" x14ac:dyDescent="0.35">
      <c r="A51" s="1" t="s">
        <v>142</v>
      </c>
      <c r="B51" s="1" t="s">
        <v>68</v>
      </c>
      <c r="C51" s="1" t="str">
        <f>VLOOKUP(B51,Mapping!A:B,2,0)</f>
        <v>Lateral</v>
      </c>
      <c r="D51" s="1" t="str">
        <f>VLOOKUP(B51,Mapping!A:C,3,0)</f>
        <v>West</v>
      </c>
      <c r="E51" s="1" t="str">
        <f>VLOOKUP(B51,Mapping!A:D,4,0)</f>
        <v>West 1</v>
      </c>
      <c r="F51" s="1" t="str">
        <f>VLOOKUP(B51,Mapping!A:E,5,0)</f>
        <v>Anjli</v>
      </c>
      <c r="G51" s="1" t="str">
        <f>VLOOKUP(B51,Mapping!A:F,6,0)</f>
        <v>Elton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3">
        <f t="shared" si="0"/>
        <v>0</v>
      </c>
    </row>
    <row r="52" spans="1:20" x14ac:dyDescent="0.35">
      <c r="A52" s="1" t="s">
        <v>142</v>
      </c>
      <c r="B52" s="1" t="s">
        <v>69</v>
      </c>
      <c r="C52" s="1" t="str">
        <f>VLOOKUP(B52,Mapping!A:B,2,0)</f>
        <v>Leadership</v>
      </c>
      <c r="D52" s="1" t="str">
        <f>VLOOKUP(B52,Mapping!A:C,3,0)</f>
        <v>South</v>
      </c>
      <c r="E52" s="1" t="str">
        <f>VLOOKUP(B52,Mapping!A:D,4,0)</f>
        <v>South 1</v>
      </c>
      <c r="F52" s="1" t="str">
        <f>VLOOKUP(B52,Mapping!A:E,5,0)</f>
        <v>Bapi</v>
      </c>
      <c r="G52" s="1" t="str">
        <f>VLOOKUP(B52,Mapping!A:F,6,0)</f>
        <v>Parul</v>
      </c>
      <c r="H52" s="27">
        <v>2.2562000000000002</v>
      </c>
      <c r="I52" s="27">
        <v>6.6</v>
      </c>
      <c r="J52" s="27">
        <v>1.02</v>
      </c>
      <c r="K52" s="27">
        <v>1</v>
      </c>
      <c r="L52" s="27">
        <v>2</v>
      </c>
      <c r="M52" s="27">
        <v>2</v>
      </c>
      <c r="N52" s="27">
        <v>1</v>
      </c>
      <c r="O52" s="27">
        <v>2</v>
      </c>
      <c r="P52" s="27">
        <v>2</v>
      </c>
      <c r="Q52" s="27">
        <v>1</v>
      </c>
      <c r="R52" s="27">
        <v>2</v>
      </c>
      <c r="S52" s="27">
        <v>2</v>
      </c>
      <c r="T52" s="3">
        <f t="shared" si="0"/>
        <v>24.876199999999997</v>
      </c>
    </row>
    <row r="53" spans="1:20" x14ac:dyDescent="0.35">
      <c r="A53" s="1" t="s">
        <v>142</v>
      </c>
      <c r="B53" s="1" t="s">
        <v>71</v>
      </c>
      <c r="C53" s="1" t="str">
        <f>VLOOKUP(B53,Mapping!A:B,2,0)</f>
        <v>Leadership</v>
      </c>
      <c r="D53" s="1" t="str">
        <f>VLOOKUP(B53,Mapping!A:C,3,0)</f>
        <v>South</v>
      </c>
      <c r="E53" s="1" t="str">
        <f>VLOOKUP(B53,Mapping!A:D,4,0)</f>
        <v>South 2</v>
      </c>
      <c r="F53" s="1" t="str">
        <f>VLOOKUP(B53,Mapping!A:E,5,0)</f>
        <v>Sulabh</v>
      </c>
      <c r="G53" s="1" t="str">
        <f>VLOOKUP(B53,Mapping!A:F,6,0)</f>
        <v>Parul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  <c r="O53" s="27">
        <v>0</v>
      </c>
      <c r="P53" s="27">
        <v>0</v>
      </c>
      <c r="Q53" s="27">
        <v>0</v>
      </c>
      <c r="R53" s="27">
        <v>0</v>
      </c>
      <c r="S53" s="27">
        <v>0</v>
      </c>
      <c r="T53" s="3">
        <f t="shared" si="0"/>
        <v>0</v>
      </c>
    </row>
    <row r="54" spans="1:20" x14ac:dyDescent="0.35">
      <c r="A54" s="1" t="s">
        <v>142</v>
      </c>
      <c r="B54" s="1" t="s">
        <v>72</v>
      </c>
      <c r="C54" s="1" t="str">
        <f>VLOOKUP(B54,Mapping!A:B,2,0)</f>
        <v>Leadership</v>
      </c>
      <c r="D54" s="1" t="str">
        <f>VLOOKUP(B54,Mapping!A:C,3,0)</f>
        <v>West</v>
      </c>
      <c r="E54" s="1" t="str">
        <f>VLOOKUP(B54,Mapping!A:D,4,0)</f>
        <v>West 2</v>
      </c>
      <c r="F54" s="1" t="str">
        <f>VLOOKUP(B54,Mapping!A:E,5,0)</f>
        <v>Anjli</v>
      </c>
      <c r="G54" s="1" t="str">
        <f>VLOOKUP(B54,Mapping!A:F,6,0)</f>
        <v>Parul</v>
      </c>
      <c r="H54" s="27">
        <v>1</v>
      </c>
      <c r="I54" s="27">
        <v>0</v>
      </c>
      <c r="J54" s="27">
        <v>5</v>
      </c>
      <c r="K54" s="27">
        <v>1</v>
      </c>
      <c r="L54" s="27">
        <v>2</v>
      </c>
      <c r="M54" s="27">
        <v>3</v>
      </c>
      <c r="N54" s="27">
        <v>1</v>
      </c>
      <c r="O54" s="27">
        <v>5</v>
      </c>
      <c r="P54" s="27">
        <v>3</v>
      </c>
      <c r="Q54" s="27">
        <v>1</v>
      </c>
      <c r="R54" s="27">
        <v>3</v>
      </c>
      <c r="S54" s="27">
        <v>3</v>
      </c>
      <c r="T54" s="3">
        <f t="shared" si="0"/>
        <v>28</v>
      </c>
    </row>
    <row r="55" spans="1:20" x14ac:dyDescent="0.35">
      <c r="A55" s="1" t="s">
        <v>142</v>
      </c>
      <c r="B55" s="1" t="s">
        <v>73</v>
      </c>
      <c r="C55" s="1" t="str">
        <f>VLOOKUP(B55,Mapping!A:B,2,0)</f>
        <v>Leadership</v>
      </c>
      <c r="D55" s="1" t="str">
        <f>VLOOKUP(B55,Mapping!A:C,3,0)</f>
        <v>West</v>
      </c>
      <c r="E55" s="1" t="str">
        <f>VLOOKUP(B55,Mapping!A:D,4,0)</f>
        <v>West 1</v>
      </c>
      <c r="F55" s="1" t="str">
        <f>VLOOKUP(B55,Mapping!A:E,5,0)</f>
        <v>Anjli</v>
      </c>
      <c r="G55" s="1" t="str">
        <f>VLOOKUP(B55,Mapping!A:F,6,0)</f>
        <v>Parul</v>
      </c>
      <c r="H55" s="27">
        <v>6.1910834999999995</v>
      </c>
      <c r="I55" s="27">
        <v>24.3</v>
      </c>
      <c r="J55" s="27">
        <v>45</v>
      </c>
      <c r="K55" s="27">
        <v>20</v>
      </c>
      <c r="L55" s="27">
        <v>20</v>
      </c>
      <c r="M55" s="27">
        <v>30</v>
      </c>
      <c r="N55" s="27">
        <v>20</v>
      </c>
      <c r="O55" s="27">
        <v>10</v>
      </c>
      <c r="P55" s="27">
        <v>10</v>
      </c>
      <c r="Q55" s="27">
        <v>20</v>
      </c>
      <c r="R55" s="27">
        <v>20</v>
      </c>
      <c r="S55" s="27">
        <v>30</v>
      </c>
      <c r="T55" s="3">
        <f t="shared" si="0"/>
        <v>255.4910835</v>
      </c>
    </row>
    <row r="56" spans="1:20" x14ac:dyDescent="0.35">
      <c r="A56" s="1" t="s">
        <v>142</v>
      </c>
      <c r="B56" s="1" t="s">
        <v>74</v>
      </c>
      <c r="C56" s="1" t="str">
        <f>VLOOKUP(B56,Mapping!A:B,2,0)</f>
        <v>Leadership</v>
      </c>
      <c r="D56" s="1" t="str">
        <f>VLOOKUP(B56,Mapping!A:C,3,0)</f>
        <v>West</v>
      </c>
      <c r="E56" s="1" t="str">
        <f>VLOOKUP(B56,Mapping!A:D,4,0)</f>
        <v>West 1</v>
      </c>
      <c r="F56" s="1" t="str">
        <f>VLOOKUP(B56,Mapping!A:E,5,0)</f>
        <v>Anjli</v>
      </c>
      <c r="G56" s="1" t="str">
        <f>VLOOKUP(B56,Mapping!A:F,6,0)</f>
        <v>Parul</v>
      </c>
      <c r="H56" s="27">
        <v>0.1</v>
      </c>
      <c r="I56" s="27">
        <v>2.3849999999999998</v>
      </c>
      <c r="J56" s="27">
        <v>2.16</v>
      </c>
      <c r="K56" s="27">
        <v>5</v>
      </c>
      <c r="L56" s="27">
        <v>8</v>
      </c>
      <c r="M56" s="27">
        <v>10</v>
      </c>
      <c r="N56" s="27">
        <v>8</v>
      </c>
      <c r="O56" s="27">
        <v>8</v>
      </c>
      <c r="P56" s="27">
        <v>10</v>
      </c>
      <c r="Q56" s="27">
        <v>10</v>
      </c>
      <c r="R56" s="27">
        <v>8</v>
      </c>
      <c r="S56" s="27">
        <v>8</v>
      </c>
      <c r="T56" s="3">
        <f t="shared" si="0"/>
        <v>79.644999999999996</v>
      </c>
    </row>
    <row r="57" spans="1:20" x14ac:dyDescent="0.35">
      <c r="A57" s="1" t="s">
        <v>142</v>
      </c>
      <c r="B57" s="1" t="s">
        <v>75</v>
      </c>
      <c r="C57" s="1" t="str">
        <f>VLOOKUP(B57,Mapping!A:B,2,0)</f>
        <v>Leadership</v>
      </c>
      <c r="D57" s="1" t="str">
        <f>VLOOKUP(B57,Mapping!A:C,3,0)</f>
        <v>South</v>
      </c>
      <c r="E57" s="1" t="str">
        <f>VLOOKUP(B57,Mapping!A:D,4,0)</f>
        <v>South 2</v>
      </c>
      <c r="F57" s="1" t="str">
        <f>VLOOKUP(B57,Mapping!A:E,5,0)</f>
        <v>Sulabh</v>
      </c>
      <c r="G57" s="1" t="str">
        <f>VLOOKUP(B57,Mapping!A:F,6,0)</f>
        <v>Parul</v>
      </c>
      <c r="H57" s="27">
        <v>0</v>
      </c>
      <c r="I57" s="27">
        <v>0</v>
      </c>
      <c r="J57" s="27">
        <v>1</v>
      </c>
      <c r="K57" s="27">
        <v>1</v>
      </c>
      <c r="L57" s="27">
        <v>1</v>
      </c>
      <c r="M57" s="27">
        <v>1</v>
      </c>
      <c r="N57" s="27">
        <v>0</v>
      </c>
      <c r="O57" s="27">
        <v>0</v>
      </c>
      <c r="P57" s="27">
        <v>0</v>
      </c>
      <c r="Q57" s="27">
        <v>0</v>
      </c>
      <c r="R57" s="27">
        <v>0</v>
      </c>
      <c r="S57" s="27">
        <v>0</v>
      </c>
      <c r="T57" s="3">
        <f t="shared" si="0"/>
        <v>4</v>
      </c>
    </row>
    <row r="58" spans="1:20" x14ac:dyDescent="0.35">
      <c r="A58" s="1" t="s">
        <v>142</v>
      </c>
      <c r="B58" s="1" t="s">
        <v>76</v>
      </c>
      <c r="C58" s="1" t="str">
        <f>VLOOKUP(B58,Mapping!A:B,2,0)</f>
        <v>Leadership</v>
      </c>
      <c r="D58" s="1" t="str">
        <f>VLOOKUP(B58,Mapping!A:C,3,0)</f>
        <v>South</v>
      </c>
      <c r="E58" s="1" t="str">
        <f>VLOOKUP(B58,Mapping!A:D,4,0)</f>
        <v>South 2</v>
      </c>
      <c r="F58" s="1" t="str">
        <f>VLOOKUP(B58,Mapping!A:E,5,0)</f>
        <v>Sulabh</v>
      </c>
      <c r="G58" s="1" t="str">
        <f>VLOOKUP(B58,Mapping!A:F,6,0)</f>
        <v>Parul</v>
      </c>
      <c r="H58" s="27">
        <v>0</v>
      </c>
      <c r="I58" s="27">
        <v>0</v>
      </c>
      <c r="J58" s="27">
        <v>0</v>
      </c>
      <c r="K58" s="27">
        <v>1</v>
      </c>
      <c r="L58" s="27">
        <v>1</v>
      </c>
      <c r="M58" s="27">
        <v>1</v>
      </c>
      <c r="N58" s="27">
        <v>0</v>
      </c>
      <c r="O58" s="27">
        <v>0</v>
      </c>
      <c r="P58" s="27">
        <v>2</v>
      </c>
      <c r="Q58" s="27">
        <v>0</v>
      </c>
      <c r="R58" s="27">
        <v>0</v>
      </c>
      <c r="S58" s="27">
        <v>1</v>
      </c>
      <c r="T58" s="3">
        <f t="shared" si="0"/>
        <v>6</v>
      </c>
    </row>
    <row r="59" spans="1:20" x14ac:dyDescent="0.35">
      <c r="A59" s="1" t="s">
        <v>142</v>
      </c>
      <c r="B59" s="1" t="s">
        <v>77</v>
      </c>
      <c r="C59" s="1" t="str">
        <f>VLOOKUP(B59,Mapping!A:B,2,0)</f>
        <v>Leadership</v>
      </c>
      <c r="D59" s="1" t="str">
        <f>VLOOKUP(B59,Mapping!A:C,3,0)</f>
        <v>North</v>
      </c>
      <c r="E59" s="1" t="str">
        <f>VLOOKUP(B59,Mapping!A:D,4,0)</f>
        <v>North</v>
      </c>
      <c r="F59" s="1" t="str">
        <f>VLOOKUP(B59,Mapping!A:E,5,0)</f>
        <v>Anjli</v>
      </c>
      <c r="G59" s="1" t="str">
        <f>VLOOKUP(B59,Mapping!A:F,6,0)</f>
        <v>Parul</v>
      </c>
      <c r="H59" s="27">
        <v>0</v>
      </c>
      <c r="I59" s="27">
        <v>0</v>
      </c>
      <c r="J59" s="27">
        <v>0</v>
      </c>
      <c r="K59" s="27">
        <v>0</v>
      </c>
      <c r="L59" s="27">
        <v>0</v>
      </c>
      <c r="M59" s="27">
        <v>0</v>
      </c>
      <c r="N59" s="27">
        <v>0</v>
      </c>
      <c r="O59" s="27">
        <v>0</v>
      </c>
      <c r="P59" s="27">
        <v>0</v>
      </c>
      <c r="Q59" s="27">
        <v>0</v>
      </c>
      <c r="R59" s="27">
        <v>0</v>
      </c>
      <c r="S59" s="27">
        <v>0</v>
      </c>
      <c r="T59" s="3">
        <f t="shared" si="0"/>
        <v>0</v>
      </c>
    </row>
    <row r="60" spans="1:20" x14ac:dyDescent="0.35">
      <c r="A60" s="1" t="s">
        <v>142</v>
      </c>
      <c r="B60" s="1" t="s">
        <v>78</v>
      </c>
      <c r="C60" s="1" t="str">
        <f>VLOOKUP(B60,Mapping!A:B,2,0)</f>
        <v>Leadership</v>
      </c>
      <c r="D60" s="1" t="str">
        <f>VLOOKUP(B60,Mapping!A:C,3,0)</f>
        <v>West</v>
      </c>
      <c r="E60" s="1" t="str">
        <f>VLOOKUP(B60,Mapping!A:D,4,0)</f>
        <v>West 1</v>
      </c>
      <c r="F60" s="1" t="str">
        <f>VLOOKUP(B60,Mapping!A:E,5,0)</f>
        <v>Anjli</v>
      </c>
      <c r="G60" s="1" t="str">
        <f>VLOOKUP(B60,Mapping!A:F,6,0)</f>
        <v>Parul</v>
      </c>
      <c r="H60" s="27">
        <v>0</v>
      </c>
      <c r="I60" s="27">
        <v>0</v>
      </c>
      <c r="J60" s="27">
        <v>0</v>
      </c>
      <c r="K60" s="27">
        <v>0</v>
      </c>
      <c r="L60" s="27">
        <v>0</v>
      </c>
      <c r="M60" s="27">
        <v>0</v>
      </c>
      <c r="N60" s="27">
        <v>0</v>
      </c>
      <c r="O60" s="27">
        <v>0</v>
      </c>
      <c r="P60" s="27">
        <v>0</v>
      </c>
      <c r="Q60" s="27">
        <v>0</v>
      </c>
      <c r="R60" s="27">
        <v>0</v>
      </c>
      <c r="S60" s="27">
        <v>0</v>
      </c>
      <c r="T60" s="3">
        <f t="shared" si="0"/>
        <v>0</v>
      </c>
    </row>
    <row r="61" spans="1:20" x14ac:dyDescent="0.35">
      <c r="A61" s="1" t="s">
        <v>142</v>
      </c>
      <c r="B61" s="1" t="s">
        <v>79</v>
      </c>
      <c r="C61" s="1" t="str">
        <f>VLOOKUP(B61,Mapping!A:B,2,0)</f>
        <v>Leadership</v>
      </c>
      <c r="D61" s="1" t="str">
        <f>VLOOKUP(B61,Mapping!A:C,3,0)</f>
        <v>West</v>
      </c>
      <c r="E61" s="1" t="str">
        <f>VLOOKUP(B61,Mapping!A:D,4,0)</f>
        <v>West 2</v>
      </c>
      <c r="F61" s="1" t="str">
        <f>VLOOKUP(B61,Mapping!A:E,5,0)</f>
        <v>Anjli</v>
      </c>
      <c r="G61" s="1" t="str">
        <f>VLOOKUP(B61,Mapping!A:F,6,0)</f>
        <v>Parul</v>
      </c>
      <c r="H61" s="27">
        <v>0</v>
      </c>
      <c r="I61" s="27">
        <v>0</v>
      </c>
      <c r="J61" s="27">
        <v>1.8</v>
      </c>
      <c r="K61" s="27">
        <v>0</v>
      </c>
      <c r="L61" s="27">
        <v>0</v>
      </c>
      <c r="M61" s="27">
        <v>3</v>
      </c>
      <c r="N61" s="27">
        <v>0</v>
      </c>
      <c r="O61" s="27">
        <v>0</v>
      </c>
      <c r="P61" s="27">
        <v>2</v>
      </c>
      <c r="Q61" s="27">
        <v>0</v>
      </c>
      <c r="R61" s="27">
        <v>0</v>
      </c>
      <c r="S61" s="27">
        <v>2</v>
      </c>
      <c r="T61" s="3">
        <f t="shared" si="0"/>
        <v>8.8000000000000007</v>
      </c>
    </row>
    <row r="62" spans="1:20" x14ac:dyDescent="0.35">
      <c r="A62" s="1" t="s">
        <v>142</v>
      </c>
      <c r="B62" s="1" t="s">
        <v>80</v>
      </c>
      <c r="C62" s="1" t="str">
        <f>VLOOKUP(B62,Mapping!A:B,2,0)</f>
        <v>Leadership</v>
      </c>
      <c r="D62" s="1" t="str">
        <f>VLOOKUP(B62,Mapping!A:C,3,0)</f>
        <v>North</v>
      </c>
      <c r="E62" s="1" t="str">
        <f>VLOOKUP(B62,Mapping!A:D,4,0)</f>
        <v>North</v>
      </c>
      <c r="F62" s="1" t="str">
        <f>VLOOKUP(B62,Mapping!A:E,5,0)</f>
        <v>Anjli</v>
      </c>
      <c r="G62" s="1" t="str">
        <f>VLOOKUP(B62,Mapping!A:F,6,0)</f>
        <v>Parul</v>
      </c>
      <c r="H62" s="27">
        <v>0</v>
      </c>
      <c r="I62" s="27">
        <v>0</v>
      </c>
      <c r="J62" s="27">
        <v>0</v>
      </c>
      <c r="K62" s="27">
        <v>0</v>
      </c>
      <c r="L62" s="27">
        <v>0</v>
      </c>
      <c r="M62" s="27">
        <v>0</v>
      </c>
      <c r="N62" s="27">
        <v>0</v>
      </c>
      <c r="O62" s="27">
        <v>0</v>
      </c>
      <c r="P62" s="27">
        <v>0</v>
      </c>
      <c r="Q62" s="27">
        <v>0</v>
      </c>
      <c r="R62" s="27">
        <v>0</v>
      </c>
      <c r="S62" s="27">
        <v>0</v>
      </c>
      <c r="T62" s="3">
        <f t="shared" si="0"/>
        <v>0</v>
      </c>
    </row>
    <row r="63" spans="1:20" x14ac:dyDescent="0.35">
      <c r="A63" s="1" t="s">
        <v>142</v>
      </c>
      <c r="B63" s="1" t="s">
        <v>81</v>
      </c>
      <c r="C63" s="1" t="str">
        <f>VLOOKUP(B63,Mapping!A:B,2,0)</f>
        <v>Leadership</v>
      </c>
      <c r="D63" s="1" t="str">
        <f>VLOOKUP(B63,Mapping!A:C,3,0)</f>
        <v>North</v>
      </c>
      <c r="E63" s="1" t="str">
        <f>VLOOKUP(B63,Mapping!A:D,4,0)</f>
        <v>North</v>
      </c>
      <c r="F63" s="1" t="str">
        <f>VLOOKUP(B63,Mapping!A:E,5,0)</f>
        <v>Anjli</v>
      </c>
      <c r="G63" s="1" t="str">
        <f>VLOOKUP(B63,Mapping!A:F,6,0)</f>
        <v>Parul</v>
      </c>
      <c r="H63" s="27">
        <v>0</v>
      </c>
      <c r="I63" s="27">
        <v>0</v>
      </c>
      <c r="J63" s="27">
        <v>0</v>
      </c>
      <c r="K63" s="27">
        <v>0</v>
      </c>
      <c r="L63" s="27">
        <v>0</v>
      </c>
      <c r="M63" s="27">
        <v>0</v>
      </c>
      <c r="N63" s="27">
        <v>0</v>
      </c>
      <c r="O63" s="27">
        <v>0</v>
      </c>
      <c r="P63" s="27">
        <v>0</v>
      </c>
      <c r="Q63" s="27">
        <v>0</v>
      </c>
      <c r="R63" s="27">
        <v>0</v>
      </c>
      <c r="S63" s="27">
        <v>0</v>
      </c>
      <c r="T63" s="3">
        <f t="shared" si="0"/>
        <v>0</v>
      </c>
    </row>
    <row r="64" spans="1:20" x14ac:dyDescent="0.35">
      <c r="A64" s="1" t="s">
        <v>142</v>
      </c>
      <c r="B64" s="1" t="s">
        <v>82</v>
      </c>
      <c r="C64" s="1" t="str">
        <f>VLOOKUP(B64,Mapping!A:B,2,0)</f>
        <v>Leadership</v>
      </c>
      <c r="D64" s="1" t="str">
        <f>VLOOKUP(B64,Mapping!A:C,3,0)</f>
        <v>West</v>
      </c>
      <c r="E64" s="1" t="str">
        <f>VLOOKUP(B64,Mapping!A:D,4,0)</f>
        <v>West 1</v>
      </c>
      <c r="F64" s="1" t="str">
        <f>VLOOKUP(B64,Mapping!A:E,5,0)</f>
        <v>Anjli</v>
      </c>
      <c r="G64" s="1" t="str">
        <f>VLOOKUP(B64,Mapping!A:F,6,0)</f>
        <v>Parul</v>
      </c>
      <c r="H64" s="27">
        <v>0</v>
      </c>
      <c r="I64" s="27">
        <v>0</v>
      </c>
      <c r="J64" s="27">
        <v>0</v>
      </c>
      <c r="K64" s="27">
        <v>0</v>
      </c>
      <c r="L64" s="27">
        <v>0</v>
      </c>
      <c r="M64" s="27">
        <v>0</v>
      </c>
      <c r="N64" s="27">
        <v>0</v>
      </c>
      <c r="O64" s="27">
        <v>0</v>
      </c>
      <c r="P64" s="27">
        <v>0</v>
      </c>
      <c r="Q64" s="27">
        <v>0</v>
      </c>
      <c r="R64" s="27">
        <v>0</v>
      </c>
      <c r="S64" s="27">
        <v>0</v>
      </c>
      <c r="T64" s="3">
        <f t="shared" si="0"/>
        <v>0</v>
      </c>
    </row>
    <row r="65" spans="1:20" x14ac:dyDescent="0.35">
      <c r="A65" s="1" t="s">
        <v>142</v>
      </c>
      <c r="B65" s="1" t="s">
        <v>83</v>
      </c>
      <c r="C65" s="1" t="str">
        <f>VLOOKUP(B65,Mapping!A:B,2,0)</f>
        <v>Leadership</v>
      </c>
      <c r="D65" s="1" t="str">
        <f>VLOOKUP(B65,Mapping!A:C,3,0)</f>
        <v>North</v>
      </c>
      <c r="E65" s="1" t="str">
        <f>VLOOKUP(B65,Mapping!A:D,4,0)</f>
        <v>North</v>
      </c>
      <c r="F65" s="1" t="str">
        <f>VLOOKUP(B65,Mapping!A:E,5,0)</f>
        <v>Anjli</v>
      </c>
      <c r="G65" s="1" t="str">
        <f>VLOOKUP(B65,Mapping!A:F,6,0)</f>
        <v>Parul</v>
      </c>
      <c r="H65" s="27">
        <v>0</v>
      </c>
      <c r="I65" s="27">
        <v>0</v>
      </c>
      <c r="J65" s="27">
        <v>0</v>
      </c>
      <c r="K65" s="27">
        <v>0</v>
      </c>
      <c r="L65" s="27">
        <v>0</v>
      </c>
      <c r="M65" s="27">
        <v>0</v>
      </c>
      <c r="N65" s="27">
        <v>0</v>
      </c>
      <c r="O65" s="27">
        <v>0</v>
      </c>
      <c r="P65" s="27">
        <v>1</v>
      </c>
      <c r="Q65" s="27">
        <v>0</v>
      </c>
      <c r="R65" s="27">
        <v>0</v>
      </c>
      <c r="S65" s="27">
        <v>2</v>
      </c>
      <c r="T65" s="3">
        <f t="shared" si="0"/>
        <v>3</v>
      </c>
    </row>
    <row r="66" spans="1:20" x14ac:dyDescent="0.35">
      <c r="A66" s="1" t="s">
        <v>142</v>
      </c>
      <c r="B66" s="1" t="s">
        <v>84</v>
      </c>
      <c r="C66" s="1" t="str">
        <f>VLOOKUP(B66,Mapping!A:B,2,0)</f>
        <v>Lateral</v>
      </c>
      <c r="D66" s="1" t="str">
        <f>VLOOKUP(B66,Mapping!A:C,3,0)</f>
        <v>South</v>
      </c>
      <c r="E66" s="1" t="str">
        <f>VLOOKUP(B66,Mapping!A:D,4,0)</f>
        <v>South 1</v>
      </c>
      <c r="F66" s="1" t="str">
        <f>VLOOKUP(B66,Mapping!A:E,5,0)</f>
        <v>Ashish</v>
      </c>
      <c r="G66" s="1" t="str">
        <f>VLOOKUP(B66,Mapping!A:F,6,0)</f>
        <v>Ashish</v>
      </c>
      <c r="H66" s="27">
        <v>65.400000000000006</v>
      </c>
      <c r="I66" s="27">
        <v>45.8</v>
      </c>
      <c r="J66" s="27">
        <v>45.8</v>
      </c>
      <c r="K66" s="27">
        <v>45.833333333333336</v>
      </c>
      <c r="L66" s="27">
        <v>45.833333333333336</v>
      </c>
      <c r="M66" s="27">
        <v>45.833333333333336</v>
      </c>
      <c r="N66" s="27">
        <v>45.833333333333336</v>
      </c>
      <c r="O66" s="27">
        <v>45.833333333333336</v>
      </c>
      <c r="P66" s="27">
        <v>45.833333333333336</v>
      </c>
      <c r="Q66" s="27">
        <v>45.833333333333336</v>
      </c>
      <c r="R66" s="27">
        <v>45.833333333333336</v>
      </c>
      <c r="S66" s="27">
        <v>45.833333333333336</v>
      </c>
      <c r="T66" s="3">
        <f t="shared" si="0"/>
        <v>569.5</v>
      </c>
    </row>
    <row r="67" spans="1:20" x14ac:dyDescent="0.35">
      <c r="A67" s="1" t="s">
        <v>142</v>
      </c>
      <c r="B67" s="1" t="s">
        <v>86</v>
      </c>
      <c r="C67" s="1" t="str">
        <f>VLOOKUP(B67,Mapping!A:B,2,0)</f>
        <v>Lateral</v>
      </c>
      <c r="D67" s="1" t="str">
        <f>VLOOKUP(B67,Mapping!A:C,3,0)</f>
        <v>New Sales</v>
      </c>
      <c r="E67" s="1" t="str">
        <f>VLOOKUP(B67,Mapping!A:D,4,0)</f>
        <v>New Sales</v>
      </c>
      <c r="F67" s="1" t="str">
        <f>VLOOKUP(B67,Mapping!A:E,5,0)</f>
        <v>Nizar</v>
      </c>
      <c r="G67" s="1" t="str">
        <f>VLOOKUP(B67,Mapping!A:F,6,0)</f>
        <v>Nizar</v>
      </c>
      <c r="H67" s="27">
        <v>0</v>
      </c>
      <c r="I67" s="27">
        <v>0</v>
      </c>
      <c r="J67" s="27">
        <v>0</v>
      </c>
      <c r="K67" s="27">
        <v>0</v>
      </c>
      <c r="L67" s="27">
        <v>0</v>
      </c>
      <c r="M67" s="27">
        <v>0</v>
      </c>
      <c r="N67" s="27">
        <v>0</v>
      </c>
      <c r="O67" s="27">
        <v>0</v>
      </c>
      <c r="P67" s="27">
        <v>0</v>
      </c>
      <c r="Q67" s="27">
        <v>0</v>
      </c>
      <c r="R67" s="27">
        <v>0</v>
      </c>
      <c r="S67" s="27">
        <v>0</v>
      </c>
      <c r="T67" s="3">
        <f t="shared" ref="T67:T84" si="1">SUM(H67:S67)</f>
        <v>0</v>
      </c>
    </row>
    <row r="68" spans="1:20" x14ac:dyDescent="0.35">
      <c r="A68" s="1" t="s">
        <v>142</v>
      </c>
      <c r="B68" s="1" t="s">
        <v>89</v>
      </c>
      <c r="C68" s="1" t="str">
        <f>VLOOKUP(B68,Mapping!A:B,2,0)</f>
        <v>Lateral</v>
      </c>
      <c r="D68" s="1" t="str">
        <f>VLOOKUP(B68,Mapping!A:C,3,0)</f>
        <v>North</v>
      </c>
      <c r="E68" s="1" t="str">
        <f>VLOOKUP(B68,Mapping!A:D,4,0)</f>
        <v>North</v>
      </c>
      <c r="F68" s="1" t="str">
        <f>VLOOKUP(B68,Mapping!A:E,5,0)</f>
        <v>Anjli</v>
      </c>
      <c r="G68" s="1" t="str">
        <f>VLOOKUP(B68,Mapping!A:F,6,0)</f>
        <v>Archana</v>
      </c>
      <c r="H68" s="27">
        <v>10.17</v>
      </c>
      <c r="I68" s="27">
        <v>10.19</v>
      </c>
      <c r="J68" s="27">
        <v>9.75</v>
      </c>
      <c r="K68" s="27">
        <v>9.5</v>
      </c>
      <c r="L68" s="27">
        <v>9.5</v>
      </c>
      <c r="M68" s="27">
        <v>9.5</v>
      </c>
      <c r="N68" s="27">
        <v>11</v>
      </c>
      <c r="O68" s="27">
        <v>11</v>
      </c>
      <c r="P68" s="27">
        <v>11</v>
      </c>
      <c r="Q68" s="27">
        <v>5</v>
      </c>
      <c r="R68" s="27">
        <v>5</v>
      </c>
      <c r="S68" s="27">
        <v>5</v>
      </c>
      <c r="T68" s="3">
        <f t="shared" si="1"/>
        <v>106.61</v>
      </c>
    </row>
    <row r="69" spans="1:20" x14ac:dyDescent="0.35">
      <c r="A69" s="1" t="s">
        <v>142</v>
      </c>
      <c r="B69" s="1" t="s">
        <v>91</v>
      </c>
      <c r="C69" s="1" t="str">
        <f>VLOOKUP(B69,Mapping!A:B,2,0)</f>
        <v>Lateral</v>
      </c>
      <c r="D69" s="1" t="str">
        <f>VLOOKUP(B69,Mapping!A:C,3,0)</f>
        <v>North</v>
      </c>
      <c r="E69" s="1" t="str">
        <f>VLOOKUP(B69,Mapping!A:D,4,0)</f>
        <v>North</v>
      </c>
      <c r="F69" s="1" t="str">
        <f>VLOOKUP(B69,Mapping!A:E,5,0)</f>
        <v>Anjli</v>
      </c>
      <c r="G69" s="1" t="str">
        <f>VLOOKUP(B69,Mapping!A:F,6,0)</f>
        <v>Archana</v>
      </c>
      <c r="H69" s="27">
        <v>6.5951000000000004</v>
      </c>
      <c r="I69" s="27">
        <v>4.0999999999999996</v>
      </c>
      <c r="J69" s="27">
        <v>4</v>
      </c>
      <c r="K69" s="27">
        <v>4</v>
      </c>
      <c r="L69" s="27">
        <v>4</v>
      </c>
      <c r="M69" s="27">
        <v>4</v>
      </c>
      <c r="N69" s="27">
        <v>4</v>
      </c>
      <c r="O69" s="27">
        <v>4</v>
      </c>
      <c r="P69" s="27">
        <v>4</v>
      </c>
      <c r="Q69" s="27">
        <v>4</v>
      </c>
      <c r="R69" s="27">
        <v>4</v>
      </c>
      <c r="S69" s="27">
        <v>4</v>
      </c>
      <c r="T69" s="3">
        <f t="shared" si="1"/>
        <v>50.695099999999996</v>
      </c>
    </row>
    <row r="70" spans="1:20" x14ac:dyDescent="0.35">
      <c r="A70" s="1" t="s">
        <v>142</v>
      </c>
      <c r="B70" s="1" t="s">
        <v>92</v>
      </c>
      <c r="C70" s="1" t="e">
        <f>VLOOKUP(B70,Mapping!A:B,2,0)</f>
        <v>#N/A</v>
      </c>
      <c r="D70" s="1" t="e">
        <f>VLOOKUP(B70,Mapping!A:C,3,0)</f>
        <v>#N/A</v>
      </c>
      <c r="E70" s="1" t="e">
        <f>VLOOKUP(B70,Mapping!A:D,4,0)</f>
        <v>#N/A</v>
      </c>
      <c r="F70" s="1" t="e">
        <f>VLOOKUP(B70,Mapping!A:E,5,0)</f>
        <v>#N/A</v>
      </c>
      <c r="G70" s="1" t="e">
        <f>VLOOKUP(B70,Mapping!A:F,6,0)</f>
        <v>#N/A</v>
      </c>
      <c r="H70" s="27">
        <v>17</v>
      </c>
      <c r="I70" s="27">
        <v>25</v>
      </c>
      <c r="J70" s="27">
        <v>30</v>
      </c>
      <c r="K70" s="27">
        <v>37.379999999999995</v>
      </c>
      <c r="L70" s="27">
        <v>37.379999999999995</v>
      </c>
      <c r="M70" s="27">
        <v>40.93</v>
      </c>
      <c r="N70" s="27">
        <v>40.93</v>
      </c>
      <c r="O70" s="27">
        <v>40.93</v>
      </c>
      <c r="P70" s="27">
        <v>40.93</v>
      </c>
      <c r="Q70" s="27">
        <v>40.93</v>
      </c>
      <c r="R70" s="27">
        <v>40.93</v>
      </c>
      <c r="S70" s="27">
        <v>40.93</v>
      </c>
      <c r="T70" s="3">
        <f t="shared" si="1"/>
        <v>433.27000000000004</v>
      </c>
    </row>
    <row r="71" spans="1:20" x14ac:dyDescent="0.35">
      <c r="A71" s="1" t="s">
        <v>142</v>
      </c>
      <c r="B71" s="1" t="s">
        <v>93</v>
      </c>
      <c r="C71" s="1" t="str">
        <f>VLOOKUP(B71,Mapping!A:B,2,0)</f>
        <v>Lateral</v>
      </c>
      <c r="D71" s="1" t="str">
        <f>VLOOKUP(B71,Mapping!A:C,3,0)</f>
        <v>West</v>
      </c>
      <c r="E71" s="1" t="str">
        <f>VLOOKUP(B71,Mapping!A:D,4,0)</f>
        <v>West 1</v>
      </c>
      <c r="F71" s="1" t="str">
        <f>VLOOKUP(B71,Mapping!A:E,5,0)</f>
        <v>Anjli</v>
      </c>
      <c r="G71" s="1" t="str">
        <f>VLOOKUP(B71,Mapping!A:F,6,0)</f>
        <v>Geetu</v>
      </c>
      <c r="H71" s="27">
        <v>10.65</v>
      </c>
      <c r="I71" s="27">
        <v>8.56</v>
      </c>
      <c r="J71" s="27">
        <v>5.0999999999999996</v>
      </c>
      <c r="K71" s="27">
        <v>7.1333333333333329</v>
      </c>
      <c r="L71" s="27">
        <v>7.1333333333333329</v>
      </c>
      <c r="M71" s="27">
        <v>7.1333333333333329</v>
      </c>
      <c r="N71" s="27">
        <v>7.2166666666666659</v>
      </c>
      <c r="O71" s="27">
        <v>7.2166666666666659</v>
      </c>
      <c r="P71" s="27">
        <v>7.2166666666666659</v>
      </c>
      <c r="Q71" s="27">
        <v>6.7</v>
      </c>
      <c r="R71" s="27">
        <v>6.7</v>
      </c>
      <c r="S71" s="27">
        <v>6.7</v>
      </c>
      <c r="T71" s="3">
        <f t="shared" si="1"/>
        <v>87.460000000000008</v>
      </c>
    </row>
    <row r="72" spans="1:20" x14ac:dyDescent="0.35">
      <c r="A72" s="1" t="s">
        <v>142</v>
      </c>
      <c r="B72" s="1" t="s">
        <v>94</v>
      </c>
      <c r="C72" s="1" t="str">
        <f>VLOOKUP(B72,Mapping!A:B,2,0)</f>
        <v>Lateral</v>
      </c>
      <c r="D72" s="1" t="str">
        <f>VLOOKUP(B72,Mapping!A:C,3,0)</f>
        <v>West</v>
      </c>
      <c r="E72" s="1" t="str">
        <f>VLOOKUP(B72,Mapping!A:D,4,0)</f>
        <v>West 1</v>
      </c>
      <c r="F72" s="1" t="str">
        <f>VLOOKUP(B72,Mapping!A:E,5,0)</f>
        <v>Anjli</v>
      </c>
      <c r="G72" s="1" t="str">
        <f>VLOOKUP(B72,Mapping!A:F,6,0)</f>
        <v>Archana</v>
      </c>
      <c r="H72" s="27">
        <v>0</v>
      </c>
      <c r="I72" s="27">
        <v>0</v>
      </c>
      <c r="J72" s="27">
        <v>0</v>
      </c>
      <c r="K72" s="27">
        <v>1.7</v>
      </c>
      <c r="L72" s="27">
        <v>1.7</v>
      </c>
      <c r="M72" s="27">
        <v>1.7</v>
      </c>
      <c r="N72" s="27">
        <v>46.5</v>
      </c>
      <c r="O72" s="27">
        <v>46.5</v>
      </c>
      <c r="P72" s="27">
        <v>46.5</v>
      </c>
      <c r="Q72" s="27">
        <v>46.5</v>
      </c>
      <c r="R72" s="27">
        <v>46.5</v>
      </c>
      <c r="S72" s="27">
        <v>46.5</v>
      </c>
      <c r="T72" s="3">
        <f t="shared" si="1"/>
        <v>284.10000000000002</v>
      </c>
    </row>
    <row r="73" spans="1:20" x14ac:dyDescent="0.35">
      <c r="A73" s="1" t="s">
        <v>142</v>
      </c>
      <c r="B73" s="1" t="s">
        <v>95</v>
      </c>
      <c r="C73" s="1" t="str">
        <f>VLOOKUP(B73,Mapping!A:B,2,0)</f>
        <v>Lateral</v>
      </c>
      <c r="D73" s="1" t="str">
        <f>VLOOKUP(B73,Mapping!A:C,3,0)</f>
        <v>South</v>
      </c>
      <c r="E73" s="1" t="str">
        <f>VLOOKUP(B73,Mapping!A:D,4,0)</f>
        <v>South 2</v>
      </c>
      <c r="F73" s="1" t="str">
        <f>VLOOKUP(B73,Mapping!A:E,5,0)</f>
        <v>Sulabh</v>
      </c>
      <c r="G73" s="1" t="str">
        <f>VLOOKUP(B73,Mapping!A:F,6,0)</f>
        <v>Lekhana</v>
      </c>
      <c r="H73" s="27">
        <v>7.97</v>
      </c>
      <c r="I73" s="27">
        <v>9.0863999999999994</v>
      </c>
      <c r="J73" s="27">
        <v>9.0863999999999994</v>
      </c>
      <c r="K73" s="27">
        <v>10</v>
      </c>
      <c r="L73" s="27">
        <v>10</v>
      </c>
      <c r="M73" s="27">
        <v>10</v>
      </c>
      <c r="N73" s="27">
        <v>14.432000000000002</v>
      </c>
      <c r="O73" s="27">
        <v>14.432000000000002</v>
      </c>
      <c r="P73" s="27">
        <v>14.432000000000002</v>
      </c>
      <c r="Q73" s="27">
        <v>14.432000000000002</v>
      </c>
      <c r="R73" s="27">
        <v>14.432000000000002</v>
      </c>
      <c r="S73" s="27">
        <v>14.432000000000002</v>
      </c>
      <c r="T73" s="3">
        <f t="shared" si="1"/>
        <v>142.73480000000001</v>
      </c>
    </row>
    <row r="74" spans="1:20" x14ac:dyDescent="0.35">
      <c r="A74" s="1" t="s">
        <v>142</v>
      </c>
      <c r="B74" s="1" t="s">
        <v>97</v>
      </c>
      <c r="C74" s="1" t="str">
        <f>VLOOKUP(B74,Mapping!A:B,2,0)</f>
        <v>Lateral</v>
      </c>
      <c r="D74" s="1" t="str">
        <f>VLOOKUP(B74,Mapping!A:C,3,0)</f>
        <v>South</v>
      </c>
      <c r="E74" s="1" t="str">
        <f>VLOOKUP(B74,Mapping!A:D,4,0)</f>
        <v>South 2</v>
      </c>
      <c r="F74" s="1" t="str">
        <f>VLOOKUP(B74,Mapping!A:E,5,0)</f>
        <v>Sulabh</v>
      </c>
      <c r="G74" s="1" t="str">
        <f>VLOOKUP(B74,Mapping!A:F,6,0)</f>
        <v>Satya</v>
      </c>
      <c r="H74" s="27">
        <v>2.90625</v>
      </c>
      <c r="I74" s="27">
        <v>7.95</v>
      </c>
      <c r="J74" s="27">
        <v>9</v>
      </c>
      <c r="K74" s="27">
        <v>7</v>
      </c>
      <c r="L74" s="27">
        <v>7</v>
      </c>
      <c r="M74" s="27">
        <v>6</v>
      </c>
      <c r="N74" s="27">
        <v>4</v>
      </c>
      <c r="O74" s="27">
        <v>4</v>
      </c>
      <c r="P74" s="27">
        <v>4</v>
      </c>
      <c r="Q74" s="27">
        <v>5</v>
      </c>
      <c r="R74" s="27">
        <v>5</v>
      </c>
      <c r="S74" s="27">
        <v>5</v>
      </c>
      <c r="T74" s="3">
        <f t="shared" si="1"/>
        <v>66.856250000000003</v>
      </c>
    </row>
    <row r="75" spans="1:20" x14ac:dyDescent="0.35">
      <c r="A75" s="1" t="s">
        <v>142</v>
      </c>
      <c r="B75" s="1" t="s">
        <v>98</v>
      </c>
      <c r="C75" s="1" t="str">
        <f>VLOOKUP(B75,Mapping!A:B,2,0)</f>
        <v>Lateral</v>
      </c>
      <c r="D75" s="1" t="str">
        <f>VLOOKUP(B75,Mapping!A:C,3,0)</f>
        <v>West</v>
      </c>
      <c r="E75" s="1" t="str">
        <f>VLOOKUP(B75,Mapping!A:D,4,0)</f>
        <v>West 1</v>
      </c>
      <c r="F75" s="1" t="str">
        <f>VLOOKUP(B75,Mapping!A:E,5,0)</f>
        <v>Anjli</v>
      </c>
      <c r="G75" s="1" t="str">
        <f>VLOOKUP(B75,Mapping!A:F,6,0)</f>
        <v>Anjli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0</v>
      </c>
      <c r="R75" s="27">
        <v>0</v>
      </c>
      <c r="S75" s="27">
        <v>0</v>
      </c>
      <c r="T75" s="3">
        <f t="shared" si="1"/>
        <v>0</v>
      </c>
    </row>
    <row r="76" spans="1:20" x14ac:dyDescent="0.35">
      <c r="A76" s="1" t="s">
        <v>142</v>
      </c>
      <c r="B76" s="1" t="s">
        <v>99</v>
      </c>
      <c r="C76" s="1" t="e">
        <f>VLOOKUP(B76,Mapping!A:B,2,0)</f>
        <v>#N/A</v>
      </c>
      <c r="D76" s="1" t="e">
        <f>VLOOKUP(B76,Mapping!A:C,3,0)</f>
        <v>#N/A</v>
      </c>
      <c r="E76" s="1" t="e">
        <f>VLOOKUP(B76,Mapping!A:D,4,0)</f>
        <v>#N/A</v>
      </c>
      <c r="F76" s="1" t="e">
        <f>VLOOKUP(B76,Mapping!A:E,5,0)</f>
        <v>#N/A</v>
      </c>
      <c r="G76" s="1" t="e">
        <f>VLOOKUP(B76,Mapping!A:F,6,0)</f>
        <v>#N/A</v>
      </c>
      <c r="H76" s="27">
        <v>7.9112900000000002</v>
      </c>
      <c r="I76" s="27">
        <v>10.6</v>
      </c>
      <c r="J76" s="27">
        <v>3.83</v>
      </c>
      <c r="K76" s="27">
        <v>8.3000000000000007</v>
      </c>
      <c r="L76" s="27">
        <v>8.3000000000000007</v>
      </c>
      <c r="M76" s="27">
        <v>8.3000000000000007</v>
      </c>
      <c r="N76" s="27">
        <v>7.9</v>
      </c>
      <c r="O76" s="27">
        <v>7.9</v>
      </c>
      <c r="P76" s="27">
        <v>7.9</v>
      </c>
      <c r="Q76" s="27">
        <v>7.25</v>
      </c>
      <c r="R76" s="27">
        <v>7.25</v>
      </c>
      <c r="S76" s="27">
        <v>7.25</v>
      </c>
      <c r="T76" s="3">
        <f t="shared" si="1"/>
        <v>92.691290000000009</v>
      </c>
    </row>
    <row r="77" spans="1:20" x14ac:dyDescent="0.35">
      <c r="A77" s="1" t="s">
        <v>142</v>
      </c>
      <c r="B77" s="1" t="s">
        <v>100</v>
      </c>
      <c r="C77" s="1" t="str">
        <f>VLOOKUP(B77,Mapping!A:B,2,0)</f>
        <v>Lateral</v>
      </c>
      <c r="D77" s="1" t="str">
        <f>VLOOKUP(B77,Mapping!A:C,3,0)</f>
        <v>West</v>
      </c>
      <c r="E77" s="1" t="str">
        <f>VLOOKUP(B77,Mapping!A:D,4,0)</f>
        <v>West 1</v>
      </c>
      <c r="F77" s="1" t="str">
        <f>VLOOKUP(B77,Mapping!A:E,5,0)</f>
        <v>Anjli</v>
      </c>
      <c r="G77" s="1" t="str">
        <f>VLOOKUP(B77,Mapping!A:F,6,0)</f>
        <v>Anjli</v>
      </c>
      <c r="H77" s="27">
        <v>9</v>
      </c>
      <c r="I77" s="27">
        <v>12.5</v>
      </c>
      <c r="J77" s="27">
        <v>11</v>
      </c>
      <c r="K77" s="27">
        <v>40.30932</v>
      </c>
      <c r="L77" s="27">
        <v>41.069319999999998</v>
      </c>
      <c r="M77" s="27">
        <v>49.244320000000002</v>
      </c>
      <c r="N77" s="27">
        <v>54.954340000000002</v>
      </c>
      <c r="O77" s="27">
        <v>40.723320000000001</v>
      </c>
      <c r="P77" s="27">
        <v>53.838369999999998</v>
      </c>
      <c r="Q77" s="27">
        <v>53.59937</v>
      </c>
      <c r="R77" s="27">
        <v>70.003410000000002</v>
      </c>
      <c r="S77" s="27">
        <v>70.003410000000002</v>
      </c>
      <c r="T77" s="3">
        <f t="shared" si="1"/>
        <v>506.24518</v>
      </c>
    </row>
    <row r="78" spans="1:20" x14ac:dyDescent="0.35">
      <c r="A78" s="1" t="s">
        <v>142</v>
      </c>
      <c r="B78" s="1" t="s">
        <v>127</v>
      </c>
      <c r="C78" s="1" t="s">
        <v>127</v>
      </c>
      <c r="D78" s="1" t="s">
        <v>127</v>
      </c>
      <c r="E78" s="1" t="s">
        <v>127</v>
      </c>
      <c r="F78" s="1" t="s">
        <v>129</v>
      </c>
      <c r="G78" s="1" t="s">
        <v>128</v>
      </c>
      <c r="H78" s="27">
        <v>2.9410600000000002</v>
      </c>
      <c r="I78" s="27">
        <v>0.83</v>
      </c>
      <c r="J78" s="27">
        <v>0</v>
      </c>
      <c r="K78" s="27">
        <v>2.1666666666666665</v>
      </c>
      <c r="L78" s="27">
        <v>2.1666666666666665</v>
      </c>
      <c r="M78" s="27">
        <v>2.1666666666666665</v>
      </c>
      <c r="N78" s="27">
        <v>10</v>
      </c>
      <c r="O78" s="27">
        <v>15</v>
      </c>
      <c r="P78" s="27">
        <v>15</v>
      </c>
      <c r="Q78" s="27">
        <v>15</v>
      </c>
      <c r="R78" s="27">
        <v>15</v>
      </c>
      <c r="S78" s="27">
        <v>20</v>
      </c>
      <c r="T78" s="3">
        <f t="shared" si="1"/>
        <v>100.27106000000001</v>
      </c>
    </row>
    <row r="79" spans="1:20" x14ac:dyDescent="0.35">
      <c r="A79" s="1" t="s">
        <v>142</v>
      </c>
      <c r="B79" s="1" t="s">
        <v>126</v>
      </c>
      <c r="C79" s="1" t="s">
        <v>126</v>
      </c>
      <c r="D79" s="1" t="s">
        <v>126</v>
      </c>
      <c r="E79" s="1" t="s">
        <v>126</v>
      </c>
      <c r="F79" s="1" t="s">
        <v>129</v>
      </c>
      <c r="G79" s="1" t="s">
        <v>128</v>
      </c>
      <c r="H79" s="27">
        <v>0</v>
      </c>
      <c r="I79" s="27">
        <v>0</v>
      </c>
      <c r="J79" s="27">
        <v>0</v>
      </c>
      <c r="K79" s="27">
        <v>10</v>
      </c>
      <c r="L79" s="27">
        <v>10</v>
      </c>
      <c r="M79" s="27">
        <v>10</v>
      </c>
      <c r="N79" s="27">
        <v>38</v>
      </c>
      <c r="O79" s="27">
        <v>38</v>
      </c>
      <c r="P79" s="27">
        <v>42</v>
      </c>
      <c r="Q79" s="27">
        <v>52</v>
      </c>
      <c r="R79" s="27">
        <v>44</v>
      </c>
      <c r="S79" s="27">
        <v>54</v>
      </c>
      <c r="T79" s="3">
        <f t="shared" si="1"/>
        <v>298</v>
      </c>
    </row>
    <row r="80" spans="1:20" x14ac:dyDescent="0.35">
      <c r="A80" s="1" t="s">
        <v>142</v>
      </c>
      <c r="B80" s="32" t="s">
        <v>143</v>
      </c>
      <c r="C80" s="31" t="s">
        <v>144</v>
      </c>
      <c r="D80" s="31" t="s">
        <v>5</v>
      </c>
      <c r="E80" s="1" t="s">
        <v>102</v>
      </c>
      <c r="F80" s="1" t="s">
        <v>6</v>
      </c>
      <c r="G80" s="1" t="s">
        <v>6</v>
      </c>
      <c r="H80" s="27">
        <v>0</v>
      </c>
      <c r="I80" s="27">
        <v>2</v>
      </c>
      <c r="J80" s="27">
        <v>2</v>
      </c>
      <c r="K80" s="27">
        <v>7.666666666666667</v>
      </c>
      <c r="L80" s="27">
        <v>7.666666666666667</v>
      </c>
      <c r="M80" s="27">
        <v>7.666666666666667</v>
      </c>
      <c r="N80" s="27">
        <v>0</v>
      </c>
      <c r="O80" s="27">
        <v>0</v>
      </c>
      <c r="P80" s="27">
        <v>0</v>
      </c>
      <c r="Q80" s="27">
        <v>0</v>
      </c>
      <c r="R80" s="27">
        <v>0</v>
      </c>
      <c r="S80" s="27">
        <v>0</v>
      </c>
      <c r="T80" s="3">
        <f t="shared" si="1"/>
        <v>27.000000000000004</v>
      </c>
    </row>
    <row r="81" spans="1:20" x14ac:dyDescent="0.35">
      <c r="A81" s="1" t="s">
        <v>142</v>
      </c>
      <c r="B81" t="s">
        <v>145</v>
      </c>
      <c r="C81" s="44" t="s">
        <v>112</v>
      </c>
      <c r="D81" s="31" t="s">
        <v>5</v>
      </c>
      <c r="E81" s="1" t="s">
        <v>102</v>
      </c>
      <c r="F81" s="1" t="s">
        <v>6</v>
      </c>
      <c r="G81" s="1" t="s">
        <v>6</v>
      </c>
      <c r="H81" s="27">
        <v>0</v>
      </c>
      <c r="I81" s="27">
        <v>0</v>
      </c>
      <c r="J81" s="27">
        <v>0</v>
      </c>
      <c r="K81" s="27">
        <v>0</v>
      </c>
      <c r="L81" s="27">
        <v>0</v>
      </c>
      <c r="M81" s="27">
        <v>0</v>
      </c>
      <c r="N81" s="27">
        <v>0</v>
      </c>
      <c r="O81" s="27">
        <v>0</v>
      </c>
      <c r="P81" s="27">
        <v>0</v>
      </c>
      <c r="Q81" s="27">
        <v>0</v>
      </c>
      <c r="R81" s="27">
        <v>0</v>
      </c>
      <c r="S81" s="27">
        <v>0</v>
      </c>
      <c r="T81" s="3">
        <f t="shared" si="1"/>
        <v>0</v>
      </c>
    </row>
    <row r="82" spans="1:20" x14ac:dyDescent="0.35">
      <c r="A82" s="1" t="s">
        <v>142</v>
      </c>
      <c r="B82" t="s">
        <v>146</v>
      </c>
      <c r="C82" s="44" t="s">
        <v>112</v>
      </c>
      <c r="D82" s="31" t="s">
        <v>5</v>
      </c>
      <c r="E82" s="1" t="s">
        <v>102</v>
      </c>
      <c r="F82" s="1" t="s">
        <v>6</v>
      </c>
      <c r="G82" s="1" t="s">
        <v>6</v>
      </c>
      <c r="H82" s="27">
        <v>0</v>
      </c>
      <c r="I82" s="27">
        <v>0</v>
      </c>
      <c r="J82" s="27">
        <v>0</v>
      </c>
      <c r="K82" s="27">
        <v>0</v>
      </c>
      <c r="L82" s="27">
        <v>0</v>
      </c>
      <c r="M82" s="27">
        <v>0</v>
      </c>
      <c r="N82" s="27">
        <v>0</v>
      </c>
      <c r="O82" s="27">
        <v>0</v>
      </c>
      <c r="P82" s="27">
        <v>0</v>
      </c>
      <c r="Q82" s="27">
        <v>0</v>
      </c>
      <c r="R82" s="27">
        <v>0</v>
      </c>
      <c r="S82" s="27">
        <v>0</v>
      </c>
      <c r="T82" s="3">
        <f t="shared" si="1"/>
        <v>0</v>
      </c>
    </row>
    <row r="83" spans="1:20" x14ac:dyDescent="0.35">
      <c r="A83" s="1" t="s">
        <v>142</v>
      </c>
      <c r="B83" s="1" t="s">
        <v>147</v>
      </c>
      <c r="C83" s="1" t="s">
        <v>113</v>
      </c>
      <c r="D83" s="1" t="s">
        <v>11</v>
      </c>
      <c r="E83" s="1" t="s">
        <v>11</v>
      </c>
      <c r="F83" s="1" t="s">
        <v>149</v>
      </c>
      <c r="G83" s="1" t="s">
        <v>149</v>
      </c>
      <c r="I83" s="1">
        <v>12.5</v>
      </c>
      <c r="J83" s="27">
        <v>12.5</v>
      </c>
      <c r="K83" s="27">
        <v>9.7866666666666671</v>
      </c>
      <c r="L83" s="27">
        <v>9.7866666666666671</v>
      </c>
      <c r="M83" s="27">
        <v>9.7866666666666671</v>
      </c>
      <c r="T83" s="3">
        <f t="shared" si="1"/>
        <v>54.360000000000007</v>
      </c>
    </row>
    <row r="84" spans="1:20" x14ac:dyDescent="0.35">
      <c r="A84" s="1" t="s">
        <v>142</v>
      </c>
      <c r="B84" s="1" t="s">
        <v>148</v>
      </c>
      <c r="C84" s="1" t="s">
        <v>113</v>
      </c>
      <c r="D84" s="1" t="s">
        <v>13</v>
      </c>
      <c r="E84" s="1" t="s">
        <v>13</v>
      </c>
      <c r="F84" s="1" t="s">
        <v>141</v>
      </c>
      <c r="G84" s="1" t="s">
        <v>141</v>
      </c>
      <c r="I84" s="1">
        <f>1.06*2</f>
        <v>2.12</v>
      </c>
      <c r="J84" s="27">
        <v>1.06</v>
      </c>
      <c r="K84" s="27">
        <v>1.0666666666666667</v>
      </c>
      <c r="L84" s="27">
        <v>1.0666666666666667</v>
      </c>
      <c r="M84" s="27">
        <v>1.0666666666666667</v>
      </c>
      <c r="T84" s="3">
        <f t="shared" si="1"/>
        <v>6.38</v>
      </c>
    </row>
  </sheetData>
  <conditionalFormatting sqref="B52:B74 B2:B42">
    <cfRule type="duplicateValues" dxfId="69" priority="2"/>
  </conditionalFormatting>
  <conditionalFormatting sqref="B75:B77 B43:B51 B80">
    <cfRule type="duplicateValues" dxfId="68" priority="1"/>
  </conditionalFormatting>
  <conditionalFormatting sqref="I1:S1 A1:B1 E1:G1">
    <cfRule type="duplicateValues" dxfId="67" priority="91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9AFCA-F8A7-429B-93CF-5BC053BC009E}">
  <sheetPr codeName="Sheet2">
    <tabColor theme="3" tint="-0.249977111117893"/>
  </sheetPr>
  <dimension ref="A1:S79"/>
  <sheetViews>
    <sheetView topLeftCell="A58" workbookViewId="0">
      <selection activeCell="B77" sqref="B77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hidden="1" customWidth="1"/>
    <col min="5" max="5" width="10.81640625" hidden="1" customWidth="1"/>
    <col min="6" max="6" width="12.1796875" hidden="1" customWidth="1"/>
    <col min="7" max="7" width="13.1796875" hidden="1" customWidth="1"/>
    <col min="8" max="8" width="6.81640625" bestFit="1" customWidth="1"/>
    <col min="9" max="9" width="7.453125" bestFit="1" customWidth="1"/>
    <col min="10" max="10" width="6.7265625" bestFit="1" customWidth="1"/>
    <col min="11" max="11" width="6.1796875" bestFit="1" customWidth="1"/>
    <col min="12" max="12" width="7.1796875" bestFit="1" customWidth="1"/>
    <col min="13" max="13" width="7" bestFit="1" customWidth="1"/>
    <col min="14" max="14" width="6.7265625" bestFit="1" customWidth="1"/>
    <col min="15" max="15" width="7.26953125" bestFit="1" customWidth="1"/>
    <col min="16" max="16" width="7" bestFit="1" customWidth="1"/>
    <col min="17" max="17" width="6.54296875" bestFit="1" customWidth="1"/>
    <col min="18" max="18" width="7" bestFit="1" customWidth="1"/>
    <col min="19" max="19" width="7.1796875" bestFit="1" customWidth="1"/>
  </cols>
  <sheetData>
    <row r="1" spans="1:19" x14ac:dyDescent="0.35">
      <c r="A1" s="25" t="str">
        <f>Revenue_Budget!A2</f>
        <v>FY</v>
      </c>
      <c r="B1" s="25" t="str">
        <f>Revenue_Budget!B2</f>
        <v>Project</v>
      </c>
      <c r="C1" s="25" t="str">
        <f>Revenue_Budget!C2</f>
        <v>Vertical</v>
      </c>
      <c r="D1" s="25" t="str">
        <f>Revenue_Budget!D2</f>
        <v>Region</v>
      </c>
      <c r="E1" s="25" t="str">
        <f>Revenue_Budget!E2</f>
        <v>Sub Region</v>
      </c>
      <c r="F1" s="25" t="str">
        <f>Revenue_Budget!F2</f>
        <v>Region Head</v>
      </c>
      <c r="G1" s="25" t="str">
        <f>Revenue_Budget!G2</f>
        <v>Practice Head</v>
      </c>
      <c r="H1" s="26">
        <f>Revenue_Budget!H2</f>
        <v>46113</v>
      </c>
      <c r="I1" s="26">
        <f>Revenue_Budget!I2</f>
        <v>46143</v>
      </c>
      <c r="J1" s="26">
        <f>Revenue_Budget!J2</f>
        <v>46174</v>
      </c>
      <c r="K1" s="26">
        <f>Revenue_Budget!K2</f>
        <v>46204</v>
      </c>
      <c r="L1" s="26">
        <f>Revenue_Budget!L2</f>
        <v>46235</v>
      </c>
      <c r="M1" s="26">
        <f>Revenue_Budget!M2</f>
        <v>46266</v>
      </c>
      <c r="N1" s="26">
        <f>Revenue_Budget!N2</f>
        <v>46296</v>
      </c>
      <c r="O1" s="26">
        <f>Revenue_Budget!O2</f>
        <v>46327</v>
      </c>
      <c r="P1" s="26">
        <f>Revenue_Budget!P2</f>
        <v>46357</v>
      </c>
      <c r="Q1" s="26">
        <f>Revenue_Budget!Q2</f>
        <v>46388</v>
      </c>
      <c r="R1" s="26">
        <f>Revenue_Budget!R2</f>
        <v>46419</v>
      </c>
      <c r="S1" s="26">
        <f>Revenue_Budget!S2</f>
        <v>46447</v>
      </c>
    </row>
    <row r="2" spans="1:19" x14ac:dyDescent="0.35">
      <c r="A2" s="40" t="s">
        <v>142</v>
      </c>
      <c r="B2" s="1" t="s">
        <v>2</v>
      </c>
      <c r="C2" s="1" t="str">
        <f>VLOOKUP(B2,Mapping!A:B,2,0)</f>
        <v>Lateral</v>
      </c>
      <c r="D2" s="1" t="str">
        <f>VLOOKUP(B2,Mapping!A:C,3,0)</f>
        <v>South</v>
      </c>
      <c r="E2" s="1" t="str">
        <f>VLOOKUP(B2,Mapping!A:D,4,0)</f>
        <v>South 1</v>
      </c>
      <c r="F2" s="1" t="str">
        <f>VLOOKUP(B2,Mapping!A:E,5,0)</f>
        <v>Bapi</v>
      </c>
      <c r="G2" s="1" t="str">
        <f>VLOOKUP(B2,Mapping!A:F,6,0)</f>
        <v>Bapi</v>
      </c>
      <c r="H2" s="43">
        <v>0.55808997311833064</v>
      </c>
      <c r="I2" s="43">
        <v>0.55808997311833064</v>
      </c>
      <c r="J2" s="43">
        <v>0.55808997311833064</v>
      </c>
      <c r="K2" s="43">
        <v>0.55808997311833064</v>
      </c>
      <c r="L2" s="43">
        <v>0.55808997311833064</v>
      </c>
      <c r="M2" s="43">
        <v>0.55808997311833064</v>
      </c>
      <c r="N2" s="43">
        <v>0.55808997311833064</v>
      </c>
      <c r="O2" s="43">
        <v>0.55808997311833064</v>
      </c>
      <c r="P2" s="43">
        <v>0.55808997311833064</v>
      </c>
      <c r="Q2" s="43">
        <v>0.55808997311833064</v>
      </c>
      <c r="R2" s="43">
        <v>0.55808997311833064</v>
      </c>
      <c r="S2" s="43">
        <v>0.55808997311833064</v>
      </c>
    </row>
    <row r="3" spans="1:19" x14ac:dyDescent="0.35">
      <c r="A3" s="40" t="s">
        <v>142</v>
      </c>
      <c r="B3" s="1" t="s">
        <v>4</v>
      </c>
      <c r="C3" s="1" t="str">
        <f>VLOOKUP(B3,Mapping!A:B,2,0)</f>
        <v>Lateral</v>
      </c>
      <c r="D3" s="1" t="str">
        <f>VLOOKUP(B3,Mapping!A:C,3,0)</f>
        <v>West</v>
      </c>
      <c r="E3" s="1" t="str">
        <f>VLOOKUP(B3,Mapping!A:D,4,0)</f>
        <v>West 1</v>
      </c>
      <c r="F3" s="1" t="str">
        <f>VLOOKUP(B3,Mapping!A:E,5,0)</f>
        <v>Anjli</v>
      </c>
      <c r="G3" s="1" t="str">
        <f>VLOOKUP(B3,Mapping!A:F,6,0)</f>
        <v>Usha</v>
      </c>
      <c r="H3" s="43">
        <v>0.41140178966026991</v>
      </c>
      <c r="I3" s="43">
        <v>0.41140178966026991</v>
      </c>
      <c r="J3" s="43">
        <v>0.41140178966026991</v>
      </c>
      <c r="K3" s="43">
        <v>0.41140178966026991</v>
      </c>
      <c r="L3" s="43">
        <v>0.41140178966026991</v>
      </c>
      <c r="M3" s="43">
        <v>0.41140178966026991</v>
      </c>
      <c r="N3" s="43">
        <v>0.41140178966026991</v>
      </c>
      <c r="O3" s="43">
        <v>0.41140178966026991</v>
      </c>
      <c r="P3" s="43">
        <v>0.41140178966026991</v>
      </c>
      <c r="Q3" s="43">
        <v>0.41140178966026991</v>
      </c>
      <c r="R3" s="43">
        <v>0.41140178966026991</v>
      </c>
      <c r="S3" s="43">
        <v>0.41140178966026991</v>
      </c>
    </row>
    <row r="4" spans="1:19" x14ac:dyDescent="0.35">
      <c r="A4" s="40" t="s">
        <v>142</v>
      </c>
      <c r="B4" s="1" t="s">
        <v>8</v>
      </c>
      <c r="C4" s="1" t="str">
        <f>VLOOKUP(B4,Mapping!A:B,2,0)</f>
        <v>Lateral</v>
      </c>
      <c r="D4" s="1" t="str">
        <f>VLOOKUP(B4,Mapping!A:C,3,0)</f>
        <v>West</v>
      </c>
      <c r="E4" s="1" t="str">
        <f>VLOOKUP(B4,Mapping!A:D,4,0)</f>
        <v>West 2</v>
      </c>
      <c r="F4" s="1" t="str">
        <f>VLOOKUP(B4,Mapping!A:E,5,0)</f>
        <v>Anjli</v>
      </c>
      <c r="G4" s="1" t="str">
        <f>VLOOKUP(B4,Mapping!A:F,6,0)</f>
        <v>Shweta</v>
      </c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</row>
    <row r="5" spans="1:19" x14ac:dyDescent="0.35">
      <c r="A5" s="40" t="s">
        <v>142</v>
      </c>
      <c r="B5" s="1" t="s">
        <v>10</v>
      </c>
      <c r="C5" s="1" t="str">
        <f>VLOOKUP(B5,Mapping!A:B,2,0)</f>
        <v>Lateral</v>
      </c>
      <c r="D5" s="1" t="str">
        <f>VLOOKUP(B5,Mapping!A:C,3,0)</f>
        <v>North</v>
      </c>
      <c r="E5" s="1" t="str">
        <f>VLOOKUP(B5,Mapping!A:D,4,0)</f>
        <v>North</v>
      </c>
      <c r="F5" s="1" t="str">
        <f>VLOOKUP(B5,Mapping!A:E,5,0)</f>
        <v>Anjli</v>
      </c>
      <c r="G5" s="1" t="str">
        <f>VLOOKUP(B5,Mapping!A:F,6,0)</f>
        <v>Archana</v>
      </c>
      <c r="H5" s="43">
        <v>0.4</v>
      </c>
      <c r="I5" s="43">
        <v>0.4</v>
      </c>
      <c r="J5" s="43">
        <v>0.4</v>
      </c>
      <c r="K5" s="43">
        <v>0.4</v>
      </c>
      <c r="L5" s="43">
        <v>0.4</v>
      </c>
      <c r="M5" s="43">
        <v>0.4</v>
      </c>
      <c r="N5" s="43">
        <v>0.4</v>
      </c>
      <c r="O5" s="43">
        <v>0.4</v>
      </c>
      <c r="P5" s="43">
        <v>0.4</v>
      </c>
      <c r="Q5" s="43">
        <v>0.4</v>
      </c>
      <c r="R5" s="43">
        <v>0.4</v>
      </c>
      <c r="S5" s="43">
        <v>0.4</v>
      </c>
    </row>
    <row r="6" spans="1:19" x14ac:dyDescent="0.35">
      <c r="A6" s="40" t="s">
        <v>142</v>
      </c>
      <c r="B6" s="1" t="s">
        <v>139</v>
      </c>
      <c r="C6" s="1" t="s">
        <v>113</v>
      </c>
      <c r="D6" s="1" t="e">
        <f>VLOOKUP(B6,Mapping!A:C,3,0)</f>
        <v>#N/A</v>
      </c>
      <c r="E6" s="1" t="e">
        <f>VLOOKUP(B6,Mapping!A:D,4,0)</f>
        <v>#N/A</v>
      </c>
      <c r="F6" s="1" t="e">
        <f>VLOOKUP(B6,Mapping!A:E,5,0)</f>
        <v>#N/A</v>
      </c>
      <c r="G6" s="1" t="e">
        <f>VLOOKUP(B6,Mapping!A:F,6,0)</f>
        <v>#N/A</v>
      </c>
      <c r="H6" s="43">
        <v>0.4</v>
      </c>
      <c r="I6" s="43">
        <v>0.4</v>
      </c>
      <c r="J6" s="43">
        <v>0.4</v>
      </c>
      <c r="K6" s="43">
        <v>0.4</v>
      </c>
      <c r="L6" s="43">
        <v>0.4</v>
      </c>
      <c r="M6" s="43">
        <v>0.4</v>
      </c>
      <c r="N6" s="43">
        <v>0.4</v>
      </c>
      <c r="O6" s="43">
        <v>0.4</v>
      </c>
      <c r="P6" s="43">
        <v>0.4</v>
      </c>
      <c r="Q6" s="43">
        <v>0.4</v>
      </c>
      <c r="R6" s="43">
        <v>0.4</v>
      </c>
      <c r="S6" s="43">
        <v>0.4</v>
      </c>
    </row>
    <row r="7" spans="1:19" x14ac:dyDescent="0.35">
      <c r="A7" s="40" t="s">
        <v>142</v>
      </c>
      <c r="B7" s="1" t="s">
        <v>140</v>
      </c>
      <c r="C7" s="1" t="s">
        <v>113</v>
      </c>
      <c r="D7" s="1"/>
      <c r="E7" s="1"/>
      <c r="F7" s="1"/>
      <c r="G7" s="1"/>
      <c r="H7" s="43">
        <v>0.4</v>
      </c>
      <c r="I7" s="43">
        <v>0.4</v>
      </c>
      <c r="J7" s="43">
        <v>0.4</v>
      </c>
      <c r="K7" s="43">
        <v>0.4</v>
      </c>
      <c r="L7" s="43">
        <v>0.4</v>
      </c>
      <c r="M7" s="43">
        <v>0.4</v>
      </c>
      <c r="N7" s="43">
        <v>0.4</v>
      </c>
      <c r="O7" s="43">
        <v>0.4</v>
      </c>
      <c r="P7" s="43">
        <v>0.4</v>
      </c>
      <c r="Q7" s="43">
        <v>0.4</v>
      </c>
      <c r="R7" s="43">
        <v>0.4</v>
      </c>
      <c r="S7" s="43">
        <v>0.4</v>
      </c>
    </row>
    <row r="8" spans="1:19" x14ac:dyDescent="0.35">
      <c r="A8" s="40" t="s">
        <v>142</v>
      </c>
      <c r="B8" s="1" t="s">
        <v>16</v>
      </c>
      <c r="C8" s="1" t="str">
        <f>VLOOKUP(B8,Mapping!A:B,2,0)</f>
        <v>Lateral</v>
      </c>
      <c r="D8" s="1" t="str">
        <f>VLOOKUP(B8,Mapping!A:C,3,0)</f>
        <v>West</v>
      </c>
      <c r="E8" s="1" t="str">
        <f>VLOOKUP(B8,Mapping!A:D,4,0)</f>
        <v>West 1</v>
      </c>
      <c r="F8" s="1" t="str">
        <f>VLOOKUP(B8,Mapping!A:E,5,0)</f>
        <v>Anjli</v>
      </c>
      <c r="G8" s="1" t="str">
        <f>VLOOKUP(B8,Mapping!A:F,6,0)</f>
        <v>Usha</v>
      </c>
      <c r="H8" s="43">
        <v>0.4</v>
      </c>
      <c r="I8" s="43">
        <v>0.4</v>
      </c>
      <c r="J8" s="43">
        <v>0.4</v>
      </c>
      <c r="K8" s="43">
        <v>0.4</v>
      </c>
      <c r="L8" s="43">
        <v>0.4</v>
      </c>
      <c r="M8" s="43">
        <v>0.4</v>
      </c>
      <c r="N8" s="43">
        <v>0.4</v>
      </c>
      <c r="O8" s="43">
        <v>0.4</v>
      </c>
      <c r="P8" s="43">
        <v>0.4</v>
      </c>
      <c r="Q8" s="43">
        <v>0.4</v>
      </c>
      <c r="R8" s="43">
        <v>0.4</v>
      </c>
      <c r="S8" s="43">
        <v>0.4</v>
      </c>
    </row>
    <row r="9" spans="1:19" x14ac:dyDescent="0.35">
      <c r="A9" s="40" t="s">
        <v>142</v>
      </c>
      <c r="B9" s="1" t="s">
        <v>17</v>
      </c>
      <c r="C9" s="1" t="str">
        <f>VLOOKUP(B9,Mapping!A:B,2,0)</f>
        <v>Lateral</v>
      </c>
      <c r="D9" s="1" t="str">
        <f>VLOOKUP(B9,Mapping!A:C,3,0)</f>
        <v>West</v>
      </c>
      <c r="E9" s="1" t="str">
        <f>VLOOKUP(B9,Mapping!A:D,4,0)</f>
        <v>West 2</v>
      </c>
      <c r="F9" s="1" t="str">
        <f>VLOOKUP(B9,Mapping!A:E,5,0)</f>
        <v>Anjli</v>
      </c>
      <c r="G9" s="1" t="str">
        <f>VLOOKUP(B9,Mapping!A:F,6,0)</f>
        <v>Shweta</v>
      </c>
      <c r="H9" s="43">
        <v>0.4453989282406226</v>
      </c>
      <c r="I9" s="43">
        <v>0.4453989282406226</v>
      </c>
      <c r="J9" s="43">
        <v>0.4453989282406226</v>
      </c>
      <c r="K9" s="43">
        <v>0.4453989282406226</v>
      </c>
      <c r="L9" s="43">
        <v>0.4453989282406226</v>
      </c>
      <c r="M9" s="43">
        <v>0.4453989282406226</v>
      </c>
      <c r="N9" s="43">
        <v>0.4453989282406226</v>
      </c>
      <c r="O9" s="43">
        <v>0.4453989282406226</v>
      </c>
      <c r="P9" s="43">
        <v>0.4453989282406226</v>
      </c>
      <c r="Q9" s="43">
        <v>0.4453989282406226</v>
      </c>
      <c r="R9" s="43">
        <v>0.4453989282406226</v>
      </c>
      <c r="S9" s="43">
        <v>0.4453989282406226</v>
      </c>
    </row>
    <row r="10" spans="1:19" x14ac:dyDescent="0.35">
      <c r="A10" s="40" t="s">
        <v>142</v>
      </c>
      <c r="B10" s="1" t="s">
        <v>18</v>
      </c>
      <c r="C10" s="1" t="str">
        <f>VLOOKUP(B10,Mapping!A:B,2,0)</f>
        <v>Lateral</v>
      </c>
      <c r="D10" s="1" t="str">
        <f>VLOOKUP(B10,Mapping!A:C,3,0)</f>
        <v>West</v>
      </c>
      <c r="E10" s="1" t="str">
        <f>VLOOKUP(B10,Mapping!A:D,4,0)</f>
        <v>West 1</v>
      </c>
      <c r="F10" s="1" t="str">
        <f>VLOOKUP(B10,Mapping!A:E,5,0)</f>
        <v>Anjli</v>
      </c>
      <c r="G10" s="1" t="str">
        <f>VLOOKUP(B10,Mapping!A:F,6,0)</f>
        <v>Geetu</v>
      </c>
      <c r="H10" s="43">
        <v>0.4</v>
      </c>
      <c r="I10" s="43">
        <v>0.4</v>
      </c>
      <c r="J10" s="43">
        <v>0.4</v>
      </c>
      <c r="K10" s="43">
        <v>0.4</v>
      </c>
      <c r="L10" s="43">
        <v>0.4</v>
      </c>
      <c r="M10" s="43">
        <v>0.4</v>
      </c>
      <c r="N10" s="43">
        <v>0.4</v>
      </c>
      <c r="O10" s="43">
        <v>0.4</v>
      </c>
      <c r="P10" s="43">
        <v>0.4</v>
      </c>
      <c r="Q10" s="43">
        <v>0.4</v>
      </c>
      <c r="R10" s="43">
        <v>0.4</v>
      </c>
      <c r="S10" s="43">
        <v>0.4</v>
      </c>
    </row>
    <row r="11" spans="1:19" x14ac:dyDescent="0.35">
      <c r="A11" s="40" t="s">
        <v>142</v>
      </c>
      <c r="B11" s="1" t="s">
        <v>20</v>
      </c>
      <c r="C11" s="1" t="str">
        <f>VLOOKUP(B11,Mapping!A:B,2,0)</f>
        <v>Lateral</v>
      </c>
      <c r="D11" s="1" t="str">
        <f>VLOOKUP(B11,Mapping!A:C,3,0)</f>
        <v>West</v>
      </c>
      <c r="E11" s="1" t="str">
        <f>VLOOKUP(B11,Mapping!A:D,4,0)</f>
        <v>West 1</v>
      </c>
      <c r="F11" s="1" t="str">
        <f>VLOOKUP(B11,Mapping!A:E,5,0)</f>
        <v>Anjli</v>
      </c>
      <c r="G11" s="1" t="str">
        <f>VLOOKUP(B11,Mapping!A:F,6,0)</f>
        <v>Geetu</v>
      </c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</row>
    <row r="12" spans="1:19" x14ac:dyDescent="0.35">
      <c r="A12" s="40" t="s">
        <v>142</v>
      </c>
      <c r="B12" s="1" t="s">
        <v>21</v>
      </c>
      <c r="C12" s="1" t="str">
        <f>VLOOKUP(B12,Mapping!A:B,2,0)</f>
        <v>Lateral</v>
      </c>
      <c r="D12" s="1" t="str">
        <f>VLOOKUP(B12,Mapping!A:C,3,0)</f>
        <v>South</v>
      </c>
      <c r="E12" s="1" t="str">
        <f>VLOOKUP(B12,Mapping!A:D,4,0)</f>
        <v>South 1</v>
      </c>
      <c r="F12" s="1" t="str">
        <f>VLOOKUP(B12,Mapping!A:E,5,0)</f>
        <v>Mahak</v>
      </c>
      <c r="G12" s="1" t="str">
        <f>VLOOKUP(B12,Mapping!A:F,6,0)</f>
        <v>Mahak</v>
      </c>
      <c r="H12" s="43">
        <v>0.48</v>
      </c>
      <c r="I12" s="43">
        <v>0.48</v>
      </c>
      <c r="J12" s="43">
        <v>0.48</v>
      </c>
      <c r="K12" s="43">
        <v>0.48</v>
      </c>
      <c r="L12" s="43">
        <v>0.48</v>
      </c>
      <c r="M12" s="43">
        <v>0.48</v>
      </c>
      <c r="N12" s="43">
        <v>0.48</v>
      </c>
      <c r="O12" s="43">
        <v>0.48</v>
      </c>
      <c r="P12" s="43">
        <v>0.48</v>
      </c>
      <c r="Q12" s="43">
        <v>0.48</v>
      </c>
      <c r="R12" s="43">
        <v>0.48</v>
      </c>
      <c r="S12" s="43">
        <v>0.48</v>
      </c>
    </row>
    <row r="13" spans="1:19" x14ac:dyDescent="0.35">
      <c r="A13" s="40" t="s">
        <v>142</v>
      </c>
      <c r="B13" s="1" t="s">
        <v>23</v>
      </c>
      <c r="C13" s="1" t="str">
        <f>VLOOKUP(B13,Mapping!A:B,2,0)</f>
        <v>Lateral</v>
      </c>
      <c r="D13" s="1" t="str">
        <f>VLOOKUP(B13,Mapping!A:C,3,0)</f>
        <v>South</v>
      </c>
      <c r="E13" s="1" t="str">
        <f>VLOOKUP(B13,Mapping!A:D,4,0)</f>
        <v>South 1</v>
      </c>
      <c r="F13" s="1" t="str">
        <f>VLOOKUP(B13,Mapping!A:E,5,0)</f>
        <v>Anjli</v>
      </c>
      <c r="G13" s="1" t="str">
        <f>VLOOKUP(B13,Mapping!A:F,6,0)</f>
        <v>Satya</v>
      </c>
      <c r="H13" s="43">
        <v>0.4</v>
      </c>
      <c r="I13" s="43">
        <v>0.4</v>
      </c>
      <c r="J13" s="43">
        <v>0.4</v>
      </c>
      <c r="K13" s="43">
        <v>0.4</v>
      </c>
      <c r="L13" s="43">
        <v>0.4</v>
      </c>
      <c r="M13" s="43">
        <v>0.4</v>
      </c>
      <c r="N13" s="43">
        <v>0.4</v>
      </c>
      <c r="O13" s="43">
        <v>0.4</v>
      </c>
      <c r="P13" s="43">
        <v>0.4</v>
      </c>
      <c r="Q13" s="43">
        <v>0.4</v>
      </c>
      <c r="R13" s="43">
        <v>0.4</v>
      </c>
      <c r="S13" s="43">
        <v>0.4</v>
      </c>
    </row>
    <row r="14" spans="1:19" x14ac:dyDescent="0.35">
      <c r="A14" s="40" t="s">
        <v>142</v>
      </c>
      <c r="B14" s="1" t="s">
        <v>25</v>
      </c>
      <c r="C14" s="1" t="str">
        <f>VLOOKUP(B14,Mapping!A:B,2,0)</f>
        <v>Lateral</v>
      </c>
      <c r="D14" s="1" t="str">
        <f>VLOOKUP(B14,Mapping!A:C,3,0)</f>
        <v>West</v>
      </c>
      <c r="E14" s="1" t="str">
        <f>VLOOKUP(B14,Mapping!A:D,4,0)</f>
        <v>West 1</v>
      </c>
      <c r="F14" s="1" t="str">
        <f>VLOOKUP(B14,Mapping!A:E,5,0)</f>
        <v>Anjli</v>
      </c>
      <c r="G14" s="1" t="str">
        <f>VLOOKUP(B14,Mapping!A:F,6,0)</f>
        <v>Geetu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</row>
    <row r="15" spans="1:19" x14ac:dyDescent="0.35">
      <c r="A15" s="40" t="s">
        <v>142</v>
      </c>
      <c r="B15" s="1" t="s">
        <v>26</v>
      </c>
      <c r="C15" s="1" t="str">
        <f>VLOOKUP(B15,Mapping!A:B,2,0)</f>
        <v>Lateral</v>
      </c>
      <c r="D15" s="1" t="str">
        <f>VLOOKUP(B15,Mapping!A:C,3,0)</f>
        <v>South</v>
      </c>
      <c r="E15" s="1" t="str">
        <f>VLOOKUP(B15,Mapping!A:D,4,0)</f>
        <v>South 2</v>
      </c>
      <c r="F15" s="1" t="str">
        <f>VLOOKUP(B15,Mapping!A:E,5,0)</f>
        <v>Sulabh</v>
      </c>
      <c r="G15" s="1" t="str">
        <f>VLOOKUP(B15,Mapping!A:F,6,0)</f>
        <v>Krishna</v>
      </c>
      <c r="H15" s="43">
        <v>0.5</v>
      </c>
      <c r="I15" s="43">
        <v>0.5</v>
      </c>
      <c r="J15" s="43">
        <v>0.5</v>
      </c>
      <c r="K15" s="43">
        <v>0.5</v>
      </c>
      <c r="L15" s="43">
        <v>0.5</v>
      </c>
      <c r="M15" s="43">
        <v>0.5</v>
      </c>
      <c r="N15" s="43">
        <v>0.5</v>
      </c>
      <c r="O15" s="43">
        <v>0.5</v>
      </c>
      <c r="P15" s="43">
        <v>0.5</v>
      </c>
      <c r="Q15" s="43">
        <v>0.5</v>
      </c>
      <c r="R15" s="43">
        <v>0.5</v>
      </c>
      <c r="S15" s="43">
        <v>0.5</v>
      </c>
    </row>
    <row r="16" spans="1:19" x14ac:dyDescent="0.35">
      <c r="A16" s="40" t="s">
        <v>142</v>
      </c>
      <c r="B16" s="1" t="s">
        <v>28</v>
      </c>
      <c r="C16" s="1" t="str">
        <f>VLOOKUP(B16,Mapping!A:B,2,0)</f>
        <v>Lateral</v>
      </c>
      <c r="D16" s="1" t="str">
        <f>VLOOKUP(B16,Mapping!A:C,3,0)</f>
        <v>West</v>
      </c>
      <c r="E16" s="1" t="str">
        <f>VLOOKUP(B16,Mapping!A:D,4,0)</f>
        <v>West 1</v>
      </c>
      <c r="F16" s="1" t="str">
        <f>VLOOKUP(B16,Mapping!A:E,5,0)</f>
        <v>Anjli</v>
      </c>
      <c r="G16" s="1" t="str">
        <f>VLOOKUP(B16,Mapping!A:F,6,0)</f>
        <v>Dhriti</v>
      </c>
      <c r="H16" s="43">
        <v>0.55000000000000004</v>
      </c>
      <c r="I16" s="43">
        <v>0.55000000000000004</v>
      </c>
      <c r="J16" s="43">
        <v>0.55000000000000004</v>
      </c>
      <c r="K16" s="43">
        <v>0.55000000000000004</v>
      </c>
      <c r="L16" s="43">
        <v>0.55000000000000004</v>
      </c>
      <c r="M16" s="43">
        <v>0.55000000000000004</v>
      </c>
      <c r="N16" s="43">
        <v>0.55000000000000004</v>
      </c>
      <c r="O16" s="43">
        <v>0.55000000000000004</v>
      </c>
      <c r="P16" s="43">
        <v>0.55000000000000004</v>
      </c>
      <c r="Q16" s="43">
        <v>0.55000000000000004</v>
      </c>
      <c r="R16" s="43">
        <v>0.55000000000000004</v>
      </c>
      <c r="S16" s="43">
        <v>0.55000000000000004</v>
      </c>
    </row>
    <row r="17" spans="1:19" x14ac:dyDescent="0.35">
      <c r="A17" s="40" t="s">
        <v>142</v>
      </c>
      <c r="B17" s="1" t="s">
        <v>29</v>
      </c>
      <c r="C17" s="1" t="str">
        <f>VLOOKUP(B17,Mapping!A:B,2,0)</f>
        <v>Lateral</v>
      </c>
      <c r="D17" s="1" t="str">
        <f>VLOOKUP(B17,Mapping!A:C,3,0)</f>
        <v>South</v>
      </c>
      <c r="E17" s="1" t="str">
        <f>VLOOKUP(B17,Mapping!A:D,4,0)</f>
        <v>South 2</v>
      </c>
      <c r="F17" s="1" t="str">
        <f>VLOOKUP(B17,Mapping!A:E,5,0)</f>
        <v>Sulabh</v>
      </c>
      <c r="G17" s="1" t="str">
        <f>VLOOKUP(B17,Mapping!A:F,6,0)</f>
        <v>Krishna</v>
      </c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</row>
    <row r="18" spans="1:19" x14ac:dyDescent="0.35">
      <c r="A18" s="40" t="s">
        <v>142</v>
      </c>
      <c r="B18" s="1" t="s">
        <v>30</v>
      </c>
      <c r="C18" s="1" t="str">
        <f>VLOOKUP(B18,Mapping!A:B,2,0)</f>
        <v>Lateral</v>
      </c>
      <c r="D18" s="1" t="str">
        <f>VLOOKUP(B18,Mapping!A:C,3,0)</f>
        <v>South</v>
      </c>
      <c r="E18" s="1" t="str">
        <f>VLOOKUP(B18,Mapping!A:D,4,0)</f>
        <v>South 1</v>
      </c>
      <c r="F18" s="1" t="str">
        <f>VLOOKUP(B18,Mapping!A:E,5,0)</f>
        <v>Sulabh</v>
      </c>
      <c r="G18" s="1" t="str">
        <f>VLOOKUP(B18,Mapping!A:F,6,0)</f>
        <v>Subu</v>
      </c>
      <c r="H18" s="43">
        <v>0.45</v>
      </c>
      <c r="I18" s="43">
        <v>0.45</v>
      </c>
      <c r="J18" s="43">
        <v>0.45</v>
      </c>
      <c r="K18" s="43">
        <v>0.45</v>
      </c>
      <c r="L18" s="43">
        <v>0.45</v>
      </c>
      <c r="M18" s="43">
        <v>0.45</v>
      </c>
      <c r="N18" s="43">
        <v>0.45</v>
      </c>
      <c r="O18" s="43">
        <v>0.45</v>
      </c>
      <c r="P18" s="43">
        <v>0.45</v>
      </c>
      <c r="Q18" s="43">
        <v>0.45</v>
      </c>
      <c r="R18" s="43">
        <v>0.45</v>
      </c>
      <c r="S18" s="43">
        <v>0.45</v>
      </c>
    </row>
    <row r="19" spans="1:19" x14ac:dyDescent="0.35">
      <c r="A19" s="40" t="s">
        <v>142</v>
      </c>
      <c r="B19" s="1" t="s">
        <v>32</v>
      </c>
      <c r="C19" s="1" t="str">
        <f>VLOOKUP(B19,Mapping!A:B,2,0)</f>
        <v>Lateral</v>
      </c>
      <c r="D19" s="1" t="str">
        <f>VLOOKUP(B19,Mapping!A:C,3,0)</f>
        <v>West</v>
      </c>
      <c r="E19" s="1" t="str">
        <f>VLOOKUP(B19,Mapping!A:D,4,0)</f>
        <v>West 2</v>
      </c>
      <c r="F19" s="1" t="str">
        <f>VLOOKUP(B19,Mapping!A:E,5,0)</f>
        <v>Anjli</v>
      </c>
      <c r="G19" s="1" t="str">
        <f>VLOOKUP(B19,Mapping!A:F,6,0)</f>
        <v>Anjli</v>
      </c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</row>
    <row r="20" spans="1:19" x14ac:dyDescent="0.35">
      <c r="A20" s="40" t="s">
        <v>142</v>
      </c>
      <c r="B20" s="1" t="s">
        <v>33</v>
      </c>
      <c r="C20" s="1" t="str">
        <f>VLOOKUP(B20,Mapping!A:B,2,0)</f>
        <v>Lateral</v>
      </c>
      <c r="D20" s="1" t="str">
        <f>VLOOKUP(B20,Mapping!A:C,3,0)</f>
        <v>West</v>
      </c>
      <c r="E20" s="1" t="str">
        <f>VLOOKUP(B20,Mapping!A:D,4,0)</f>
        <v>West 1</v>
      </c>
      <c r="F20" s="1" t="str">
        <f>VLOOKUP(B20,Mapping!A:E,5,0)</f>
        <v>Anjli</v>
      </c>
      <c r="G20" s="1" t="str">
        <f>VLOOKUP(B20,Mapping!A:F,6,0)</f>
        <v>Geetu</v>
      </c>
      <c r="H20" s="43">
        <v>0.4</v>
      </c>
      <c r="I20" s="43">
        <v>0.4</v>
      </c>
      <c r="J20" s="43">
        <v>0.4</v>
      </c>
      <c r="K20" s="43">
        <v>0.4</v>
      </c>
      <c r="L20" s="43">
        <v>0.4</v>
      </c>
      <c r="M20" s="43">
        <v>0.4</v>
      </c>
      <c r="N20" s="43">
        <v>0.4</v>
      </c>
      <c r="O20" s="43">
        <v>0.4</v>
      </c>
      <c r="P20" s="43">
        <v>0.4</v>
      </c>
      <c r="Q20" s="43">
        <v>0.4</v>
      </c>
      <c r="R20" s="43">
        <v>0.4</v>
      </c>
      <c r="S20" s="43">
        <v>0.4</v>
      </c>
    </row>
    <row r="21" spans="1:19" x14ac:dyDescent="0.35">
      <c r="A21" s="40" t="s">
        <v>142</v>
      </c>
      <c r="B21" s="1" t="s">
        <v>34</v>
      </c>
      <c r="C21" s="1" t="str">
        <f>VLOOKUP(B21,Mapping!A:B,2,0)</f>
        <v>Lateral</v>
      </c>
      <c r="D21" s="1" t="str">
        <f>VLOOKUP(B21,Mapping!A:C,3,0)</f>
        <v>South</v>
      </c>
      <c r="E21" s="1" t="str">
        <f>VLOOKUP(B21,Mapping!A:D,4,0)</f>
        <v>South 1</v>
      </c>
      <c r="F21" s="1" t="str">
        <f>VLOOKUP(B21,Mapping!A:E,5,0)</f>
        <v>Sulabh</v>
      </c>
      <c r="G21" s="1" t="str">
        <f>VLOOKUP(B21,Mapping!A:F,6,0)</f>
        <v>Satya</v>
      </c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</row>
    <row r="22" spans="1:19" x14ac:dyDescent="0.35">
      <c r="A22" s="40" t="s">
        <v>142</v>
      </c>
      <c r="B22" s="1" t="s">
        <v>35</v>
      </c>
      <c r="C22" s="1" t="str">
        <f>VLOOKUP(B22,Mapping!A:B,2,0)</f>
        <v>Lateral</v>
      </c>
      <c r="D22" s="1" t="str">
        <f>VLOOKUP(B22,Mapping!A:C,3,0)</f>
        <v>West</v>
      </c>
      <c r="E22" s="1" t="str">
        <f>VLOOKUP(B22,Mapping!A:D,4,0)</f>
        <v>West 1</v>
      </c>
      <c r="F22" s="1" t="str">
        <f>VLOOKUP(B22,Mapping!A:E,5,0)</f>
        <v>Anjli</v>
      </c>
      <c r="G22" s="1" t="str">
        <f>VLOOKUP(B22,Mapping!A:F,6,0)</f>
        <v>Alifia</v>
      </c>
      <c r="H22" s="43">
        <v>0.4</v>
      </c>
      <c r="I22" s="43">
        <v>0.4</v>
      </c>
      <c r="J22" s="43">
        <v>0.4</v>
      </c>
      <c r="K22" s="43">
        <v>0.4</v>
      </c>
      <c r="L22" s="43">
        <v>0.4</v>
      </c>
      <c r="M22" s="43">
        <v>0.4</v>
      </c>
      <c r="N22" s="43">
        <v>0.4</v>
      </c>
      <c r="O22" s="43">
        <v>0.4</v>
      </c>
      <c r="P22" s="43">
        <v>0.4</v>
      </c>
      <c r="Q22" s="43">
        <v>0.4</v>
      </c>
      <c r="R22" s="43">
        <v>0.4</v>
      </c>
      <c r="S22" s="43">
        <v>0.4</v>
      </c>
    </row>
    <row r="23" spans="1:19" x14ac:dyDescent="0.35">
      <c r="A23" s="40" t="s">
        <v>142</v>
      </c>
      <c r="B23" s="1" t="s">
        <v>37</v>
      </c>
      <c r="C23" s="1" t="str">
        <f>VLOOKUP(B23,Mapping!A:B,2,0)</f>
        <v>Lateral</v>
      </c>
      <c r="D23" s="1" t="str">
        <f>VLOOKUP(B23,Mapping!A:C,3,0)</f>
        <v>South</v>
      </c>
      <c r="E23" s="1" t="str">
        <f>VLOOKUP(B23,Mapping!A:D,4,0)</f>
        <v>South 2</v>
      </c>
      <c r="F23" s="1" t="str">
        <f>VLOOKUP(B23,Mapping!A:E,5,0)</f>
        <v>Sulabh</v>
      </c>
      <c r="G23" s="1" t="str">
        <f>VLOOKUP(B23,Mapping!A:F,6,0)</f>
        <v>Subu</v>
      </c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</row>
    <row r="24" spans="1:19" x14ac:dyDescent="0.35">
      <c r="A24" s="40" t="s">
        <v>142</v>
      </c>
      <c r="B24" s="1" t="s">
        <v>38</v>
      </c>
      <c r="C24" s="1" t="str">
        <f>VLOOKUP(B24,Mapping!A:B,2,0)</f>
        <v>Lateral</v>
      </c>
      <c r="D24" s="1" t="str">
        <f>VLOOKUP(B24,Mapping!A:C,3,0)</f>
        <v>North</v>
      </c>
      <c r="E24" s="1" t="str">
        <f>VLOOKUP(B24,Mapping!A:D,4,0)</f>
        <v>North</v>
      </c>
      <c r="F24" s="1" t="str">
        <f>VLOOKUP(B24,Mapping!A:E,5,0)</f>
        <v>Anjli</v>
      </c>
      <c r="G24" s="1" t="str">
        <f>VLOOKUP(B24,Mapping!A:F,6,0)</f>
        <v>Archana</v>
      </c>
      <c r="H24" s="43">
        <v>0.5</v>
      </c>
      <c r="I24" s="43">
        <v>0.5</v>
      </c>
      <c r="J24" s="43">
        <v>0.5</v>
      </c>
      <c r="K24" s="43">
        <v>0.5</v>
      </c>
      <c r="L24" s="43">
        <v>0.5</v>
      </c>
      <c r="M24" s="43">
        <v>0.5</v>
      </c>
      <c r="N24" s="43">
        <v>0.5</v>
      </c>
      <c r="O24" s="43">
        <v>0.5</v>
      </c>
      <c r="P24" s="43">
        <v>0.5</v>
      </c>
      <c r="Q24" s="43">
        <v>0.5</v>
      </c>
      <c r="R24" s="43">
        <v>0.5</v>
      </c>
      <c r="S24" s="43">
        <v>0.5</v>
      </c>
    </row>
    <row r="25" spans="1:19" x14ac:dyDescent="0.35">
      <c r="A25" s="40" t="s">
        <v>142</v>
      </c>
      <c r="B25" s="1" t="s">
        <v>39</v>
      </c>
      <c r="C25" s="1" t="str">
        <f>VLOOKUP(B25,Mapping!A:B,2,0)</f>
        <v>Lateral</v>
      </c>
      <c r="D25" s="1" t="str">
        <f>VLOOKUP(B25,Mapping!A:C,3,0)</f>
        <v>South</v>
      </c>
      <c r="E25" s="1" t="str">
        <f>VLOOKUP(B25,Mapping!A:D,4,0)</f>
        <v>South 2</v>
      </c>
      <c r="F25" s="1" t="str">
        <f>VLOOKUP(B25,Mapping!A:E,5,0)</f>
        <v>Sulabh</v>
      </c>
      <c r="G25" s="1" t="str">
        <f>VLOOKUP(B25,Mapping!A:F,6,0)</f>
        <v>Krishna</v>
      </c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</row>
    <row r="26" spans="1:19" x14ac:dyDescent="0.35">
      <c r="A26" s="40" t="s">
        <v>142</v>
      </c>
      <c r="B26" s="1" t="s">
        <v>40</v>
      </c>
      <c r="C26" s="1" t="str">
        <f>VLOOKUP(B26,Mapping!A:B,2,0)</f>
        <v>Lateral</v>
      </c>
      <c r="D26" s="1" t="str">
        <f>VLOOKUP(B26,Mapping!A:C,3,0)</f>
        <v>West</v>
      </c>
      <c r="E26" s="1" t="str">
        <f>VLOOKUP(B26,Mapping!A:D,4,0)</f>
        <v>West 2</v>
      </c>
      <c r="F26" s="1" t="str">
        <f>VLOOKUP(B26,Mapping!A:E,5,0)</f>
        <v>Anjli</v>
      </c>
      <c r="G26" s="1" t="str">
        <f>VLOOKUP(B26,Mapping!A:F,6,0)</f>
        <v>Shweta</v>
      </c>
      <c r="H26" s="43">
        <v>0.45</v>
      </c>
      <c r="I26" s="43">
        <v>0.45</v>
      </c>
      <c r="J26" s="43">
        <v>0.45</v>
      </c>
      <c r="K26" s="43">
        <v>0.45</v>
      </c>
      <c r="L26" s="43">
        <v>0.45</v>
      </c>
      <c r="M26" s="43">
        <v>0.45</v>
      </c>
      <c r="N26" s="43">
        <v>0.45</v>
      </c>
      <c r="O26" s="43">
        <v>0.45</v>
      </c>
      <c r="P26" s="43">
        <v>0.45</v>
      </c>
      <c r="Q26" s="43">
        <v>0.45</v>
      </c>
      <c r="R26" s="43">
        <v>0.45</v>
      </c>
      <c r="S26" s="43">
        <v>0.45</v>
      </c>
    </row>
    <row r="27" spans="1:19" x14ac:dyDescent="0.35">
      <c r="A27" s="40" t="s">
        <v>142</v>
      </c>
      <c r="B27" s="1" t="s">
        <v>41</v>
      </c>
      <c r="C27" s="1" t="str">
        <f>VLOOKUP(B27,Mapping!A:B,2,0)</f>
        <v>Lateral</v>
      </c>
      <c r="D27" s="1" t="str">
        <f>VLOOKUP(B27,Mapping!A:C,3,0)</f>
        <v>South</v>
      </c>
      <c r="E27" s="1" t="str">
        <f>VLOOKUP(B27,Mapping!A:D,4,0)</f>
        <v>South 2</v>
      </c>
      <c r="F27" s="1" t="str">
        <f>VLOOKUP(B27,Mapping!A:E,5,0)</f>
        <v>Sulabh</v>
      </c>
      <c r="G27" s="1" t="str">
        <f>VLOOKUP(B27,Mapping!A:F,6,0)</f>
        <v>Krishna</v>
      </c>
      <c r="H27" s="43">
        <v>0.45</v>
      </c>
      <c r="I27" s="43">
        <v>0.45</v>
      </c>
      <c r="J27" s="43">
        <v>0.45</v>
      </c>
      <c r="K27" s="43">
        <v>0.45</v>
      </c>
      <c r="L27" s="43">
        <v>0.45</v>
      </c>
      <c r="M27" s="43">
        <v>0.45</v>
      </c>
      <c r="N27" s="43">
        <v>0.45</v>
      </c>
      <c r="O27" s="43">
        <v>0.45</v>
      </c>
      <c r="P27" s="43">
        <v>0.45</v>
      </c>
      <c r="Q27" s="43">
        <v>0.45</v>
      </c>
      <c r="R27" s="43">
        <v>0.45</v>
      </c>
      <c r="S27" s="43">
        <v>0.45</v>
      </c>
    </row>
    <row r="28" spans="1:19" x14ac:dyDescent="0.35">
      <c r="A28" s="40" t="s">
        <v>142</v>
      </c>
      <c r="B28" s="1" t="s">
        <v>42</v>
      </c>
      <c r="C28" s="1" t="str">
        <f>VLOOKUP(B28,Mapping!A:B,2,0)</f>
        <v>Lateral</v>
      </c>
      <c r="D28" s="1" t="str">
        <f>VLOOKUP(B28,Mapping!A:C,3,0)</f>
        <v>North</v>
      </c>
      <c r="E28" s="1" t="str">
        <f>VLOOKUP(B28,Mapping!A:D,4,0)</f>
        <v>North</v>
      </c>
      <c r="F28" s="1" t="str">
        <f>VLOOKUP(B28,Mapping!A:E,5,0)</f>
        <v>Anjli</v>
      </c>
      <c r="G28" s="1" t="str">
        <f>VLOOKUP(B28,Mapping!A:F,6,0)</f>
        <v>Archana</v>
      </c>
      <c r="H28" s="43">
        <v>0.35</v>
      </c>
      <c r="I28" s="43">
        <v>0.35</v>
      </c>
      <c r="J28" s="43">
        <v>0.35</v>
      </c>
      <c r="K28" s="43">
        <v>0.35</v>
      </c>
      <c r="L28" s="43">
        <v>0.35</v>
      </c>
      <c r="M28" s="43">
        <v>0.35</v>
      </c>
      <c r="N28" s="43">
        <v>0.35</v>
      </c>
      <c r="O28" s="43">
        <v>0.35</v>
      </c>
      <c r="P28" s="43">
        <v>0.35</v>
      </c>
      <c r="Q28" s="43">
        <v>0.35</v>
      </c>
      <c r="R28" s="43">
        <v>0.35</v>
      </c>
      <c r="S28" s="43">
        <v>0.35</v>
      </c>
    </row>
    <row r="29" spans="1:19" x14ac:dyDescent="0.35">
      <c r="A29" s="40" t="s">
        <v>142</v>
      </c>
      <c r="B29" s="1" t="s">
        <v>43</v>
      </c>
      <c r="C29" s="1" t="str">
        <f>VLOOKUP(B29,Mapping!A:B,2,0)</f>
        <v>Lateral</v>
      </c>
      <c r="D29" s="1" t="str">
        <f>VLOOKUP(B29,Mapping!A:C,3,0)</f>
        <v>West</v>
      </c>
      <c r="E29" s="1" t="str">
        <f>VLOOKUP(B29,Mapping!A:D,4,0)</f>
        <v>West 2</v>
      </c>
      <c r="F29" s="1" t="str">
        <f>VLOOKUP(B29,Mapping!A:E,5,0)</f>
        <v>Anjli</v>
      </c>
      <c r="G29" s="1" t="str">
        <f>VLOOKUP(B29,Mapping!A:F,6,0)</f>
        <v>Shweta</v>
      </c>
      <c r="H29" s="43">
        <v>0.54629512452385132</v>
      </c>
      <c r="I29" s="43">
        <v>0.54629512452385132</v>
      </c>
      <c r="J29" s="43">
        <v>0.54629512452385132</v>
      </c>
      <c r="K29" s="43">
        <v>0.54629512452385132</v>
      </c>
      <c r="L29" s="43">
        <v>0.54629512452385132</v>
      </c>
      <c r="M29" s="43">
        <v>0.54629512452385132</v>
      </c>
      <c r="N29" s="43">
        <v>0.54629512452385132</v>
      </c>
      <c r="O29" s="43">
        <v>0.54629512452385132</v>
      </c>
      <c r="P29" s="43">
        <v>0.54629512452385132</v>
      </c>
      <c r="Q29" s="43">
        <v>0.54629512452385132</v>
      </c>
      <c r="R29" s="43">
        <v>0.54629512452385132</v>
      </c>
      <c r="S29" s="43">
        <v>0.54629512452385132</v>
      </c>
    </row>
    <row r="30" spans="1:19" x14ac:dyDescent="0.35">
      <c r="A30" s="40" t="s">
        <v>142</v>
      </c>
      <c r="B30" s="1" t="s">
        <v>44</v>
      </c>
      <c r="C30" s="1" t="str">
        <f>VLOOKUP(B30,Mapping!A:B,2,0)</f>
        <v>Lateral</v>
      </c>
      <c r="D30" s="1" t="str">
        <f>VLOOKUP(B30,Mapping!A:C,3,0)</f>
        <v>North</v>
      </c>
      <c r="E30" s="1" t="str">
        <f>VLOOKUP(B30,Mapping!A:D,4,0)</f>
        <v>North</v>
      </c>
      <c r="F30" s="1" t="str">
        <f>VLOOKUP(B30,Mapping!A:E,5,0)</f>
        <v>Anjli</v>
      </c>
      <c r="G30" s="1" t="str">
        <f>VLOOKUP(B30,Mapping!A:F,6,0)</f>
        <v>Archana</v>
      </c>
      <c r="H30" s="43">
        <v>0.4</v>
      </c>
      <c r="I30" s="43">
        <v>0.4</v>
      </c>
      <c r="J30" s="43">
        <v>0.4</v>
      </c>
      <c r="K30" s="43">
        <v>0.4</v>
      </c>
      <c r="L30" s="43">
        <v>0.4</v>
      </c>
      <c r="M30" s="43">
        <v>0.4</v>
      </c>
      <c r="N30" s="43">
        <v>0.4</v>
      </c>
      <c r="O30" s="43">
        <v>0.4</v>
      </c>
      <c r="P30" s="43">
        <v>0.4</v>
      </c>
      <c r="Q30" s="43">
        <v>0.4</v>
      </c>
      <c r="R30" s="43">
        <v>0.4</v>
      </c>
      <c r="S30" s="43">
        <v>0.4</v>
      </c>
    </row>
    <row r="31" spans="1:19" x14ac:dyDescent="0.35">
      <c r="A31" s="40" t="s">
        <v>142</v>
      </c>
      <c r="B31" s="1" t="s">
        <v>45</v>
      </c>
      <c r="C31" s="1" t="str">
        <f>VLOOKUP(B31,Mapping!A:B,2,0)</f>
        <v>Lateral</v>
      </c>
      <c r="D31" s="1" t="str">
        <f>VLOOKUP(B31,Mapping!A:C,3,0)</f>
        <v>South</v>
      </c>
      <c r="E31" s="1" t="str">
        <f>VLOOKUP(B31,Mapping!A:D,4,0)</f>
        <v>South 2</v>
      </c>
      <c r="F31" s="1" t="str">
        <f>VLOOKUP(B31,Mapping!A:E,5,0)</f>
        <v>Sulabh</v>
      </c>
      <c r="G31" s="1" t="str">
        <f>VLOOKUP(B31,Mapping!A:F,6,0)</f>
        <v>Krishna</v>
      </c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</row>
    <row r="32" spans="1:19" x14ac:dyDescent="0.35">
      <c r="A32" s="40" t="s">
        <v>142</v>
      </c>
      <c r="B32" s="1" t="s">
        <v>46</v>
      </c>
      <c r="C32" s="1" t="str">
        <f>VLOOKUP(B32,Mapping!A:B,2,0)</f>
        <v>Lateral</v>
      </c>
      <c r="D32" s="1" t="str">
        <f>VLOOKUP(B32,Mapping!A:C,3,0)</f>
        <v>West</v>
      </c>
      <c r="E32" s="1" t="str">
        <f>VLOOKUP(B32,Mapping!A:D,4,0)</f>
        <v>West 1</v>
      </c>
      <c r="F32" s="1" t="str">
        <f>VLOOKUP(B32,Mapping!A:E,5,0)</f>
        <v>Anjli</v>
      </c>
      <c r="G32" s="1" t="str">
        <f>VLOOKUP(B32,Mapping!A:F,6,0)</f>
        <v>Geetu</v>
      </c>
      <c r="H32" s="43">
        <v>0.45</v>
      </c>
      <c r="I32" s="43">
        <v>0.45</v>
      </c>
      <c r="J32" s="43">
        <v>0.45</v>
      </c>
      <c r="K32" s="43">
        <v>0.45</v>
      </c>
      <c r="L32" s="43">
        <v>0.45</v>
      </c>
      <c r="M32" s="43">
        <v>0.45</v>
      </c>
      <c r="N32" s="43">
        <v>0.45</v>
      </c>
      <c r="O32" s="43">
        <v>0.45</v>
      </c>
      <c r="P32" s="43">
        <v>0.45</v>
      </c>
      <c r="Q32" s="43">
        <v>0.45</v>
      </c>
      <c r="R32" s="43">
        <v>0.45</v>
      </c>
      <c r="S32" s="43">
        <v>0.45</v>
      </c>
    </row>
    <row r="33" spans="1:19" x14ac:dyDescent="0.35">
      <c r="A33" s="40" t="s">
        <v>142</v>
      </c>
      <c r="B33" s="1" t="s">
        <v>47</v>
      </c>
      <c r="C33" s="1" t="str">
        <f>VLOOKUP(B33,Mapping!A:B,2,0)</f>
        <v>Lateral</v>
      </c>
      <c r="D33" s="1" t="str">
        <f>VLOOKUP(B33,Mapping!A:C,3,0)</f>
        <v>West</v>
      </c>
      <c r="E33" s="1" t="str">
        <f>VLOOKUP(B33,Mapping!A:D,4,0)</f>
        <v>West 1</v>
      </c>
      <c r="F33" s="1" t="str">
        <f>VLOOKUP(B33,Mapping!A:E,5,0)</f>
        <v>Anjli</v>
      </c>
      <c r="G33" s="1" t="str">
        <f>VLOOKUP(B33,Mapping!A:F,6,0)</f>
        <v>Geetu</v>
      </c>
      <c r="H33" s="43">
        <v>0.4</v>
      </c>
      <c r="I33" s="43">
        <v>0.4</v>
      </c>
      <c r="J33" s="43">
        <v>0.4</v>
      </c>
      <c r="K33" s="43">
        <v>0.4</v>
      </c>
      <c r="L33" s="43">
        <v>0.4</v>
      </c>
      <c r="M33" s="43">
        <v>0.4</v>
      </c>
      <c r="N33" s="43">
        <v>0.4</v>
      </c>
      <c r="O33" s="43">
        <v>0.4</v>
      </c>
      <c r="P33" s="43">
        <v>0.4</v>
      </c>
      <c r="Q33" s="43">
        <v>0.4</v>
      </c>
      <c r="R33" s="43">
        <v>0.4</v>
      </c>
      <c r="S33" s="43">
        <v>0.4</v>
      </c>
    </row>
    <row r="34" spans="1:19" x14ac:dyDescent="0.35">
      <c r="A34" s="40" t="s">
        <v>142</v>
      </c>
      <c r="B34" s="1" t="s">
        <v>48</v>
      </c>
      <c r="C34" s="1" t="str">
        <f>VLOOKUP(B34,Mapping!A:B,2,0)</f>
        <v>Lateral</v>
      </c>
      <c r="D34" s="1" t="str">
        <f>VLOOKUP(B34,Mapping!A:C,3,0)</f>
        <v>West</v>
      </c>
      <c r="E34" s="1" t="str">
        <f>VLOOKUP(B34,Mapping!A:D,4,0)</f>
        <v>West 1</v>
      </c>
      <c r="F34" s="1" t="str">
        <f>VLOOKUP(B34,Mapping!A:E,5,0)</f>
        <v>Anjli</v>
      </c>
      <c r="G34" s="1" t="str">
        <f>VLOOKUP(B34,Mapping!A:F,6,0)</f>
        <v>Geetu</v>
      </c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</row>
    <row r="35" spans="1:19" x14ac:dyDescent="0.35">
      <c r="A35" s="40" t="s">
        <v>142</v>
      </c>
      <c r="B35" s="1" t="s">
        <v>49</v>
      </c>
      <c r="C35" s="1" t="str">
        <f>VLOOKUP(B35,Mapping!A:B,2,0)</f>
        <v>Lateral</v>
      </c>
      <c r="D35" s="1" t="str">
        <f>VLOOKUP(B35,Mapping!A:C,3,0)</f>
        <v>North</v>
      </c>
      <c r="E35" s="1" t="str">
        <f>VLOOKUP(B35,Mapping!A:D,4,0)</f>
        <v>North</v>
      </c>
      <c r="F35" s="1" t="str">
        <f>VLOOKUP(B35,Mapping!A:E,5,0)</f>
        <v>Anjli</v>
      </c>
      <c r="G35" s="1" t="str">
        <f>VLOOKUP(B35,Mapping!A:F,6,0)</f>
        <v>Archana</v>
      </c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</row>
    <row r="36" spans="1:19" x14ac:dyDescent="0.35">
      <c r="A36" s="40" t="s">
        <v>142</v>
      </c>
      <c r="B36" s="1" t="s">
        <v>50</v>
      </c>
      <c r="C36" s="1" t="str">
        <f>VLOOKUP(B36,Mapping!A:B,2,0)</f>
        <v>Lateral</v>
      </c>
      <c r="D36" s="1" t="str">
        <f>VLOOKUP(B36,Mapping!A:C,3,0)</f>
        <v>North</v>
      </c>
      <c r="E36" s="1" t="str">
        <f>VLOOKUP(B36,Mapping!A:D,4,0)</f>
        <v>North</v>
      </c>
      <c r="F36" s="1" t="str">
        <f>VLOOKUP(B36,Mapping!A:E,5,0)</f>
        <v>Anjli</v>
      </c>
      <c r="G36" s="1" t="str">
        <f>VLOOKUP(B36,Mapping!A:F,6,0)</f>
        <v>Archana</v>
      </c>
      <c r="H36" s="43">
        <v>0.39942438169476557</v>
      </c>
      <c r="I36" s="43">
        <v>0.39942438169476557</v>
      </c>
      <c r="J36" s="43">
        <v>0.39942438169476557</v>
      </c>
      <c r="K36" s="43">
        <v>0.39942438169476557</v>
      </c>
      <c r="L36" s="43">
        <v>0.39942438169476557</v>
      </c>
      <c r="M36" s="43">
        <v>0.39942438169476557</v>
      </c>
      <c r="N36" s="43">
        <v>0.39942438169476557</v>
      </c>
      <c r="O36" s="43">
        <v>0.39942438169476557</v>
      </c>
      <c r="P36" s="43">
        <v>0.39942438169476557</v>
      </c>
      <c r="Q36" s="43">
        <v>0.39942438169476557</v>
      </c>
      <c r="R36" s="43">
        <v>0.39942438169476557</v>
      </c>
      <c r="S36" s="43">
        <v>0.39942438169476557</v>
      </c>
    </row>
    <row r="37" spans="1:19" x14ac:dyDescent="0.35">
      <c r="A37" s="40" t="s">
        <v>142</v>
      </c>
      <c r="B37" s="1" t="s">
        <v>51</v>
      </c>
      <c r="C37" s="1" t="str">
        <f>VLOOKUP(B37,Mapping!A:B,2,0)</f>
        <v>Lateral</v>
      </c>
      <c r="D37" s="1" t="str">
        <f>VLOOKUP(B37,Mapping!A:C,3,0)</f>
        <v>West</v>
      </c>
      <c r="E37" s="1" t="str">
        <f>VLOOKUP(B37,Mapping!A:D,4,0)</f>
        <v>West 1</v>
      </c>
      <c r="F37" s="1" t="str">
        <f>VLOOKUP(B37,Mapping!A:E,5,0)</f>
        <v>Anjli</v>
      </c>
      <c r="G37" s="1" t="str">
        <f>VLOOKUP(B37,Mapping!A:F,6,0)</f>
        <v>Geetu</v>
      </c>
      <c r="H37" s="43">
        <v>0.5</v>
      </c>
      <c r="I37" s="43">
        <v>0.5</v>
      </c>
      <c r="J37" s="43">
        <v>0.5</v>
      </c>
      <c r="K37" s="43">
        <v>0.5</v>
      </c>
      <c r="L37" s="43">
        <v>0.5</v>
      </c>
      <c r="M37" s="43">
        <v>0.5</v>
      </c>
      <c r="N37" s="43">
        <v>0.5</v>
      </c>
      <c r="O37" s="43">
        <v>0.5</v>
      </c>
      <c r="P37" s="43">
        <v>0.5</v>
      </c>
      <c r="Q37" s="43">
        <v>0.5</v>
      </c>
      <c r="R37" s="43">
        <v>0.5</v>
      </c>
      <c r="S37" s="43">
        <v>0.5</v>
      </c>
    </row>
    <row r="38" spans="1:19" x14ac:dyDescent="0.35">
      <c r="A38" s="40" t="s">
        <v>142</v>
      </c>
      <c r="B38" s="1" t="s">
        <v>52</v>
      </c>
      <c r="C38" s="1" t="str">
        <f>VLOOKUP(B38,Mapping!A:B,2,0)</f>
        <v>Lateral</v>
      </c>
      <c r="D38" s="1" t="str">
        <f>VLOOKUP(B38,Mapping!A:C,3,0)</f>
        <v>West</v>
      </c>
      <c r="E38" s="1" t="str">
        <f>VLOOKUP(B38,Mapping!A:D,4,0)</f>
        <v>West 2</v>
      </c>
      <c r="F38" s="1" t="str">
        <f>VLOOKUP(B38,Mapping!A:E,5,0)</f>
        <v>Anjli</v>
      </c>
      <c r="G38" s="1" t="str">
        <f>VLOOKUP(B38,Mapping!A:F,6,0)</f>
        <v>Shweta</v>
      </c>
      <c r="H38" s="43">
        <v>0.5</v>
      </c>
      <c r="I38" s="43">
        <v>0.5</v>
      </c>
      <c r="J38" s="43">
        <v>0.5</v>
      </c>
      <c r="K38" s="43">
        <v>0.5</v>
      </c>
      <c r="L38" s="43">
        <v>0.5</v>
      </c>
      <c r="M38" s="43">
        <v>0.5</v>
      </c>
      <c r="N38" s="43">
        <v>0.5</v>
      </c>
      <c r="O38" s="43">
        <v>0.5</v>
      </c>
      <c r="P38" s="43">
        <v>0.5</v>
      </c>
      <c r="Q38" s="43">
        <v>0.5</v>
      </c>
      <c r="R38" s="43">
        <v>0.5</v>
      </c>
      <c r="S38" s="43">
        <v>0.5</v>
      </c>
    </row>
    <row r="39" spans="1:19" x14ac:dyDescent="0.35">
      <c r="A39" s="40" t="s">
        <v>142</v>
      </c>
      <c r="B39" s="1" t="s">
        <v>53</v>
      </c>
      <c r="C39" s="1" t="str">
        <f>VLOOKUP(B39,Mapping!A:B,2,0)</f>
        <v>Lateral</v>
      </c>
      <c r="D39" s="1" t="str">
        <f>VLOOKUP(B39,Mapping!A:C,3,0)</f>
        <v>West</v>
      </c>
      <c r="E39" s="1" t="str">
        <f>VLOOKUP(B39,Mapping!A:D,4,0)</f>
        <v>West 1</v>
      </c>
      <c r="F39" s="1" t="str">
        <f>VLOOKUP(B39,Mapping!A:E,5,0)</f>
        <v>Anjli</v>
      </c>
      <c r="G39" s="1" t="str">
        <f>VLOOKUP(B39,Mapping!A:F,6,0)</f>
        <v>Ankit</v>
      </c>
      <c r="H39" s="43">
        <v>0.45</v>
      </c>
      <c r="I39" s="43">
        <v>0.45</v>
      </c>
      <c r="J39" s="43">
        <v>0.45</v>
      </c>
      <c r="K39" s="43">
        <v>0.45</v>
      </c>
      <c r="L39" s="43">
        <v>0.45</v>
      </c>
      <c r="M39" s="43">
        <v>0.45</v>
      </c>
      <c r="N39" s="43">
        <v>0.45</v>
      </c>
      <c r="O39" s="43">
        <v>0.45</v>
      </c>
      <c r="P39" s="43">
        <v>0.45</v>
      </c>
      <c r="Q39" s="43">
        <v>0.45</v>
      </c>
      <c r="R39" s="43">
        <v>0.45</v>
      </c>
      <c r="S39" s="43">
        <v>0.45</v>
      </c>
    </row>
    <row r="40" spans="1:19" x14ac:dyDescent="0.35">
      <c r="A40" s="40" t="s">
        <v>142</v>
      </c>
      <c r="B40" s="1" t="s">
        <v>55</v>
      </c>
      <c r="C40" s="1" t="str">
        <f>VLOOKUP(B40,Mapping!A:B,2,0)</f>
        <v>Lateral</v>
      </c>
      <c r="D40" s="1" t="str">
        <f>VLOOKUP(B40,Mapping!A:C,3,0)</f>
        <v>South</v>
      </c>
      <c r="E40" s="1" t="str">
        <f>VLOOKUP(B40,Mapping!A:D,4,0)</f>
        <v>South 2</v>
      </c>
      <c r="F40" s="1" t="str">
        <f>VLOOKUP(B40,Mapping!A:E,5,0)</f>
        <v>Sulabh</v>
      </c>
      <c r="G40" s="1" t="str">
        <f>VLOOKUP(B40,Mapping!A:F,6,0)</f>
        <v>Krishna</v>
      </c>
      <c r="H40" s="43">
        <v>0.4</v>
      </c>
      <c r="I40" s="43">
        <v>0.4</v>
      </c>
      <c r="J40" s="43">
        <v>0.4</v>
      </c>
      <c r="K40" s="43">
        <v>0.4</v>
      </c>
      <c r="L40" s="43">
        <v>0.4</v>
      </c>
      <c r="M40" s="43">
        <v>0.4</v>
      </c>
      <c r="N40" s="43">
        <v>0.4</v>
      </c>
      <c r="O40" s="43">
        <v>0.4</v>
      </c>
      <c r="P40" s="43">
        <v>0.4</v>
      </c>
      <c r="Q40" s="43">
        <v>0.4</v>
      </c>
      <c r="R40" s="43">
        <v>0.4</v>
      </c>
      <c r="S40" s="43">
        <v>0.4</v>
      </c>
    </row>
    <row r="41" spans="1:19" x14ac:dyDescent="0.35">
      <c r="A41" s="40" t="s">
        <v>142</v>
      </c>
      <c r="B41" s="1" t="s">
        <v>56</v>
      </c>
      <c r="C41" s="1" t="str">
        <f>VLOOKUP(B41,Mapping!A:B,2,0)</f>
        <v>Lateral</v>
      </c>
      <c r="D41" s="1" t="str">
        <f>VLOOKUP(B41,Mapping!A:C,3,0)</f>
        <v>North</v>
      </c>
      <c r="E41" s="1" t="str">
        <f>VLOOKUP(B41,Mapping!A:D,4,0)</f>
        <v>North</v>
      </c>
      <c r="F41" s="1" t="str">
        <f>VLOOKUP(B41,Mapping!A:E,5,0)</f>
        <v>Anjli</v>
      </c>
      <c r="G41" s="1" t="str">
        <f>VLOOKUP(B41,Mapping!A:F,6,0)</f>
        <v>Archana</v>
      </c>
      <c r="H41" s="43">
        <v>0.45</v>
      </c>
      <c r="I41" s="43">
        <v>0.45</v>
      </c>
      <c r="J41" s="43">
        <v>0.45</v>
      </c>
      <c r="K41" s="43">
        <v>0.45</v>
      </c>
      <c r="L41" s="43">
        <v>0.45</v>
      </c>
      <c r="M41" s="43">
        <v>0.45</v>
      </c>
      <c r="N41" s="43">
        <v>0.45</v>
      </c>
      <c r="O41" s="43">
        <v>0.45</v>
      </c>
      <c r="P41" s="43">
        <v>0.45</v>
      </c>
      <c r="Q41" s="43">
        <v>0.45</v>
      </c>
      <c r="R41" s="43">
        <v>0.45</v>
      </c>
      <c r="S41" s="43">
        <v>0.45</v>
      </c>
    </row>
    <row r="42" spans="1:19" x14ac:dyDescent="0.35">
      <c r="A42" s="40" t="s">
        <v>142</v>
      </c>
      <c r="B42" s="1" t="s">
        <v>57</v>
      </c>
      <c r="C42" s="1" t="str">
        <f>VLOOKUP(B42,Mapping!A:B,2,0)</f>
        <v>Lateral</v>
      </c>
      <c r="D42" s="1" t="str">
        <f>VLOOKUP(B42,Mapping!A:C,3,0)</f>
        <v>South</v>
      </c>
      <c r="E42" s="1" t="str">
        <f>VLOOKUP(B42,Mapping!A:D,4,0)</f>
        <v>South 2</v>
      </c>
      <c r="F42" s="1" t="str">
        <f>VLOOKUP(B42,Mapping!A:E,5,0)</f>
        <v>Sulabh</v>
      </c>
      <c r="G42" s="1" t="str">
        <f>VLOOKUP(B42,Mapping!A:F,6,0)</f>
        <v>Krishna</v>
      </c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</row>
    <row r="43" spans="1:19" x14ac:dyDescent="0.35">
      <c r="A43" s="40" t="s">
        <v>142</v>
      </c>
      <c r="B43" s="1" t="s">
        <v>58</v>
      </c>
      <c r="C43" s="1" t="str">
        <f>VLOOKUP(B43,Mapping!A:B,2,0)</f>
        <v>Lateral</v>
      </c>
      <c r="D43" s="1" t="str">
        <f>VLOOKUP(B43,Mapping!A:C,3,0)</f>
        <v>West</v>
      </c>
      <c r="E43" s="1" t="str">
        <f>VLOOKUP(B43,Mapping!A:D,4,0)</f>
        <v>West 1</v>
      </c>
      <c r="F43" s="1" t="str">
        <f>VLOOKUP(B43,Mapping!A:E,5,0)</f>
        <v>Anjli</v>
      </c>
      <c r="G43" s="1" t="str">
        <f>VLOOKUP(B43,Mapping!A:F,6,0)</f>
        <v>Elton</v>
      </c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</row>
    <row r="44" spans="1:19" x14ac:dyDescent="0.35">
      <c r="A44" s="40" t="s">
        <v>142</v>
      </c>
      <c r="B44" s="1" t="s">
        <v>60</v>
      </c>
      <c r="C44" s="1" t="str">
        <f>VLOOKUP(B44,Mapping!A:B,2,0)</f>
        <v>Lateral</v>
      </c>
      <c r="D44" s="1" t="str">
        <f>VLOOKUP(B44,Mapping!A:C,3,0)</f>
        <v>West</v>
      </c>
      <c r="E44" s="1" t="str">
        <f>VLOOKUP(B44,Mapping!A:D,4,0)</f>
        <v>West 2</v>
      </c>
      <c r="F44" s="1" t="str">
        <f>VLOOKUP(B44,Mapping!A:E,5,0)</f>
        <v>Anjli</v>
      </c>
      <c r="G44" s="1" t="str">
        <f>VLOOKUP(B44,Mapping!A:F,6,0)</f>
        <v>Shweta</v>
      </c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</row>
    <row r="45" spans="1:19" x14ac:dyDescent="0.35">
      <c r="A45" s="40" t="s">
        <v>142</v>
      </c>
      <c r="B45" s="1" t="s">
        <v>61</v>
      </c>
      <c r="C45" s="1" t="str">
        <f>VLOOKUP(B45,Mapping!A:B,2,0)</f>
        <v>Lateral</v>
      </c>
      <c r="D45" s="1" t="str">
        <f>VLOOKUP(B45,Mapping!A:C,3,0)</f>
        <v>West</v>
      </c>
      <c r="E45" s="1" t="str">
        <f>VLOOKUP(B45,Mapping!A:D,4,0)</f>
        <v>West 1</v>
      </c>
      <c r="F45" s="1" t="str">
        <f>VLOOKUP(B45,Mapping!A:E,5,0)</f>
        <v>Anjli</v>
      </c>
      <c r="G45" s="1" t="str">
        <f>VLOOKUP(B45,Mapping!A:F,6,0)</f>
        <v>Elton</v>
      </c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</row>
    <row r="46" spans="1:19" x14ac:dyDescent="0.35">
      <c r="A46" s="40" t="s">
        <v>142</v>
      </c>
      <c r="B46" s="1" t="s">
        <v>62</v>
      </c>
      <c r="C46" s="1" t="str">
        <f>VLOOKUP(B46,Mapping!A:B,2,0)</f>
        <v>Lateral</v>
      </c>
      <c r="D46" s="1" t="str">
        <f>VLOOKUP(B46,Mapping!A:C,3,0)</f>
        <v>South</v>
      </c>
      <c r="E46" s="1" t="str">
        <f>VLOOKUP(B46,Mapping!A:D,4,0)</f>
        <v>South 2</v>
      </c>
      <c r="F46" s="1" t="str">
        <f>VLOOKUP(B46,Mapping!A:E,5,0)</f>
        <v>Sulabh</v>
      </c>
      <c r="G46" s="1" t="str">
        <f>VLOOKUP(B46,Mapping!A:F,6,0)</f>
        <v>Subu</v>
      </c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</row>
    <row r="47" spans="1:19" x14ac:dyDescent="0.35">
      <c r="A47" s="40" t="s">
        <v>142</v>
      </c>
      <c r="B47" s="1" t="s">
        <v>63</v>
      </c>
      <c r="C47" s="1" t="str">
        <f>VLOOKUP(B47,Mapping!A:B,2,0)</f>
        <v>Lateral</v>
      </c>
      <c r="D47" s="1" t="str">
        <f>VLOOKUP(B47,Mapping!A:C,3,0)</f>
        <v>West</v>
      </c>
      <c r="E47" s="1" t="str">
        <f>VLOOKUP(B47,Mapping!A:D,4,0)</f>
        <v>West 1</v>
      </c>
      <c r="F47" s="1" t="str">
        <f>VLOOKUP(B47,Mapping!A:E,5,0)</f>
        <v>Anjli</v>
      </c>
      <c r="G47" s="1" t="str">
        <f>VLOOKUP(B47,Mapping!A:F,6,0)</f>
        <v>Elton</v>
      </c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</row>
    <row r="48" spans="1:19" x14ac:dyDescent="0.35">
      <c r="A48" s="40" t="s">
        <v>142</v>
      </c>
      <c r="B48" s="1" t="s">
        <v>64</v>
      </c>
      <c r="C48" s="1" t="str">
        <f>VLOOKUP(B48,Mapping!A:B,2,0)</f>
        <v>Lateral</v>
      </c>
      <c r="D48" s="1" t="str">
        <f>VLOOKUP(B48,Mapping!A:C,3,0)</f>
        <v>South</v>
      </c>
      <c r="E48" s="1" t="str">
        <f>VLOOKUP(B48,Mapping!A:D,4,0)</f>
        <v>South 2</v>
      </c>
      <c r="F48" s="1" t="str">
        <f>VLOOKUP(B48,Mapping!A:E,5,0)</f>
        <v>Sulabh</v>
      </c>
      <c r="G48" s="1" t="str">
        <f>VLOOKUP(B48,Mapping!A:F,6,0)</f>
        <v>Sulabh</v>
      </c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</row>
    <row r="49" spans="1:19" x14ac:dyDescent="0.35">
      <c r="A49" s="40" t="s">
        <v>142</v>
      </c>
      <c r="B49" s="1" t="s">
        <v>65</v>
      </c>
      <c r="C49" s="1" t="str">
        <f>VLOOKUP(B49,Mapping!A:B,2,0)</f>
        <v>Lateral</v>
      </c>
      <c r="D49" s="1" t="str">
        <f>VLOOKUP(B49,Mapping!A:C,3,0)</f>
        <v>South</v>
      </c>
      <c r="E49" s="1" t="str">
        <f>VLOOKUP(B49,Mapping!A:D,4,0)</f>
        <v>South 2</v>
      </c>
      <c r="F49" s="1" t="str">
        <f>VLOOKUP(B49,Mapping!A:E,5,0)</f>
        <v>Sulabh</v>
      </c>
      <c r="G49" s="1" t="str">
        <f>VLOOKUP(B49,Mapping!A:F,6,0)</f>
        <v>Sulabh</v>
      </c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</row>
    <row r="50" spans="1:19" x14ac:dyDescent="0.35">
      <c r="A50" s="40" t="s">
        <v>142</v>
      </c>
      <c r="B50" s="1" t="s">
        <v>66</v>
      </c>
      <c r="C50" s="1" t="str">
        <f>VLOOKUP(B50,Mapping!A:B,2,0)</f>
        <v>Lateral</v>
      </c>
      <c r="D50" s="1" t="str">
        <f>VLOOKUP(B50,Mapping!A:C,3,0)</f>
        <v>South</v>
      </c>
      <c r="E50" s="1" t="str">
        <f>VLOOKUP(B50,Mapping!A:D,4,0)</f>
        <v>South 2</v>
      </c>
      <c r="F50" s="1" t="str">
        <f>VLOOKUP(B50,Mapping!A:E,5,0)</f>
        <v>Sulabh</v>
      </c>
      <c r="G50" s="1" t="str">
        <f>VLOOKUP(B50,Mapping!A:F,6,0)</f>
        <v>Abhilash</v>
      </c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</row>
    <row r="51" spans="1:19" x14ac:dyDescent="0.35">
      <c r="A51" s="40" t="s">
        <v>142</v>
      </c>
      <c r="B51" s="1" t="s">
        <v>68</v>
      </c>
      <c r="C51" s="1" t="str">
        <f>VLOOKUP(B51,Mapping!A:B,2,0)</f>
        <v>Lateral</v>
      </c>
      <c r="D51" s="1" t="str">
        <f>VLOOKUP(B51,Mapping!A:C,3,0)</f>
        <v>West</v>
      </c>
      <c r="E51" s="1" t="str">
        <f>VLOOKUP(B51,Mapping!A:D,4,0)</f>
        <v>West 1</v>
      </c>
      <c r="F51" s="1" t="str">
        <f>VLOOKUP(B51,Mapping!A:E,5,0)</f>
        <v>Anjli</v>
      </c>
      <c r="G51" s="1" t="str">
        <f>VLOOKUP(B51,Mapping!A:F,6,0)</f>
        <v>Elton</v>
      </c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</row>
    <row r="52" spans="1:19" x14ac:dyDescent="0.35">
      <c r="A52" s="40" t="s">
        <v>142</v>
      </c>
      <c r="B52" s="1" t="s">
        <v>69</v>
      </c>
      <c r="C52" s="1" t="str">
        <f>VLOOKUP(B52,Mapping!A:B,2,0)</f>
        <v>Leadership</v>
      </c>
      <c r="D52" s="1" t="str">
        <f>VLOOKUP(B52,Mapping!A:C,3,0)</f>
        <v>South</v>
      </c>
      <c r="E52" s="1" t="str">
        <f>VLOOKUP(B52,Mapping!A:D,4,0)</f>
        <v>South 1</v>
      </c>
      <c r="F52" s="1" t="str">
        <f>VLOOKUP(B52,Mapping!A:E,5,0)</f>
        <v>Bapi</v>
      </c>
      <c r="G52" s="1" t="str">
        <f>VLOOKUP(B52,Mapping!A:F,6,0)</f>
        <v>Parul</v>
      </c>
      <c r="H52" s="43">
        <v>0.48</v>
      </c>
      <c r="I52" s="43">
        <v>0.48</v>
      </c>
      <c r="J52" s="43">
        <v>0.48</v>
      </c>
      <c r="K52" s="43">
        <v>0.48</v>
      </c>
      <c r="L52" s="43">
        <v>0.48</v>
      </c>
      <c r="M52" s="43">
        <v>0.48</v>
      </c>
      <c r="N52" s="43">
        <v>0.48</v>
      </c>
      <c r="O52" s="43">
        <v>0.48</v>
      </c>
      <c r="P52" s="43">
        <v>0.48</v>
      </c>
      <c r="Q52" s="43">
        <v>0.48</v>
      </c>
      <c r="R52" s="43">
        <v>0.48</v>
      </c>
      <c r="S52" s="43">
        <v>0.48</v>
      </c>
    </row>
    <row r="53" spans="1:19" x14ac:dyDescent="0.35">
      <c r="A53" s="40" t="s">
        <v>142</v>
      </c>
      <c r="B53" s="1" t="s">
        <v>71</v>
      </c>
      <c r="C53" s="1" t="str">
        <f>VLOOKUP(B53,Mapping!A:B,2,0)</f>
        <v>Leadership</v>
      </c>
      <c r="D53" s="1" t="str">
        <f>VLOOKUP(B53,Mapping!A:C,3,0)</f>
        <v>South</v>
      </c>
      <c r="E53" s="1" t="str">
        <f>VLOOKUP(B53,Mapping!A:D,4,0)</f>
        <v>South 2</v>
      </c>
      <c r="F53" s="1" t="str">
        <f>VLOOKUP(B53,Mapping!A:E,5,0)</f>
        <v>Sulabh</v>
      </c>
      <c r="G53" s="1" t="str">
        <f>VLOOKUP(B53,Mapping!A:F,6,0)</f>
        <v>Parul</v>
      </c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</row>
    <row r="54" spans="1:19" x14ac:dyDescent="0.35">
      <c r="A54" s="40" t="s">
        <v>142</v>
      </c>
      <c r="B54" s="1" t="s">
        <v>72</v>
      </c>
      <c r="C54" s="1" t="str">
        <f>VLOOKUP(B54,Mapping!A:B,2,0)</f>
        <v>Leadership</v>
      </c>
      <c r="D54" s="1" t="str">
        <f>VLOOKUP(B54,Mapping!A:C,3,0)</f>
        <v>West</v>
      </c>
      <c r="E54" s="1" t="str">
        <f>VLOOKUP(B54,Mapping!A:D,4,0)</f>
        <v>West 2</v>
      </c>
      <c r="F54" s="1" t="str">
        <f>VLOOKUP(B54,Mapping!A:E,5,0)</f>
        <v>Anjli</v>
      </c>
      <c r="G54" s="1" t="str">
        <f>VLOOKUP(B54,Mapping!A:F,6,0)</f>
        <v>Parul</v>
      </c>
      <c r="H54" s="43">
        <v>0.6</v>
      </c>
      <c r="I54" s="43">
        <v>0.6</v>
      </c>
      <c r="J54" s="43">
        <v>0.6</v>
      </c>
      <c r="K54" s="43">
        <v>0.6</v>
      </c>
      <c r="L54" s="43">
        <v>0.6</v>
      </c>
      <c r="M54" s="43">
        <v>0.6</v>
      </c>
      <c r="N54" s="43">
        <v>0.6</v>
      </c>
      <c r="O54" s="43">
        <v>0.6</v>
      </c>
      <c r="P54" s="43">
        <v>0.6</v>
      </c>
      <c r="Q54" s="43">
        <v>0.6</v>
      </c>
      <c r="R54" s="43">
        <v>0.6</v>
      </c>
      <c r="S54" s="43">
        <v>0.6</v>
      </c>
    </row>
    <row r="55" spans="1:19" x14ac:dyDescent="0.35">
      <c r="A55" s="40" t="s">
        <v>142</v>
      </c>
      <c r="B55" s="1" t="s">
        <v>73</v>
      </c>
      <c r="C55" s="1" t="str">
        <f>VLOOKUP(B55,Mapping!A:B,2,0)</f>
        <v>Leadership</v>
      </c>
      <c r="D55" s="1" t="str">
        <f>VLOOKUP(B55,Mapping!A:C,3,0)</f>
        <v>West</v>
      </c>
      <c r="E55" s="1" t="str">
        <f>VLOOKUP(B55,Mapping!A:D,4,0)</f>
        <v>West 1</v>
      </c>
      <c r="F55" s="1" t="str">
        <f>VLOOKUP(B55,Mapping!A:E,5,0)</f>
        <v>Anjli</v>
      </c>
      <c r="G55" s="1" t="str">
        <f>VLOOKUP(B55,Mapping!A:F,6,0)</f>
        <v>Parul</v>
      </c>
      <c r="H55" s="43">
        <v>0.5</v>
      </c>
      <c r="I55" s="43">
        <v>0.5</v>
      </c>
      <c r="J55" s="43">
        <v>0.5</v>
      </c>
      <c r="K55" s="43">
        <v>0.5</v>
      </c>
      <c r="L55" s="43">
        <v>0.5</v>
      </c>
      <c r="M55" s="43">
        <v>0.5</v>
      </c>
      <c r="N55" s="43">
        <v>0.5</v>
      </c>
      <c r="O55" s="43">
        <v>0.5</v>
      </c>
      <c r="P55" s="43">
        <v>0.5</v>
      </c>
      <c r="Q55" s="43">
        <v>0.5</v>
      </c>
      <c r="R55" s="43">
        <v>0.5</v>
      </c>
      <c r="S55" s="43">
        <v>0.5</v>
      </c>
    </row>
    <row r="56" spans="1:19" x14ac:dyDescent="0.35">
      <c r="A56" s="40" t="s">
        <v>142</v>
      </c>
      <c r="B56" s="1" t="s">
        <v>74</v>
      </c>
      <c r="C56" s="1" t="str">
        <f>VLOOKUP(B56,Mapping!A:B,2,0)</f>
        <v>Leadership</v>
      </c>
      <c r="D56" s="1" t="str">
        <f>VLOOKUP(B56,Mapping!A:C,3,0)</f>
        <v>West</v>
      </c>
      <c r="E56" s="1" t="str">
        <f>VLOOKUP(B56,Mapping!A:D,4,0)</f>
        <v>West 1</v>
      </c>
      <c r="F56" s="1" t="str">
        <f>VLOOKUP(B56,Mapping!A:E,5,0)</f>
        <v>Anjli</v>
      </c>
      <c r="G56" s="1" t="str">
        <f>VLOOKUP(B56,Mapping!A:F,6,0)</f>
        <v>Parul</v>
      </c>
      <c r="H56" s="43">
        <v>0.48</v>
      </c>
      <c r="I56" s="43">
        <v>0.48</v>
      </c>
      <c r="J56" s="43">
        <v>0.48</v>
      </c>
      <c r="K56" s="43">
        <v>0.48</v>
      </c>
      <c r="L56" s="43">
        <v>0.48</v>
      </c>
      <c r="M56" s="43">
        <v>0.48</v>
      </c>
      <c r="N56" s="43">
        <v>0.48</v>
      </c>
      <c r="O56" s="43">
        <v>0.48</v>
      </c>
      <c r="P56" s="43">
        <v>0.48</v>
      </c>
      <c r="Q56" s="43">
        <v>0.48</v>
      </c>
      <c r="R56" s="43">
        <v>0.48</v>
      </c>
      <c r="S56" s="43">
        <v>0.48</v>
      </c>
    </row>
    <row r="57" spans="1:19" x14ac:dyDescent="0.35">
      <c r="A57" s="40" t="s">
        <v>142</v>
      </c>
      <c r="B57" s="1" t="s">
        <v>75</v>
      </c>
      <c r="C57" s="1" t="str">
        <f>VLOOKUP(B57,Mapping!A:B,2,0)</f>
        <v>Leadership</v>
      </c>
      <c r="D57" s="1" t="str">
        <f>VLOOKUP(B57,Mapping!A:C,3,0)</f>
        <v>South</v>
      </c>
      <c r="E57" s="1" t="str">
        <f>VLOOKUP(B57,Mapping!A:D,4,0)</f>
        <v>South 2</v>
      </c>
      <c r="F57" s="1" t="str">
        <f>VLOOKUP(B57,Mapping!A:E,5,0)</f>
        <v>Sulabh</v>
      </c>
      <c r="G57" s="1" t="str">
        <f>VLOOKUP(B57,Mapping!A:F,6,0)</f>
        <v>Parul</v>
      </c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</row>
    <row r="58" spans="1:19" x14ac:dyDescent="0.35">
      <c r="A58" s="40" t="s">
        <v>142</v>
      </c>
      <c r="B58" s="1" t="s">
        <v>76</v>
      </c>
      <c r="C58" s="1" t="str">
        <f>VLOOKUP(B58,Mapping!A:B,2,0)</f>
        <v>Leadership</v>
      </c>
      <c r="D58" s="1" t="str">
        <f>VLOOKUP(B58,Mapping!A:C,3,0)</f>
        <v>South</v>
      </c>
      <c r="E58" s="1" t="str">
        <f>VLOOKUP(B58,Mapping!A:D,4,0)</f>
        <v>South 2</v>
      </c>
      <c r="F58" s="1" t="str">
        <f>VLOOKUP(B58,Mapping!A:E,5,0)</f>
        <v>Sulabh</v>
      </c>
      <c r="G58" s="1" t="str">
        <f>VLOOKUP(B58,Mapping!A:F,6,0)</f>
        <v>Parul</v>
      </c>
      <c r="H58" s="43">
        <v>0.7</v>
      </c>
      <c r="I58" s="43">
        <v>0.7</v>
      </c>
      <c r="J58" s="43">
        <v>0.7</v>
      </c>
      <c r="K58" s="43">
        <v>0.7</v>
      </c>
      <c r="L58" s="43">
        <v>0.7</v>
      </c>
      <c r="M58" s="43">
        <v>0.7</v>
      </c>
      <c r="N58" s="43">
        <v>0.7</v>
      </c>
      <c r="O58" s="43">
        <v>0.7</v>
      </c>
      <c r="P58" s="43">
        <v>0.7</v>
      </c>
      <c r="Q58" s="43">
        <v>0.7</v>
      </c>
      <c r="R58" s="43">
        <v>0.7</v>
      </c>
      <c r="S58" s="43">
        <v>0.7</v>
      </c>
    </row>
    <row r="59" spans="1:19" x14ac:dyDescent="0.35">
      <c r="A59" s="40" t="s">
        <v>142</v>
      </c>
      <c r="B59" s="1" t="s">
        <v>77</v>
      </c>
      <c r="C59" s="1" t="str">
        <f>VLOOKUP(B59,Mapping!A:B,2,0)</f>
        <v>Leadership</v>
      </c>
      <c r="D59" s="1" t="str">
        <f>VLOOKUP(B59,Mapping!A:C,3,0)</f>
        <v>North</v>
      </c>
      <c r="E59" s="1" t="str">
        <f>VLOOKUP(B59,Mapping!A:D,4,0)</f>
        <v>North</v>
      </c>
      <c r="F59" s="1" t="str">
        <f>VLOOKUP(B59,Mapping!A:E,5,0)</f>
        <v>Anjli</v>
      </c>
      <c r="G59" s="1" t="str">
        <f>VLOOKUP(B59,Mapping!A:F,6,0)</f>
        <v>Parul</v>
      </c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</row>
    <row r="60" spans="1:19" x14ac:dyDescent="0.35">
      <c r="A60" s="40" t="s">
        <v>142</v>
      </c>
      <c r="B60" s="1" t="s">
        <v>78</v>
      </c>
      <c r="C60" s="1" t="str">
        <f>VLOOKUP(B60,Mapping!A:B,2,0)</f>
        <v>Leadership</v>
      </c>
      <c r="D60" s="1" t="str">
        <f>VLOOKUP(B60,Mapping!A:C,3,0)</f>
        <v>West</v>
      </c>
      <c r="E60" s="1" t="str">
        <f>VLOOKUP(B60,Mapping!A:D,4,0)</f>
        <v>West 1</v>
      </c>
      <c r="F60" s="1" t="str">
        <f>VLOOKUP(B60,Mapping!A:E,5,0)</f>
        <v>Anjli</v>
      </c>
      <c r="G60" s="1" t="str">
        <f>VLOOKUP(B60,Mapping!A:F,6,0)</f>
        <v>Parul</v>
      </c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</row>
    <row r="61" spans="1:19" x14ac:dyDescent="0.35">
      <c r="A61" s="40" t="s">
        <v>142</v>
      </c>
      <c r="B61" s="1" t="s">
        <v>79</v>
      </c>
      <c r="C61" s="1" t="str">
        <f>VLOOKUP(B61,Mapping!A:B,2,0)</f>
        <v>Leadership</v>
      </c>
      <c r="D61" s="1" t="str">
        <f>VLOOKUP(B61,Mapping!A:C,3,0)</f>
        <v>West</v>
      </c>
      <c r="E61" s="1" t="str">
        <f>VLOOKUP(B61,Mapping!A:D,4,0)</f>
        <v>West 2</v>
      </c>
      <c r="F61" s="1" t="str">
        <f>VLOOKUP(B61,Mapping!A:E,5,0)</f>
        <v>Anjli</v>
      </c>
      <c r="G61" s="1" t="str">
        <f>VLOOKUP(B61,Mapping!A:F,6,0)</f>
        <v>Parul</v>
      </c>
      <c r="H61" s="43">
        <v>0.48</v>
      </c>
      <c r="I61" s="43">
        <v>0.48</v>
      </c>
      <c r="J61" s="43">
        <v>0.48</v>
      </c>
      <c r="K61" s="43">
        <v>0.48</v>
      </c>
      <c r="L61" s="43">
        <v>0.48</v>
      </c>
      <c r="M61" s="43">
        <v>0.48</v>
      </c>
      <c r="N61" s="43">
        <v>0.48</v>
      </c>
      <c r="O61" s="43">
        <v>0.48</v>
      </c>
      <c r="P61" s="43">
        <v>0.48</v>
      </c>
      <c r="Q61" s="43">
        <v>0.48</v>
      </c>
      <c r="R61" s="43">
        <v>0.48</v>
      </c>
      <c r="S61" s="43">
        <v>0.48</v>
      </c>
    </row>
    <row r="62" spans="1:19" x14ac:dyDescent="0.35">
      <c r="A62" s="40" t="s">
        <v>142</v>
      </c>
      <c r="B62" s="1" t="s">
        <v>80</v>
      </c>
      <c r="C62" s="1" t="str">
        <f>VLOOKUP(B62,Mapping!A:B,2,0)</f>
        <v>Leadership</v>
      </c>
      <c r="D62" s="1" t="str">
        <f>VLOOKUP(B62,Mapping!A:C,3,0)</f>
        <v>North</v>
      </c>
      <c r="E62" s="1" t="str">
        <f>VLOOKUP(B62,Mapping!A:D,4,0)</f>
        <v>North</v>
      </c>
      <c r="F62" s="1" t="str">
        <f>VLOOKUP(B62,Mapping!A:E,5,0)</f>
        <v>Anjli</v>
      </c>
      <c r="G62" s="1" t="str">
        <f>VLOOKUP(B62,Mapping!A:F,6,0)</f>
        <v>Parul</v>
      </c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</row>
    <row r="63" spans="1:19" x14ac:dyDescent="0.35">
      <c r="A63" s="40" t="s">
        <v>142</v>
      </c>
      <c r="B63" s="1" t="s">
        <v>81</v>
      </c>
      <c r="C63" s="1" t="str">
        <f>VLOOKUP(B63,Mapping!A:B,2,0)</f>
        <v>Leadership</v>
      </c>
      <c r="D63" s="1" t="str">
        <f>VLOOKUP(B63,Mapping!A:C,3,0)</f>
        <v>North</v>
      </c>
      <c r="E63" s="1" t="str">
        <f>VLOOKUP(B63,Mapping!A:D,4,0)</f>
        <v>North</v>
      </c>
      <c r="F63" s="1" t="str">
        <f>VLOOKUP(B63,Mapping!A:E,5,0)</f>
        <v>Anjli</v>
      </c>
      <c r="G63" s="1" t="str">
        <f>VLOOKUP(B63,Mapping!A:F,6,0)</f>
        <v>Parul</v>
      </c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</row>
    <row r="64" spans="1:19" x14ac:dyDescent="0.35">
      <c r="A64" s="40" t="s">
        <v>142</v>
      </c>
      <c r="B64" s="1" t="s">
        <v>82</v>
      </c>
      <c r="C64" s="1" t="str">
        <f>VLOOKUP(B64,Mapping!A:B,2,0)</f>
        <v>Leadership</v>
      </c>
      <c r="D64" s="1" t="str">
        <f>VLOOKUP(B64,Mapping!A:C,3,0)</f>
        <v>West</v>
      </c>
      <c r="E64" s="1" t="str">
        <f>VLOOKUP(B64,Mapping!A:D,4,0)</f>
        <v>West 1</v>
      </c>
      <c r="F64" s="1" t="str">
        <f>VLOOKUP(B64,Mapping!A:E,5,0)</f>
        <v>Anjli</v>
      </c>
      <c r="G64" s="1" t="str">
        <f>VLOOKUP(B64,Mapping!A:F,6,0)</f>
        <v>Parul</v>
      </c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</row>
    <row r="65" spans="1:19" x14ac:dyDescent="0.35">
      <c r="A65" s="40" t="s">
        <v>142</v>
      </c>
      <c r="B65" s="1" t="s">
        <v>83</v>
      </c>
      <c r="C65" s="1" t="str">
        <f>VLOOKUP(B65,Mapping!A:B,2,0)</f>
        <v>Leadership</v>
      </c>
      <c r="D65" s="1" t="str">
        <f>VLOOKUP(B65,Mapping!A:C,3,0)</f>
        <v>North</v>
      </c>
      <c r="E65" s="1" t="str">
        <f>VLOOKUP(B65,Mapping!A:D,4,0)</f>
        <v>North</v>
      </c>
      <c r="F65" s="1" t="str">
        <f>VLOOKUP(B65,Mapping!A:E,5,0)</f>
        <v>Anjli</v>
      </c>
      <c r="G65" s="1" t="str">
        <f>VLOOKUP(B65,Mapping!A:F,6,0)</f>
        <v>Parul</v>
      </c>
      <c r="H65" s="43">
        <v>0.5</v>
      </c>
      <c r="I65" s="43">
        <v>0.5</v>
      </c>
      <c r="J65" s="43">
        <v>0.5</v>
      </c>
      <c r="K65" s="43">
        <v>0.5</v>
      </c>
      <c r="L65" s="43">
        <v>0.5</v>
      </c>
      <c r="M65" s="43">
        <v>0.5</v>
      </c>
      <c r="N65" s="43">
        <v>0.5</v>
      </c>
      <c r="O65" s="43">
        <v>0.5</v>
      </c>
      <c r="P65" s="43">
        <v>0.5</v>
      </c>
      <c r="Q65" s="43">
        <v>0.5</v>
      </c>
      <c r="R65" s="43">
        <v>0.5</v>
      </c>
      <c r="S65" s="43">
        <v>0.5</v>
      </c>
    </row>
    <row r="66" spans="1:19" x14ac:dyDescent="0.35">
      <c r="A66" s="40" t="s">
        <v>142</v>
      </c>
      <c r="B66" s="1" t="s">
        <v>84</v>
      </c>
      <c r="C66" s="1" t="str">
        <f>VLOOKUP(B66,Mapping!A:B,2,0)</f>
        <v>Lateral</v>
      </c>
      <c r="D66" s="1" t="str">
        <f>VLOOKUP(B66,Mapping!A:C,3,0)</f>
        <v>South</v>
      </c>
      <c r="E66" s="1" t="str">
        <f>VLOOKUP(B66,Mapping!A:D,4,0)</f>
        <v>South 1</v>
      </c>
      <c r="F66" s="1" t="str">
        <f>VLOOKUP(B66,Mapping!A:E,5,0)</f>
        <v>Ashish</v>
      </c>
      <c r="G66" s="1" t="str">
        <f>VLOOKUP(B66,Mapping!A:F,6,0)</f>
        <v>Ashish</v>
      </c>
      <c r="H66" s="43">
        <v>0.7</v>
      </c>
      <c r="I66" s="43">
        <v>0.7</v>
      </c>
      <c r="J66" s="43">
        <v>0.7</v>
      </c>
      <c r="K66" s="43">
        <v>0.7</v>
      </c>
      <c r="L66" s="43">
        <v>0.7</v>
      </c>
      <c r="M66" s="43">
        <v>0.7</v>
      </c>
      <c r="N66" s="43">
        <v>0.7</v>
      </c>
      <c r="O66" s="43">
        <v>0.7</v>
      </c>
      <c r="P66" s="43">
        <v>0.7</v>
      </c>
      <c r="Q66" s="43">
        <v>0.7</v>
      </c>
      <c r="R66" s="43">
        <v>0.7</v>
      </c>
      <c r="S66" s="43">
        <v>0.7</v>
      </c>
    </row>
    <row r="67" spans="1:19" x14ac:dyDescent="0.35">
      <c r="A67" s="40" t="s">
        <v>142</v>
      </c>
      <c r="B67" s="1" t="s">
        <v>86</v>
      </c>
      <c r="C67" s="1" t="str">
        <f>VLOOKUP(B67,Mapping!A:B,2,0)</f>
        <v>Lateral</v>
      </c>
      <c r="D67" s="1" t="str">
        <f>VLOOKUP(B67,Mapping!A:C,3,0)</f>
        <v>New Sales</v>
      </c>
      <c r="E67" s="1" t="str">
        <f>VLOOKUP(B67,Mapping!A:D,4,0)</f>
        <v>New Sales</v>
      </c>
      <c r="F67" s="1" t="str">
        <f>VLOOKUP(B67,Mapping!A:E,5,0)</f>
        <v>Nizar</v>
      </c>
      <c r="G67" s="1" t="str">
        <f>VLOOKUP(B67,Mapping!A:F,6,0)</f>
        <v>Nizar</v>
      </c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</row>
    <row r="68" spans="1:19" x14ac:dyDescent="0.35">
      <c r="A68" s="40" t="s">
        <v>142</v>
      </c>
      <c r="B68" s="1" t="s">
        <v>89</v>
      </c>
      <c r="C68" s="1" t="str">
        <f>VLOOKUP(B68,Mapping!A:B,2,0)</f>
        <v>Lateral</v>
      </c>
      <c r="D68" s="1" t="str">
        <f>VLOOKUP(B68,Mapping!A:C,3,0)</f>
        <v>North</v>
      </c>
      <c r="E68" s="1" t="str">
        <f>VLOOKUP(B68,Mapping!A:D,4,0)</f>
        <v>North</v>
      </c>
      <c r="F68" s="1" t="str">
        <f>VLOOKUP(B68,Mapping!A:E,5,0)</f>
        <v>Anjli</v>
      </c>
      <c r="G68" s="1" t="str">
        <f>VLOOKUP(B68,Mapping!A:F,6,0)</f>
        <v>Archana</v>
      </c>
      <c r="H68" s="43">
        <v>0.63300000000000001</v>
      </c>
      <c r="I68" s="43">
        <v>0.63300000000000001</v>
      </c>
      <c r="J68" s="43">
        <v>0.63300000000000001</v>
      </c>
      <c r="K68" s="43">
        <v>0.63300000000000001</v>
      </c>
      <c r="L68" s="43">
        <v>0.63300000000000001</v>
      </c>
      <c r="M68" s="43">
        <v>0.63300000000000001</v>
      </c>
      <c r="N68" s="43">
        <v>0.63300000000000001</v>
      </c>
      <c r="O68" s="43">
        <v>0.63300000000000001</v>
      </c>
      <c r="P68" s="43">
        <v>0.63300000000000001</v>
      </c>
      <c r="Q68" s="43">
        <v>0.63300000000000001</v>
      </c>
      <c r="R68" s="43">
        <v>0.63300000000000001</v>
      </c>
      <c r="S68" s="43">
        <v>0.63300000000000001</v>
      </c>
    </row>
    <row r="69" spans="1:19" x14ac:dyDescent="0.35">
      <c r="A69" s="40" t="s">
        <v>142</v>
      </c>
      <c r="B69" s="1" t="s">
        <v>91</v>
      </c>
      <c r="C69" s="1" t="str">
        <f>VLOOKUP(B69,Mapping!A:B,2,0)</f>
        <v>Lateral</v>
      </c>
      <c r="D69" s="1" t="str">
        <f>VLOOKUP(B69,Mapping!A:C,3,0)</f>
        <v>North</v>
      </c>
      <c r="E69" s="1" t="str">
        <f>VLOOKUP(B69,Mapping!A:D,4,0)</f>
        <v>North</v>
      </c>
      <c r="F69" s="1" t="str">
        <f>VLOOKUP(B69,Mapping!A:E,5,0)</f>
        <v>Anjli</v>
      </c>
      <c r="G69" s="1" t="str">
        <f>VLOOKUP(B69,Mapping!A:F,6,0)</f>
        <v>Archana</v>
      </c>
      <c r="H69" s="43">
        <v>0.5</v>
      </c>
      <c r="I69" s="43">
        <v>0.5</v>
      </c>
      <c r="J69" s="43">
        <v>0.5</v>
      </c>
      <c r="K69" s="43">
        <v>0.5</v>
      </c>
      <c r="L69" s="43">
        <v>0.5</v>
      </c>
      <c r="M69" s="43">
        <v>0.5</v>
      </c>
      <c r="N69" s="43">
        <v>0.5</v>
      </c>
      <c r="O69" s="43">
        <v>0.5</v>
      </c>
      <c r="P69" s="43">
        <v>0.5</v>
      </c>
      <c r="Q69" s="43">
        <v>0.5</v>
      </c>
      <c r="R69" s="43">
        <v>0.5</v>
      </c>
      <c r="S69" s="43">
        <v>0.5</v>
      </c>
    </row>
    <row r="70" spans="1:19" x14ac:dyDescent="0.35">
      <c r="A70" s="40" t="s">
        <v>142</v>
      </c>
      <c r="B70" s="1" t="s">
        <v>92</v>
      </c>
      <c r="C70" s="1" t="e">
        <f>VLOOKUP(B70,Mapping!A:B,2,0)</f>
        <v>#N/A</v>
      </c>
      <c r="D70" s="1" t="e">
        <f>VLOOKUP(B70,Mapping!A:C,3,0)</f>
        <v>#N/A</v>
      </c>
      <c r="E70" s="1" t="e">
        <f>VLOOKUP(B70,Mapping!A:D,4,0)</f>
        <v>#N/A</v>
      </c>
      <c r="F70" s="1" t="e">
        <f>VLOOKUP(B70,Mapping!A:E,5,0)</f>
        <v>#N/A</v>
      </c>
      <c r="G70" s="1" t="e">
        <f>VLOOKUP(B70,Mapping!A:F,6,0)</f>
        <v>#N/A</v>
      </c>
      <c r="H70" s="43">
        <v>0.52</v>
      </c>
      <c r="I70" s="43">
        <v>0.52</v>
      </c>
      <c r="J70" s="43">
        <v>0.52</v>
      </c>
      <c r="K70" s="43">
        <v>0.52</v>
      </c>
      <c r="L70" s="43">
        <v>0.52</v>
      </c>
      <c r="M70" s="43">
        <v>0.52</v>
      </c>
      <c r="N70" s="43">
        <v>0.52</v>
      </c>
      <c r="O70" s="43">
        <v>0.52</v>
      </c>
      <c r="P70" s="43">
        <v>0.52</v>
      </c>
      <c r="Q70" s="43">
        <v>0.52</v>
      </c>
      <c r="R70" s="43">
        <v>0.52</v>
      </c>
      <c r="S70" s="43">
        <v>0.52</v>
      </c>
    </row>
    <row r="71" spans="1:19" x14ac:dyDescent="0.35">
      <c r="A71" s="40" t="s">
        <v>142</v>
      </c>
      <c r="B71" s="1" t="s">
        <v>93</v>
      </c>
      <c r="C71" s="1" t="str">
        <f>VLOOKUP(B71,Mapping!A:B,2,0)</f>
        <v>Lateral</v>
      </c>
      <c r="D71" s="1" t="str">
        <f>VLOOKUP(B71,Mapping!A:C,3,0)</f>
        <v>West</v>
      </c>
      <c r="E71" s="1" t="str">
        <f>VLOOKUP(B71,Mapping!A:D,4,0)</f>
        <v>West 1</v>
      </c>
      <c r="F71" s="1" t="str">
        <f>VLOOKUP(B71,Mapping!A:E,5,0)</f>
        <v>Anjli</v>
      </c>
      <c r="G71" s="1" t="str">
        <f>VLOOKUP(B71,Mapping!A:F,6,0)</f>
        <v>Geetu</v>
      </c>
      <c r="H71" s="43">
        <v>0.59599999999999997</v>
      </c>
      <c r="I71" s="43">
        <v>0.59599999999999997</v>
      </c>
      <c r="J71" s="43">
        <v>0.59599999999999997</v>
      </c>
      <c r="K71" s="43">
        <v>0.59599999999999997</v>
      </c>
      <c r="L71" s="43">
        <v>0.59599999999999997</v>
      </c>
      <c r="M71" s="43">
        <v>0.59599999999999997</v>
      </c>
      <c r="N71" s="43">
        <v>0.59599999999999997</v>
      </c>
      <c r="O71" s="43">
        <v>0.59599999999999997</v>
      </c>
      <c r="P71" s="43">
        <v>0.59599999999999997</v>
      </c>
      <c r="Q71" s="43">
        <v>0.59599999999999997</v>
      </c>
      <c r="R71" s="43">
        <v>0.59599999999999997</v>
      </c>
      <c r="S71" s="43">
        <v>0.59599999999999997</v>
      </c>
    </row>
    <row r="72" spans="1:19" x14ac:dyDescent="0.35">
      <c r="A72" s="40" t="s">
        <v>142</v>
      </c>
      <c r="B72" s="1" t="s">
        <v>94</v>
      </c>
      <c r="C72" s="1" t="str">
        <f>VLOOKUP(B72,Mapping!A:B,2,0)</f>
        <v>Lateral</v>
      </c>
      <c r="D72" s="1" t="str">
        <f>VLOOKUP(B72,Mapping!A:C,3,0)</f>
        <v>West</v>
      </c>
      <c r="E72" s="1" t="str">
        <f>VLOOKUP(B72,Mapping!A:D,4,0)</f>
        <v>West 1</v>
      </c>
      <c r="F72" s="1" t="str">
        <f>VLOOKUP(B72,Mapping!A:E,5,0)</f>
        <v>Anjli</v>
      </c>
      <c r="G72" s="1" t="str">
        <f>VLOOKUP(B72,Mapping!A:F,6,0)</f>
        <v>Archana</v>
      </c>
      <c r="H72" s="43">
        <v>0.52</v>
      </c>
      <c r="I72" s="43">
        <v>0.52</v>
      </c>
      <c r="J72" s="43">
        <v>0.52</v>
      </c>
      <c r="K72" s="43">
        <v>0.52</v>
      </c>
      <c r="L72" s="43">
        <v>0.52</v>
      </c>
      <c r="M72" s="43">
        <v>0.52</v>
      </c>
      <c r="N72" s="43">
        <v>0.52</v>
      </c>
      <c r="O72" s="43">
        <v>0.52</v>
      </c>
      <c r="P72" s="43">
        <v>0.52</v>
      </c>
      <c r="Q72" s="43">
        <v>0.52</v>
      </c>
      <c r="R72" s="43">
        <v>0.52</v>
      </c>
      <c r="S72" s="43">
        <v>0.52</v>
      </c>
    </row>
    <row r="73" spans="1:19" x14ac:dyDescent="0.35">
      <c r="A73" s="40" t="s">
        <v>142</v>
      </c>
      <c r="B73" s="1" t="s">
        <v>95</v>
      </c>
      <c r="C73" s="1" t="str">
        <f>VLOOKUP(B73,Mapping!A:B,2,0)</f>
        <v>Lateral</v>
      </c>
      <c r="D73" s="1" t="str">
        <f>VLOOKUP(B73,Mapping!A:C,3,0)</f>
        <v>South</v>
      </c>
      <c r="E73" s="1" t="str">
        <f>VLOOKUP(B73,Mapping!A:D,4,0)</f>
        <v>South 2</v>
      </c>
      <c r="F73" s="1" t="str">
        <f>VLOOKUP(B73,Mapping!A:E,5,0)</f>
        <v>Sulabh</v>
      </c>
      <c r="G73" s="1" t="str">
        <f>VLOOKUP(B73,Mapping!A:F,6,0)</f>
        <v>Lekhana</v>
      </c>
      <c r="H73" s="43">
        <v>0.4</v>
      </c>
      <c r="I73" s="43">
        <v>0.4</v>
      </c>
      <c r="J73" s="43">
        <v>0.4</v>
      </c>
      <c r="K73" s="43">
        <v>0.4</v>
      </c>
      <c r="L73" s="43">
        <v>0.4</v>
      </c>
      <c r="M73" s="43">
        <v>0.4</v>
      </c>
      <c r="N73" s="43">
        <v>0.4</v>
      </c>
      <c r="O73" s="43">
        <v>0.4</v>
      </c>
      <c r="P73" s="43">
        <v>0.4</v>
      </c>
      <c r="Q73" s="43">
        <v>0.4</v>
      </c>
      <c r="R73" s="43">
        <v>0.4</v>
      </c>
      <c r="S73" s="43">
        <v>0.4</v>
      </c>
    </row>
    <row r="74" spans="1:19" x14ac:dyDescent="0.35">
      <c r="A74" s="40" t="s">
        <v>142</v>
      </c>
      <c r="B74" s="1" t="s">
        <v>97</v>
      </c>
      <c r="C74" s="1" t="str">
        <f>VLOOKUP(B74,Mapping!A:B,2,0)</f>
        <v>Lateral</v>
      </c>
      <c r="D74" s="1" t="str">
        <f>VLOOKUP(B74,Mapping!A:C,3,0)</f>
        <v>South</v>
      </c>
      <c r="E74" s="1" t="str">
        <f>VLOOKUP(B74,Mapping!A:D,4,0)</f>
        <v>South 2</v>
      </c>
      <c r="F74" s="1" t="str">
        <f>VLOOKUP(B74,Mapping!A:E,5,0)</f>
        <v>Sulabh</v>
      </c>
      <c r="G74" s="1" t="str">
        <f>VLOOKUP(B74,Mapping!A:F,6,0)</f>
        <v>Satya</v>
      </c>
      <c r="H74" s="43">
        <v>0.66</v>
      </c>
      <c r="I74" s="43">
        <v>0.66</v>
      </c>
      <c r="J74" s="43">
        <v>0.66</v>
      </c>
      <c r="K74" s="43">
        <v>0.66</v>
      </c>
      <c r="L74" s="43">
        <v>0.66</v>
      </c>
      <c r="M74" s="43">
        <v>0.66</v>
      </c>
      <c r="N74" s="43">
        <v>0.66</v>
      </c>
      <c r="O74" s="43">
        <v>0.66</v>
      </c>
      <c r="P74" s="43">
        <v>0.66</v>
      </c>
      <c r="Q74" s="43">
        <v>0.66</v>
      </c>
      <c r="R74" s="43">
        <v>0.66</v>
      </c>
      <c r="S74" s="43">
        <v>0.66</v>
      </c>
    </row>
    <row r="75" spans="1:19" x14ac:dyDescent="0.35">
      <c r="A75" s="40" t="s">
        <v>142</v>
      </c>
      <c r="B75" s="1" t="s">
        <v>98</v>
      </c>
      <c r="C75" s="1" t="str">
        <f>VLOOKUP(B75,Mapping!A:B,2,0)</f>
        <v>Lateral</v>
      </c>
      <c r="D75" s="1" t="str">
        <f>VLOOKUP(B75,Mapping!A:C,3,0)</f>
        <v>West</v>
      </c>
      <c r="E75" s="1" t="str">
        <f>VLOOKUP(B75,Mapping!A:D,4,0)</f>
        <v>West 1</v>
      </c>
      <c r="F75" s="1" t="str">
        <f>VLOOKUP(B75,Mapping!A:E,5,0)</f>
        <v>Anjli</v>
      </c>
      <c r="G75" s="1" t="str">
        <f>VLOOKUP(B75,Mapping!A:F,6,0)</f>
        <v>Anjli</v>
      </c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</row>
    <row r="76" spans="1:19" x14ac:dyDescent="0.35">
      <c r="A76" s="40" t="s">
        <v>142</v>
      </c>
      <c r="B76" s="1" t="s">
        <v>99</v>
      </c>
      <c r="C76" s="1" t="e">
        <f>VLOOKUP(B76,Mapping!A:B,2,0)</f>
        <v>#N/A</v>
      </c>
      <c r="D76" s="1" t="e">
        <f>VLOOKUP(B76,Mapping!A:C,3,0)</f>
        <v>#N/A</v>
      </c>
      <c r="E76" s="1" t="e">
        <f>VLOOKUP(B76,Mapping!A:D,4,0)</f>
        <v>#N/A</v>
      </c>
      <c r="F76" s="1" t="e">
        <f>VLOOKUP(B76,Mapping!A:E,5,0)</f>
        <v>#N/A</v>
      </c>
      <c r="G76" s="1" t="e">
        <f>VLOOKUP(B76,Mapping!A:F,6,0)</f>
        <v>#N/A</v>
      </c>
      <c r="H76" s="43">
        <v>0.64</v>
      </c>
      <c r="I76" s="43">
        <v>0.64</v>
      </c>
      <c r="J76" s="43">
        <v>0.64</v>
      </c>
      <c r="K76" s="43">
        <v>0.64</v>
      </c>
      <c r="L76" s="43">
        <v>0.64</v>
      </c>
      <c r="M76" s="43">
        <v>0.64</v>
      </c>
      <c r="N76" s="43">
        <v>0.64</v>
      </c>
      <c r="O76" s="43">
        <v>0.64</v>
      </c>
      <c r="P76" s="43">
        <v>0.64</v>
      </c>
      <c r="Q76" s="43">
        <v>0.64</v>
      </c>
      <c r="R76" s="43">
        <v>0.64</v>
      </c>
      <c r="S76" s="43">
        <v>0.64</v>
      </c>
    </row>
    <row r="77" spans="1:19" x14ac:dyDescent="0.35">
      <c r="A77" s="40" t="s">
        <v>142</v>
      </c>
      <c r="B77" s="1" t="s">
        <v>100</v>
      </c>
      <c r="C77" s="1" t="str">
        <f>VLOOKUP(B77,Mapping!A:B,2,0)</f>
        <v>Lateral</v>
      </c>
      <c r="D77" s="1" t="str">
        <f>VLOOKUP(B77,Mapping!A:C,3,0)</f>
        <v>West</v>
      </c>
      <c r="E77" s="1" t="str">
        <f>VLOOKUP(B77,Mapping!A:D,4,0)</f>
        <v>West 1</v>
      </c>
      <c r="F77" s="1" t="str">
        <f>VLOOKUP(B77,Mapping!A:E,5,0)</f>
        <v>Anjli</v>
      </c>
      <c r="G77" s="1" t="str">
        <f>VLOOKUP(B77,Mapping!A:F,6,0)</f>
        <v>Anjli</v>
      </c>
      <c r="H77" s="43">
        <v>0.55000000000000004</v>
      </c>
      <c r="I77" s="43">
        <v>0.55000000000000004</v>
      </c>
      <c r="J77" s="43">
        <v>0.55000000000000004</v>
      </c>
      <c r="K77" s="43">
        <v>0.55000000000000004</v>
      </c>
      <c r="L77" s="43">
        <v>0.55000000000000004</v>
      </c>
      <c r="M77" s="43">
        <v>0.55000000000000004</v>
      </c>
      <c r="N77" s="43">
        <v>0.55000000000000004</v>
      </c>
      <c r="O77" s="43">
        <v>0.55000000000000004</v>
      </c>
      <c r="P77" s="43">
        <v>0.55000000000000004</v>
      </c>
      <c r="Q77" s="43">
        <v>0.55000000000000004</v>
      </c>
      <c r="R77" s="43">
        <v>0.55000000000000004</v>
      </c>
      <c r="S77" s="43">
        <v>0.55000000000000004</v>
      </c>
    </row>
    <row r="78" spans="1:19" x14ac:dyDescent="0.35">
      <c r="A78" s="40" t="s">
        <v>142</v>
      </c>
      <c r="B78" s="1" t="s">
        <v>127</v>
      </c>
      <c r="C78" s="1" t="s">
        <v>127</v>
      </c>
      <c r="D78" s="1"/>
      <c r="E78" s="1"/>
      <c r="F78" s="1"/>
      <c r="G78" s="1"/>
      <c r="H78" s="43">
        <v>0.5</v>
      </c>
      <c r="I78" s="43">
        <v>0.5</v>
      </c>
      <c r="J78" s="43">
        <v>0.5</v>
      </c>
      <c r="K78" s="43">
        <v>0.5</v>
      </c>
      <c r="L78" s="43">
        <v>0.5</v>
      </c>
      <c r="M78" s="43">
        <v>0.5</v>
      </c>
      <c r="N78" s="43">
        <v>0.5</v>
      </c>
      <c r="O78" s="43">
        <v>0.5</v>
      </c>
      <c r="P78" s="43">
        <v>0.5</v>
      </c>
      <c r="Q78" s="43">
        <v>0.5</v>
      </c>
      <c r="R78" s="43">
        <v>0.5</v>
      </c>
      <c r="S78" s="43">
        <v>0.5</v>
      </c>
    </row>
    <row r="79" spans="1:19" x14ac:dyDescent="0.35">
      <c r="A79" s="40" t="s">
        <v>142</v>
      </c>
      <c r="B79" s="1" t="s">
        <v>126</v>
      </c>
      <c r="C79" s="1" t="s">
        <v>126</v>
      </c>
      <c r="D79" s="1"/>
      <c r="E79" s="1"/>
      <c r="F79" s="1"/>
      <c r="G79" s="1"/>
      <c r="H79" s="43">
        <v>0.5</v>
      </c>
      <c r="I79" s="43">
        <v>0.5</v>
      </c>
      <c r="J79" s="43">
        <v>0.5</v>
      </c>
      <c r="K79" s="43">
        <v>0.5</v>
      </c>
      <c r="L79" s="43">
        <v>0.5</v>
      </c>
      <c r="M79" s="43">
        <v>0.5</v>
      </c>
      <c r="N79" s="43">
        <v>0.5</v>
      </c>
      <c r="O79" s="43">
        <v>0.5</v>
      </c>
      <c r="P79" s="43">
        <v>0.5</v>
      </c>
      <c r="Q79" s="43">
        <v>0.5</v>
      </c>
      <c r="R79" s="43">
        <v>0.5</v>
      </c>
      <c r="S79" s="43">
        <v>0.5</v>
      </c>
    </row>
  </sheetData>
  <conditionalFormatting sqref="A1:B1 I1:S1 E1:G1">
    <cfRule type="duplicateValues" dxfId="66" priority="2"/>
  </conditionalFormatting>
  <conditionalFormatting sqref="B52:B74 B2:B42">
    <cfRule type="duplicateValues" dxfId="65" priority="4"/>
  </conditionalFormatting>
  <conditionalFormatting sqref="B75:B77 B43:B51">
    <cfRule type="duplicateValues" dxfId="64" priority="5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A5B28-A7B5-4E4C-8585-3D96209A0F3D}">
  <sheetPr codeName="Sheet3">
    <tabColor theme="3" tint="-0.249977111117893"/>
  </sheetPr>
  <dimension ref="A1:T77"/>
  <sheetViews>
    <sheetView topLeftCell="C1" workbookViewId="0">
      <selection activeCell="H3" sqref="H3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5.26953125" bestFit="1" customWidth="1"/>
    <col min="7" max="7" width="13.1796875" bestFit="1" customWidth="1"/>
    <col min="8" max="8" width="6.81640625" bestFit="1" customWidth="1"/>
    <col min="9" max="9" width="7.453125" bestFit="1" customWidth="1"/>
    <col min="10" max="10" width="6.7265625" bestFit="1" customWidth="1"/>
    <col min="11" max="11" width="6.1796875" bestFit="1" customWidth="1"/>
    <col min="12" max="12" width="7.1796875" bestFit="1" customWidth="1"/>
    <col min="13" max="13" width="7" bestFit="1" customWidth="1"/>
    <col min="14" max="14" width="6.7265625" bestFit="1" customWidth="1"/>
    <col min="15" max="15" width="7.26953125" bestFit="1" customWidth="1"/>
    <col min="16" max="16" width="7" bestFit="1" customWidth="1"/>
    <col min="17" max="17" width="6.54296875" bestFit="1" customWidth="1"/>
    <col min="18" max="18" width="7" bestFit="1" customWidth="1"/>
    <col min="19" max="19" width="7.1796875" bestFit="1" customWidth="1"/>
  </cols>
  <sheetData>
    <row r="1" spans="1:20" x14ac:dyDescent="0.35">
      <c r="A1" s="13" t="str">
        <f>Revenue_Budget!A2</f>
        <v>FY</v>
      </c>
      <c r="B1" s="13" t="str">
        <f>Revenue_Budget!B2</f>
        <v>Project</v>
      </c>
      <c r="C1" s="13" t="str">
        <f>Revenue_Budget!C2</f>
        <v>Vertical</v>
      </c>
      <c r="D1" s="13" t="str">
        <f>Revenue_Budget!D2</f>
        <v>Region</v>
      </c>
      <c r="E1" s="13" t="str">
        <f>Revenue_Budget!E2</f>
        <v>Sub Region</v>
      </c>
      <c r="F1" s="13" t="str">
        <f>Revenue_Budget!F2</f>
        <v>Region Head</v>
      </c>
      <c r="G1" s="13" t="str">
        <f>Revenue_Budget!G2</f>
        <v>Practice Head</v>
      </c>
      <c r="H1" s="14">
        <f>Revenue_Budget!H2</f>
        <v>46113</v>
      </c>
      <c r="I1" s="14">
        <f>Revenue_Budget!I2</f>
        <v>46143</v>
      </c>
      <c r="J1" s="14">
        <f>Revenue_Budget!J2</f>
        <v>46174</v>
      </c>
      <c r="K1" s="14">
        <f>Revenue_Budget!K2</f>
        <v>46204</v>
      </c>
      <c r="L1" s="14">
        <f>Revenue_Budget!L2</f>
        <v>46235</v>
      </c>
      <c r="M1" s="14">
        <f>Revenue_Budget!M2</f>
        <v>46266</v>
      </c>
      <c r="N1" s="14">
        <f>Revenue_Budget!N2</f>
        <v>46296</v>
      </c>
      <c r="O1" s="14">
        <f>Revenue_Budget!O2</f>
        <v>46327</v>
      </c>
      <c r="P1" s="14">
        <f>Revenue_Budget!P2</f>
        <v>46357</v>
      </c>
      <c r="Q1" s="14">
        <f>Revenue_Budget!Q2</f>
        <v>46388</v>
      </c>
      <c r="R1" s="14">
        <f>Revenue_Budget!R2</f>
        <v>46419</v>
      </c>
      <c r="S1" s="14">
        <f>Revenue_Budget!S2</f>
        <v>46447</v>
      </c>
    </row>
    <row r="2" spans="1:20" x14ac:dyDescent="0.35">
      <c r="A2" s="40" t="s">
        <v>142</v>
      </c>
      <c r="B2" s="15" t="s">
        <v>2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8">
        <v>3.5</v>
      </c>
      <c r="I2" s="18">
        <v>3.5</v>
      </c>
      <c r="J2" s="18">
        <v>3.5</v>
      </c>
      <c r="K2" s="18">
        <v>3.5</v>
      </c>
      <c r="L2" s="18">
        <v>3.5</v>
      </c>
      <c r="M2" s="18">
        <v>3.5</v>
      </c>
      <c r="N2" s="18">
        <v>3.5</v>
      </c>
      <c r="O2" s="18">
        <v>3.5</v>
      </c>
      <c r="P2" s="18">
        <v>3.5</v>
      </c>
      <c r="Q2" s="18">
        <v>3.5</v>
      </c>
      <c r="R2" s="18">
        <v>3.5</v>
      </c>
      <c r="S2" s="18">
        <v>3.5</v>
      </c>
      <c r="T2" s="4"/>
    </row>
    <row r="3" spans="1:20" x14ac:dyDescent="0.35">
      <c r="A3" s="40" t="s">
        <v>142</v>
      </c>
      <c r="B3" s="15" t="s">
        <v>4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8">
        <v>1.5</v>
      </c>
      <c r="I3" s="18">
        <v>1.5</v>
      </c>
      <c r="J3" s="18">
        <v>1.5</v>
      </c>
      <c r="K3" s="18">
        <v>1.5</v>
      </c>
      <c r="L3" s="18">
        <v>1.5</v>
      </c>
      <c r="M3" s="18">
        <v>1.5</v>
      </c>
      <c r="N3" s="18">
        <v>1.5</v>
      </c>
      <c r="O3" s="18">
        <v>1.5</v>
      </c>
      <c r="P3" s="18">
        <v>1.5</v>
      </c>
      <c r="Q3" s="18">
        <v>1.5</v>
      </c>
      <c r="R3" s="18">
        <v>1.5</v>
      </c>
      <c r="S3" s="18">
        <v>1.5</v>
      </c>
      <c r="T3" s="4"/>
    </row>
    <row r="4" spans="1:20" x14ac:dyDescent="0.35">
      <c r="A4" s="40" t="s">
        <v>142</v>
      </c>
      <c r="B4" s="15" t="s">
        <v>8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8">
        <v>1.5</v>
      </c>
      <c r="I4" s="18">
        <v>1.5</v>
      </c>
      <c r="J4" s="18">
        <v>1.5</v>
      </c>
      <c r="K4" s="18">
        <v>1.5</v>
      </c>
      <c r="L4" s="18">
        <v>1.5</v>
      </c>
      <c r="M4" s="18">
        <v>1.5</v>
      </c>
      <c r="N4" s="18">
        <v>1.5</v>
      </c>
      <c r="O4" s="18">
        <v>1.5</v>
      </c>
      <c r="P4" s="18">
        <v>1.5</v>
      </c>
      <c r="Q4" s="18">
        <v>1.5</v>
      </c>
      <c r="R4" s="18">
        <v>1.5</v>
      </c>
      <c r="S4" s="18">
        <v>1.5</v>
      </c>
      <c r="T4" s="4"/>
    </row>
    <row r="5" spans="1:20" x14ac:dyDescent="0.35">
      <c r="A5" s="40" t="s">
        <v>142</v>
      </c>
      <c r="B5" s="15" t="s">
        <v>10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8">
        <v>1.5</v>
      </c>
      <c r="I5" s="18">
        <v>1.5</v>
      </c>
      <c r="J5" s="18">
        <v>1.5</v>
      </c>
      <c r="K5" s="18">
        <v>1.5</v>
      </c>
      <c r="L5" s="18">
        <v>1.5</v>
      </c>
      <c r="M5" s="18">
        <v>1.5</v>
      </c>
      <c r="N5" s="18">
        <v>1.5</v>
      </c>
      <c r="O5" s="18">
        <v>1.5</v>
      </c>
      <c r="P5" s="18">
        <v>1.5</v>
      </c>
      <c r="Q5" s="18">
        <v>1.5</v>
      </c>
      <c r="R5" s="18">
        <v>1.5</v>
      </c>
      <c r="S5" s="18">
        <v>1.5</v>
      </c>
      <c r="T5" s="4"/>
    </row>
    <row r="6" spans="1:20" x14ac:dyDescent="0.35">
      <c r="A6" s="40" t="s">
        <v>142</v>
      </c>
      <c r="B6" s="15" t="s">
        <v>139</v>
      </c>
      <c r="C6" s="15" t="s">
        <v>113</v>
      </c>
      <c r="D6" s="15" t="s">
        <v>13</v>
      </c>
      <c r="E6" s="16" t="s">
        <v>101</v>
      </c>
      <c r="F6" s="16" t="s">
        <v>141</v>
      </c>
      <c r="G6" s="16" t="s">
        <v>15</v>
      </c>
      <c r="H6" s="18">
        <v>1.5</v>
      </c>
      <c r="I6" s="18">
        <v>1.5</v>
      </c>
      <c r="J6" s="18">
        <v>1.5</v>
      </c>
      <c r="K6" s="18">
        <v>1.5</v>
      </c>
      <c r="L6" s="18">
        <v>1.5</v>
      </c>
      <c r="M6" s="18">
        <v>1.5</v>
      </c>
      <c r="N6" s="18">
        <v>1.5</v>
      </c>
      <c r="O6" s="18">
        <v>1.5</v>
      </c>
      <c r="P6" s="18">
        <v>1.5</v>
      </c>
      <c r="Q6" s="18">
        <v>1.5</v>
      </c>
      <c r="R6" s="18">
        <v>1.5</v>
      </c>
      <c r="S6" s="18">
        <v>1.5</v>
      </c>
      <c r="T6" s="4"/>
    </row>
    <row r="7" spans="1:20" x14ac:dyDescent="0.35">
      <c r="A7" s="40" t="s">
        <v>142</v>
      </c>
      <c r="B7" s="15" t="s">
        <v>140</v>
      </c>
      <c r="C7" s="15" t="s">
        <v>113</v>
      </c>
      <c r="D7" s="15" t="s">
        <v>11</v>
      </c>
      <c r="E7" s="16" t="s">
        <v>11</v>
      </c>
      <c r="F7" s="16" t="s">
        <v>6</v>
      </c>
      <c r="G7" s="16" t="s">
        <v>90</v>
      </c>
      <c r="H7" s="18">
        <v>1.5</v>
      </c>
      <c r="I7" s="18">
        <v>1.5</v>
      </c>
      <c r="J7" s="18">
        <v>1.5</v>
      </c>
      <c r="K7" s="18">
        <v>1.5</v>
      </c>
      <c r="L7" s="18">
        <v>1.5</v>
      </c>
      <c r="M7" s="18">
        <v>1.5</v>
      </c>
      <c r="N7" s="18">
        <v>1.5</v>
      </c>
      <c r="O7" s="18">
        <v>1.5</v>
      </c>
      <c r="P7" s="18">
        <v>1.5</v>
      </c>
      <c r="Q7" s="18">
        <v>1.5</v>
      </c>
      <c r="R7" s="18">
        <v>1.5</v>
      </c>
      <c r="S7" s="18">
        <v>1.5</v>
      </c>
      <c r="T7" s="4"/>
    </row>
    <row r="8" spans="1:20" x14ac:dyDescent="0.35">
      <c r="A8" s="40" t="s">
        <v>142</v>
      </c>
      <c r="B8" s="15" t="s">
        <v>16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1</v>
      </c>
      <c r="F8" s="16" t="str">
        <f>VLOOKUP(B8,Mapping!A:E,5,0)</f>
        <v>Anjli</v>
      </c>
      <c r="G8" s="16" t="str">
        <f>VLOOKUP(B8,Mapping!A:F,6,0)</f>
        <v>Usha</v>
      </c>
      <c r="H8" s="18">
        <v>1.5</v>
      </c>
      <c r="I8" s="18">
        <v>1.5</v>
      </c>
      <c r="J8" s="18">
        <v>1.5</v>
      </c>
      <c r="K8" s="18">
        <v>1.5</v>
      </c>
      <c r="L8" s="18">
        <v>1.5</v>
      </c>
      <c r="M8" s="18">
        <v>1.5</v>
      </c>
      <c r="N8" s="18">
        <v>1.5</v>
      </c>
      <c r="O8" s="18">
        <v>1.5</v>
      </c>
      <c r="P8" s="18">
        <v>1.5</v>
      </c>
      <c r="Q8" s="18">
        <v>1.5</v>
      </c>
      <c r="R8" s="18">
        <v>1.5</v>
      </c>
      <c r="S8" s="18">
        <v>1.5</v>
      </c>
      <c r="T8" s="4"/>
    </row>
    <row r="9" spans="1:20" x14ac:dyDescent="0.35">
      <c r="A9" s="40" t="s">
        <v>142</v>
      </c>
      <c r="B9" s="15" t="s">
        <v>17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2</v>
      </c>
      <c r="F9" s="16" t="str">
        <f>VLOOKUP(B9,Mapping!A:E,5,0)</f>
        <v>Anjli</v>
      </c>
      <c r="G9" s="16" t="str">
        <f>VLOOKUP(B9,Mapping!A:F,6,0)</f>
        <v>Shweta</v>
      </c>
      <c r="H9" s="18">
        <v>1.5</v>
      </c>
      <c r="I9" s="18">
        <v>1.5</v>
      </c>
      <c r="J9" s="18">
        <v>1.5</v>
      </c>
      <c r="K9" s="18">
        <v>1.5</v>
      </c>
      <c r="L9" s="18">
        <v>1.5</v>
      </c>
      <c r="M9" s="18">
        <v>1.5</v>
      </c>
      <c r="N9" s="18">
        <v>1.5</v>
      </c>
      <c r="O9" s="18">
        <v>1.5</v>
      </c>
      <c r="P9" s="18">
        <v>1.5</v>
      </c>
      <c r="Q9" s="18">
        <v>1.5</v>
      </c>
      <c r="R9" s="18">
        <v>1.5</v>
      </c>
      <c r="S9" s="18">
        <v>1.5</v>
      </c>
      <c r="T9" s="4"/>
    </row>
    <row r="10" spans="1:20" x14ac:dyDescent="0.35">
      <c r="A10" s="40" t="s">
        <v>142</v>
      </c>
      <c r="B10" s="15" t="s">
        <v>18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8">
        <v>1.5</v>
      </c>
      <c r="I10" s="18">
        <v>1.5</v>
      </c>
      <c r="J10" s="18">
        <v>1.5</v>
      </c>
      <c r="K10" s="18">
        <v>1.5</v>
      </c>
      <c r="L10" s="18">
        <v>1.5</v>
      </c>
      <c r="M10" s="18">
        <v>1.5</v>
      </c>
      <c r="N10" s="18">
        <v>1.5</v>
      </c>
      <c r="O10" s="18">
        <v>1.5</v>
      </c>
      <c r="P10" s="18">
        <v>1.5</v>
      </c>
      <c r="Q10" s="18">
        <v>1.5</v>
      </c>
      <c r="R10" s="18">
        <v>1.5</v>
      </c>
      <c r="S10" s="18">
        <v>1.5</v>
      </c>
      <c r="T10" s="4"/>
    </row>
    <row r="11" spans="1:20" x14ac:dyDescent="0.35">
      <c r="A11" s="40" t="s">
        <v>142</v>
      </c>
      <c r="B11" s="15" t="s">
        <v>20</v>
      </c>
      <c r="C11" s="15" t="str">
        <f>VLOOKUP(B11,Mapping!A:B,2,0)</f>
        <v>Lateral</v>
      </c>
      <c r="D11" s="15" t="str">
        <f>VLOOKUP(B11,Mapping!A:C,3,0)</f>
        <v>West</v>
      </c>
      <c r="E11" s="16" t="str">
        <f>VLOOKUP(B11,Mapping!A:D,4,0)</f>
        <v>West 1</v>
      </c>
      <c r="F11" s="16" t="str">
        <f>VLOOKUP(B11,Mapping!A:E,5,0)</f>
        <v>Anjli</v>
      </c>
      <c r="G11" s="16" t="str">
        <f>VLOOKUP(B11,Mapping!A:F,6,0)</f>
        <v>Geetu</v>
      </c>
      <c r="H11" s="18">
        <v>1.5</v>
      </c>
      <c r="I11" s="18">
        <v>1.5</v>
      </c>
      <c r="J11" s="18">
        <v>1.5</v>
      </c>
      <c r="K11" s="18">
        <v>1.5</v>
      </c>
      <c r="L11" s="18">
        <v>1.5</v>
      </c>
      <c r="M11" s="18">
        <v>1.5</v>
      </c>
      <c r="N11" s="18">
        <v>1.5</v>
      </c>
      <c r="O11" s="18">
        <v>1.5</v>
      </c>
      <c r="P11" s="18">
        <v>1.5</v>
      </c>
      <c r="Q11" s="18">
        <v>1.5</v>
      </c>
      <c r="R11" s="18">
        <v>1.5</v>
      </c>
      <c r="S11" s="18">
        <v>1.5</v>
      </c>
      <c r="T11" s="4"/>
    </row>
    <row r="12" spans="1:20" x14ac:dyDescent="0.35">
      <c r="A12" s="40" t="s">
        <v>142</v>
      </c>
      <c r="B12" s="15" t="s">
        <v>21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Mahak</v>
      </c>
      <c r="G12" s="16" t="str">
        <f>VLOOKUP(B12,Mapping!A:F,6,0)</f>
        <v>Mahak</v>
      </c>
      <c r="H12" s="18">
        <v>1.5</v>
      </c>
      <c r="I12" s="18">
        <v>1.5</v>
      </c>
      <c r="J12" s="18">
        <v>1.5</v>
      </c>
      <c r="K12" s="18">
        <v>1.5</v>
      </c>
      <c r="L12" s="18">
        <v>1.5</v>
      </c>
      <c r="M12" s="18">
        <v>1.5</v>
      </c>
      <c r="N12" s="18">
        <v>1.5</v>
      </c>
      <c r="O12" s="18">
        <v>1.5</v>
      </c>
      <c r="P12" s="18">
        <v>1.5</v>
      </c>
      <c r="Q12" s="18">
        <v>1.5</v>
      </c>
      <c r="R12" s="18">
        <v>1.5</v>
      </c>
      <c r="S12" s="18">
        <v>1.5</v>
      </c>
      <c r="T12" s="4"/>
    </row>
    <row r="13" spans="1:20" x14ac:dyDescent="0.35">
      <c r="A13" s="40" t="s">
        <v>142</v>
      </c>
      <c r="B13" s="15" t="s">
        <v>23</v>
      </c>
      <c r="C13" s="15" t="str">
        <f>VLOOKUP(B13,Mapping!A:B,2,0)</f>
        <v>Lateral</v>
      </c>
      <c r="D13" s="15" t="str">
        <f>VLOOKUP(B13,Mapping!A:C,3,0)</f>
        <v>South</v>
      </c>
      <c r="E13" s="16" t="str">
        <f>VLOOKUP(B13,Mapping!A:D,4,0)</f>
        <v>South 1</v>
      </c>
      <c r="F13" s="16" t="str">
        <f>VLOOKUP(B13,Mapping!A:E,5,0)</f>
        <v>Anjli</v>
      </c>
      <c r="G13" s="16" t="str">
        <f>VLOOKUP(B13,Mapping!A:F,6,0)</f>
        <v>Satya</v>
      </c>
      <c r="H13" s="18">
        <v>1.5</v>
      </c>
      <c r="I13" s="18">
        <v>1.5</v>
      </c>
      <c r="J13" s="18">
        <v>1.5</v>
      </c>
      <c r="K13" s="18">
        <v>1.5</v>
      </c>
      <c r="L13" s="18">
        <v>1.5</v>
      </c>
      <c r="M13" s="18">
        <v>1.5</v>
      </c>
      <c r="N13" s="18">
        <v>1.5</v>
      </c>
      <c r="O13" s="18">
        <v>1.5</v>
      </c>
      <c r="P13" s="18">
        <v>1.5</v>
      </c>
      <c r="Q13" s="18">
        <v>1.5</v>
      </c>
      <c r="R13" s="18">
        <v>1.5</v>
      </c>
      <c r="S13" s="18">
        <v>1.5</v>
      </c>
      <c r="T13" s="4"/>
    </row>
    <row r="14" spans="1:20" x14ac:dyDescent="0.35">
      <c r="A14" s="40" t="s">
        <v>142</v>
      </c>
      <c r="B14" s="15" t="s">
        <v>25</v>
      </c>
      <c r="C14" s="15" t="str">
        <f>VLOOKUP(B14,Mapping!A:B,2,0)</f>
        <v>Lateral</v>
      </c>
      <c r="D14" s="15" t="str">
        <f>VLOOKUP(B14,Mapping!A:C,3,0)</f>
        <v>West</v>
      </c>
      <c r="E14" s="16" t="str">
        <f>VLOOKUP(B14,Mapping!A:D,4,0)</f>
        <v>West 1</v>
      </c>
      <c r="F14" s="16" t="str">
        <f>VLOOKUP(B14,Mapping!A:E,5,0)</f>
        <v>Anjli</v>
      </c>
      <c r="G14" s="16" t="str">
        <f>VLOOKUP(B14,Mapping!A:F,6,0)</f>
        <v>Geetu</v>
      </c>
      <c r="H14" s="18">
        <v>1.5</v>
      </c>
      <c r="I14" s="18">
        <v>1.5</v>
      </c>
      <c r="J14" s="18">
        <v>1.5</v>
      </c>
      <c r="K14" s="18">
        <v>1.5</v>
      </c>
      <c r="L14" s="18">
        <v>1.5</v>
      </c>
      <c r="M14" s="18">
        <v>1.5</v>
      </c>
      <c r="N14" s="18">
        <v>1.5</v>
      </c>
      <c r="O14" s="18">
        <v>1.5</v>
      </c>
      <c r="P14" s="18">
        <v>1.5</v>
      </c>
      <c r="Q14" s="18">
        <v>1.5</v>
      </c>
      <c r="R14" s="18">
        <v>1.5</v>
      </c>
      <c r="S14" s="18">
        <v>1.5</v>
      </c>
      <c r="T14" s="4"/>
    </row>
    <row r="15" spans="1:20" x14ac:dyDescent="0.35">
      <c r="A15" s="40" t="s">
        <v>142</v>
      </c>
      <c r="B15" s="15" t="s">
        <v>26</v>
      </c>
      <c r="C15" s="15" t="str">
        <f>VLOOKUP(B15,Mapping!A:B,2,0)</f>
        <v>Lateral</v>
      </c>
      <c r="D15" s="15" t="str">
        <f>VLOOKUP(B15,Mapping!A:C,3,0)</f>
        <v>South</v>
      </c>
      <c r="E15" s="16" t="str">
        <f>VLOOKUP(B15,Mapping!A:D,4,0)</f>
        <v>South 2</v>
      </c>
      <c r="F15" s="16" t="str">
        <f>VLOOKUP(B15,Mapping!A:E,5,0)</f>
        <v>Sulabh</v>
      </c>
      <c r="G15" s="16" t="str">
        <f>VLOOKUP(B15,Mapping!A:F,6,0)</f>
        <v>Krishna</v>
      </c>
      <c r="H15" s="18">
        <v>1.5</v>
      </c>
      <c r="I15" s="18">
        <v>1.5</v>
      </c>
      <c r="J15" s="18">
        <v>1.5</v>
      </c>
      <c r="K15" s="18">
        <v>1.5</v>
      </c>
      <c r="L15" s="18">
        <v>1.5</v>
      </c>
      <c r="M15" s="18">
        <v>1.5</v>
      </c>
      <c r="N15" s="18">
        <v>1.5</v>
      </c>
      <c r="O15" s="18">
        <v>1.5</v>
      </c>
      <c r="P15" s="18">
        <v>1.5</v>
      </c>
      <c r="Q15" s="18">
        <v>1.5</v>
      </c>
      <c r="R15" s="18">
        <v>1.5</v>
      </c>
      <c r="S15" s="18">
        <v>1.5</v>
      </c>
      <c r="T15" s="4"/>
    </row>
    <row r="16" spans="1:20" x14ac:dyDescent="0.35">
      <c r="A16" s="40" t="s">
        <v>142</v>
      </c>
      <c r="B16" s="15" t="s">
        <v>28</v>
      </c>
      <c r="C16" s="15" t="str">
        <f>VLOOKUP(B16,Mapping!A:B,2,0)</f>
        <v>Lateral</v>
      </c>
      <c r="D16" s="15" t="str">
        <f>VLOOKUP(B16,Mapping!A:C,3,0)</f>
        <v>West</v>
      </c>
      <c r="E16" s="16" t="str">
        <f>VLOOKUP(B16,Mapping!A:D,4,0)</f>
        <v>West 1</v>
      </c>
      <c r="F16" s="16" t="str">
        <f>VLOOKUP(B16,Mapping!A:E,5,0)</f>
        <v>Anjli</v>
      </c>
      <c r="G16" s="16" t="str">
        <f>VLOOKUP(B16,Mapping!A:F,6,0)</f>
        <v>Dhriti</v>
      </c>
      <c r="H16" s="18">
        <v>1.5</v>
      </c>
      <c r="I16" s="18">
        <v>1.5</v>
      </c>
      <c r="J16" s="18">
        <v>1.5</v>
      </c>
      <c r="K16" s="18">
        <v>1.5</v>
      </c>
      <c r="L16" s="18">
        <v>1.5</v>
      </c>
      <c r="M16" s="18">
        <v>1.5</v>
      </c>
      <c r="N16" s="18">
        <v>1.5</v>
      </c>
      <c r="O16" s="18">
        <v>1.5</v>
      </c>
      <c r="P16" s="18">
        <v>1.5</v>
      </c>
      <c r="Q16" s="18">
        <v>1.5</v>
      </c>
      <c r="R16" s="18">
        <v>1.5</v>
      </c>
      <c r="S16" s="18">
        <v>1.5</v>
      </c>
      <c r="T16" s="4"/>
    </row>
    <row r="17" spans="1:20" x14ac:dyDescent="0.35">
      <c r="A17" s="40" t="s">
        <v>142</v>
      </c>
      <c r="B17" s="15" t="s">
        <v>29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2</v>
      </c>
      <c r="F17" s="16" t="str">
        <f>VLOOKUP(B17,Mapping!A:E,5,0)</f>
        <v>Sulabh</v>
      </c>
      <c r="G17" s="16" t="str">
        <f>VLOOKUP(B17,Mapping!A:F,6,0)</f>
        <v>Krishna</v>
      </c>
      <c r="H17" s="18">
        <v>1.5</v>
      </c>
      <c r="I17" s="18">
        <v>1.5</v>
      </c>
      <c r="J17" s="18">
        <v>1.5</v>
      </c>
      <c r="K17" s="18">
        <v>1.5</v>
      </c>
      <c r="L17" s="18">
        <v>1.5</v>
      </c>
      <c r="M17" s="18">
        <v>1.5</v>
      </c>
      <c r="N17" s="18">
        <v>1.5</v>
      </c>
      <c r="O17" s="18">
        <v>1.5</v>
      </c>
      <c r="P17" s="18">
        <v>1.5</v>
      </c>
      <c r="Q17" s="18">
        <v>1.5</v>
      </c>
      <c r="R17" s="18">
        <v>1.5</v>
      </c>
      <c r="S17" s="18">
        <v>1.5</v>
      </c>
      <c r="T17" s="4"/>
    </row>
    <row r="18" spans="1:20" x14ac:dyDescent="0.35">
      <c r="A18" s="40" t="s">
        <v>142</v>
      </c>
      <c r="B18" s="15" t="s">
        <v>30</v>
      </c>
      <c r="C18" s="15" t="str">
        <f>VLOOKUP(B18,Mapping!A:B,2,0)</f>
        <v>Lateral</v>
      </c>
      <c r="D18" s="15" t="str">
        <f>VLOOKUP(B18,Mapping!A:C,3,0)</f>
        <v>South</v>
      </c>
      <c r="E18" s="16" t="str">
        <f>VLOOKUP(B18,Mapping!A:D,4,0)</f>
        <v>South 1</v>
      </c>
      <c r="F18" s="16" t="str">
        <f>VLOOKUP(B18,Mapping!A:E,5,0)</f>
        <v>Sulabh</v>
      </c>
      <c r="G18" s="16" t="str">
        <f>VLOOKUP(B18,Mapping!A:F,6,0)</f>
        <v>Subu</v>
      </c>
      <c r="H18" s="18">
        <v>1.5</v>
      </c>
      <c r="I18" s="18">
        <v>1.5</v>
      </c>
      <c r="J18" s="18">
        <v>1.5</v>
      </c>
      <c r="K18" s="18">
        <v>1.5</v>
      </c>
      <c r="L18" s="18">
        <v>1.5</v>
      </c>
      <c r="M18" s="18">
        <v>1.5</v>
      </c>
      <c r="N18" s="18">
        <v>1.5</v>
      </c>
      <c r="O18" s="18">
        <v>1.5</v>
      </c>
      <c r="P18" s="18">
        <v>1.5</v>
      </c>
      <c r="Q18" s="18">
        <v>1.5</v>
      </c>
      <c r="R18" s="18">
        <v>1.5</v>
      </c>
      <c r="S18" s="18">
        <v>1.5</v>
      </c>
      <c r="T18" s="4"/>
    </row>
    <row r="19" spans="1:20" x14ac:dyDescent="0.35">
      <c r="A19" s="40" t="s">
        <v>142</v>
      </c>
      <c r="B19" s="15" t="s">
        <v>32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2</v>
      </c>
      <c r="F19" s="16" t="str">
        <f>VLOOKUP(B19,Mapping!A:E,5,0)</f>
        <v>Anjli</v>
      </c>
      <c r="G19" s="16" t="str">
        <f>VLOOKUP(B19,Mapping!A:F,6,0)</f>
        <v>Anjli</v>
      </c>
      <c r="H19" s="18">
        <v>1.5</v>
      </c>
      <c r="I19" s="18">
        <v>1.5</v>
      </c>
      <c r="J19" s="18">
        <v>1.5</v>
      </c>
      <c r="K19" s="18">
        <v>1.5</v>
      </c>
      <c r="L19" s="18">
        <v>1.5</v>
      </c>
      <c r="M19" s="18">
        <v>1.5</v>
      </c>
      <c r="N19" s="18">
        <v>1.5</v>
      </c>
      <c r="O19" s="18">
        <v>1.5</v>
      </c>
      <c r="P19" s="18">
        <v>1.5</v>
      </c>
      <c r="Q19" s="18">
        <v>1.5</v>
      </c>
      <c r="R19" s="18">
        <v>1.5</v>
      </c>
      <c r="S19" s="18">
        <v>1.5</v>
      </c>
      <c r="T19" s="4"/>
    </row>
    <row r="20" spans="1:20" x14ac:dyDescent="0.35">
      <c r="A20" s="40" t="s">
        <v>142</v>
      </c>
      <c r="B20" s="15" t="s">
        <v>33</v>
      </c>
      <c r="C20" s="15" t="str">
        <f>VLOOKUP(B20,Mapping!A:B,2,0)</f>
        <v>Lateral</v>
      </c>
      <c r="D20" s="15" t="str">
        <f>VLOOKUP(B20,Mapping!A:C,3,0)</f>
        <v>West</v>
      </c>
      <c r="E20" s="16" t="str">
        <f>VLOOKUP(B20,Mapping!A:D,4,0)</f>
        <v>West 1</v>
      </c>
      <c r="F20" s="16" t="str">
        <f>VLOOKUP(B20,Mapping!A:E,5,0)</f>
        <v>Anjli</v>
      </c>
      <c r="G20" s="16" t="str">
        <f>VLOOKUP(B20,Mapping!A:F,6,0)</f>
        <v>Geetu</v>
      </c>
      <c r="H20" s="18">
        <v>1.5</v>
      </c>
      <c r="I20" s="18">
        <v>1.5</v>
      </c>
      <c r="J20" s="18">
        <v>1.5</v>
      </c>
      <c r="K20" s="18">
        <v>1.5</v>
      </c>
      <c r="L20" s="18">
        <v>1.5</v>
      </c>
      <c r="M20" s="18">
        <v>1.5</v>
      </c>
      <c r="N20" s="18">
        <v>1.5</v>
      </c>
      <c r="O20" s="18">
        <v>1.5</v>
      </c>
      <c r="P20" s="18">
        <v>1.5</v>
      </c>
      <c r="Q20" s="18">
        <v>1.5</v>
      </c>
      <c r="R20" s="18">
        <v>1.5</v>
      </c>
      <c r="S20" s="18">
        <v>1.5</v>
      </c>
      <c r="T20" s="4"/>
    </row>
    <row r="21" spans="1:20" x14ac:dyDescent="0.35">
      <c r="A21" s="40" t="s">
        <v>142</v>
      </c>
      <c r="B21" s="15" t="s">
        <v>34</v>
      </c>
      <c r="C21" s="15" t="str">
        <f>VLOOKUP(B21,Mapping!A:B,2,0)</f>
        <v>Lateral</v>
      </c>
      <c r="D21" s="15" t="str">
        <f>VLOOKUP(B21,Mapping!A:C,3,0)</f>
        <v>South</v>
      </c>
      <c r="E21" s="16" t="str">
        <f>VLOOKUP(B21,Mapping!A:D,4,0)</f>
        <v>South 1</v>
      </c>
      <c r="F21" s="16" t="str">
        <f>VLOOKUP(B21,Mapping!A:E,5,0)</f>
        <v>Sulabh</v>
      </c>
      <c r="G21" s="16" t="str">
        <f>VLOOKUP(B21,Mapping!A:F,6,0)</f>
        <v>Satya</v>
      </c>
      <c r="H21" s="18">
        <v>1.5</v>
      </c>
      <c r="I21" s="18">
        <v>1.5</v>
      </c>
      <c r="J21" s="18">
        <v>1.5</v>
      </c>
      <c r="K21" s="18">
        <v>1.5</v>
      </c>
      <c r="L21" s="18">
        <v>1.5</v>
      </c>
      <c r="M21" s="18">
        <v>1.5</v>
      </c>
      <c r="N21" s="18">
        <v>1.5</v>
      </c>
      <c r="O21" s="18">
        <v>1.5</v>
      </c>
      <c r="P21" s="18">
        <v>1.5</v>
      </c>
      <c r="Q21" s="18">
        <v>1.5</v>
      </c>
      <c r="R21" s="18">
        <v>1.5</v>
      </c>
      <c r="S21" s="18">
        <v>1.5</v>
      </c>
      <c r="T21" s="4"/>
    </row>
    <row r="22" spans="1:20" x14ac:dyDescent="0.35">
      <c r="A22" s="40" t="s">
        <v>142</v>
      </c>
      <c r="B22" s="15" t="s">
        <v>35</v>
      </c>
      <c r="C22" s="15" t="str">
        <f>VLOOKUP(B22,Mapping!A:B,2,0)</f>
        <v>Lateral</v>
      </c>
      <c r="D22" s="15" t="str">
        <f>VLOOKUP(B22,Mapping!A:C,3,0)</f>
        <v>West</v>
      </c>
      <c r="E22" s="16" t="str">
        <f>VLOOKUP(B22,Mapping!A:D,4,0)</f>
        <v>West 1</v>
      </c>
      <c r="F22" s="16" t="str">
        <f>VLOOKUP(B22,Mapping!A:E,5,0)</f>
        <v>Anjli</v>
      </c>
      <c r="G22" s="16" t="str">
        <f>VLOOKUP(B22,Mapping!A:F,6,0)</f>
        <v>Alifia</v>
      </c>
      <c r="H22" s="18">
        <v>1.5</v>
      </c>
      <c r="I22" s="18">
        <v>1.5</v>
      </c>
      <c r="J22" s="18">
        <v>1.5</v>
      </c>
      <c r="K22" s="18">
        <v>1.5</v>
      </c>
      <c r="L22" s="18">
        <v>1.5</v>
      </c>
      <c r="M22" s="18">
        <v>1.5</v>
      </c>
      <c r="N22" s="18">
        <v>1.5</v>
      </c>
      <c r="O22" s="18">
        <v>1.5</v>
      </c>
      <c r="P22" s="18">
        <v>1.5</v>
      </c>
      <c r="Q22" s="18">
        <v>1.5</v>
      </c>
      <c r="R22" s="18">
        <v>1.5</v>
      </c>
      <c r="S22" s="18">
        <v>1.5</v>
      </c>
      <c r="T22" s="4"/>
    </row>
    <row r="23" spans="1:20" x14ac:dyDescent="0.35">
      <c r="A23" s="40" t="s">
        <v>142</v>
      </c>
      <c r="B23" s="15" t="s">
        <v>37</v>
      </c>
      <c r="C23" s="15" t="str">
        <f>VLOOKUP(B23,Mapping!A:B,2,0)</f>
        <v>Lateral</v>
      </c>
      <c r="D23" s="15" t="str">
        <f>VLOOKUP(B23,Mapping!A:C,3,0)</f>
        <v>South</v>
      </c>
      <c r="E23" s="16" t="str">
        <f>VLOOKUP(B23,Mapping!A:D,4,0)</f>
        <v>South 2</v>
      </c>
      <c r="F23" s="16" t="str">
        <f>VLOOKUP(B23,Mapping!A:E,5,0)</f>
        <v>Sulabh</v>
      </c>
      <c r="G23" s="16" t="str">
        <f>VLOOKUP(B23,Mapping!A:F,6,0)</f>
        <v>Subu</v>
      </c>
      <c r="H23" s="18">
        <v>1.5</v>
      </c>
      <c r="I23" s="18">
        <v>1.5</v>
      </c>
      <c r="J23" s="18">
        <v>1.5</v>
      </c>
      <c r="K23" s="18">
        <v>1.5</v>
      </c>
      <c r="L23" s="18">
        <v>1.5</v>
      </c>
      <c r="M23" s="18">
        <v>1.5</v>
      </c>
      <c r="N23" s="18">
        <v>1.5</v>
      </c>
      <c r="O23" s="18">
        <v>1.5</v>
      </c>
      <c r="P23" s="18">
        <v>1.5</v>
      </c>
      <c r="Q23" s="18">
        <v>1.5</v>
      </c>
      <c r="R23" s="18">
        <v>1.5</v>
      </c>
      <c r="S23" s="18">
        <v>1.5</v>
      </c>
      <c r="T23" s="4"/>
    </row>
    <row r="24" spans="1:20" x14ac:dyDescent="0.35">
      <c r="A24" s="40" t="s">
        <v>142</v>
      </c>
      <c r="B24" s="15" t="s">
        <v>38</v>
      </c>
      <c r="C24" s="15" t="str">
        <f>VLOOKUP(B24,Mapping!A:B,2,0)</f>
        <v>Lateral</v>
      </c>
      <c r="D24" s="15" t="str">
        <f>VLOOKUP(B24,Mapping!A:C,3,0)</f>
        <v>North</v>
      </c>
      <c r="E24" s="16" t="str">
        <f>VLOOKUP(B24,Mapping!A:D,4,0)</f>
        <v>North</v>
      </c>
      <c r="F24" s="16" t="str">
        <f>VLOOKUP(B24,Mapping!A:E,5,0)</f>
        <v>Anjli</v>
      </c>
      <c r="G24" s="16" t="str">
        <f>VLOOKUP(B24,Mapping!A:F,6,0)</f>
        <v>Archana</v>
      </c>
      <c r="H24" s="18">
        <v>1.5</v>
      </c>
      <c r="I24" s="18">
        <v>1.5</v>
      </c>
      <c r="J24" s="18">
        <v>1.5</v>
      </c>
      <c r="K24" s="18">
        <v>1.5</v>
      </c>
      <c r="L24" s="18">
        <v>1.5</v>
      </c>
      <c r="M24" s="18">
        <v>1.5</v>
      </c>
      <c r="N24" s="18">
        <v>1.5</v>
      </c>
      <c r="O24" s="18">
        <v>1.5</v>
      </c>
      <c r="P24" s="18">
        <v>1.5</v>
      </c>
      <c r="Q24" s="18">
        <v>1.5</v>
      </c>
      <c r="R24" s="18">
        <v>1.5</v>
      </c>
      <c r="S24" s="18">
        <v>1.5</v>
      </c>
      <c r="T24" s="4"/>
    </row>
    <row r="25" spans="1:20" x14ac:dyDescent="0.35">
      <c r="A25" s="40" t="s">
        <v>142</v>
      </c>
      <c r="B25" s="15" t="s">
        <v>39</v>
      </c>
      <c r="C25" s="15" t="str">
        <f>VLOOKUP(B25,Mapping!A:B,2,0)</f>
        <v>Lateral</v>
      </c>
      <c r="D25" s="15" t="str">
        <f>VLOOKUP(B25,Mapping!A:C,3,0)</f>
        <v>South</v>
      </c>
      <c r="E25" s="16" t="str">
        <f>VLOOKUP(B25,Mapping!A:D,4,0)</f>
        <v>South 2</v>
      </c>
      <c r="F25" s="16" t="str">
        <f>VLOOKUP(B25,Mapping!A:E,5,0)</f>
        <v>Sulabh</v>
      </c>
      <c r="G25" s="16" t="str">
        <f>VLOOKUP(B25,Mapping!A:F,6,0)</f>
        <v>Krishna</v>
      </c>
      <c r="H25" s="18">
        <v>1.5</v>
      </c>
      <c r="I25" s="18">
        <v>1.5</v>
      </c>
      <c r="J25" s="18">
        <v>1.5</v>
      </c>
      <c r="K25" s="18">
        <v>1.5</v>
      </c>
      <c r="L25" s="18">
        <v>1.5</v>
      </c>
      <c r="M25" s="18">
        <v>1.5</v>
      </c>
      <c r="N25" s="18">
        <v>1.5</v>
      </c>
      <c r="O25" s="18">
        <v>1.5</v>
      </c>
      <c r="P25" s="18">
        <v>1.5</v>
      </c>
      <c r="Q25" s="18">
        <v>1.5</v>
      </c>
      <c r="R25" s="18">
        <v>1.5</v>
      </c>
      <c r="S25" s="18">
        <v>1.5</v>
      </c>
      <c r="T25" s="4"/>
    </row>
    <row r="26" spans="1:20" x14ac:dyDescent="0.35">
      <c r="A26" s="40" t="s">
        <v>142</v>
      </c>
      <c r="B26" s="15" t="s">
        <v>40</v>
      </c>
      <c r="C26" s="15" t="str">
        <f>VLOOKUP(B26,Mapping!A:B,2,0)</f>
        <v>Lateral</v>
      </c>
      <c r="D26" s="15" t="str">
        <f>VLOOKUP(B26,Mapping!A:C,3,0)</f>
        <v>West</v>
      </c>
      <c r="E26" s="16" t="str">
        <f>VLOOKUP(B26,Mapping!A:D,4,0)</f>
        <v>West 2</v>
      </c>
      <c r="F26" s="16" t="str">
        <f>VLOOKUP(B26,Mapping!A:E,5,0)</f>
        <v>Anjli</v>
      </c>
      <c r="G26" s="16" t="str">
        <f>VLOOKUP(B26,Mapping!A:F,6,0)</f>
        <v>Shweta</v>
      </c>
      <c r="H26" s="18">
        <v>1.5</v>
      </c>
      <c r="I26" s="18">
        <v>1.5</v>
      </c>
      <c r="J26" s="18">
        <v>1.5</v>
      </c>
      <c r="K26" s="18">
        <v>1.5</v>
      </c>
      <c r="L26" s="18">
        <v>1.5</v>
      </c>
      <c r="M26" s="18">
        <v>1.5</v>
      </c>
      <c r="N26" s="18">
        <v>1.5</v>
      </c>
      <c r="O26" s="18">
        <v>1.5</v>
      </c>
      <c r="P26" s="18">
        <v>1.5</v>
      </c>
      <c r="Q26" s="18">
        <v>1.5</v>
      </c>
      <c r="R26" s="18">
        <v>1.5</v>
      </c>
      <c r="S26" s="18">
        <v>1.5</v>
      </c>
      <c r="T26" s="4"/>
    </row>
    <row r="27" spans="1:20" x14ac:dyDescent="0.35">
      <c r="A27" s="40" t="s">
        <v>142</v>
      </c>
      <c r="B27" s="15" t="s">
        <v>41</v>
      </c>
      <c r="C27" s="15" t="str">
        <f>VLOOKUP(B27,Mapping!A:B,2,0)</f>
        <v>Lateral</v>
      </c>
      <c r="D27" s="15" t="str">
        <f>VLOOKUP(B27,Mapping!A:C,3,0)</f>
        <v>South</v>
      </c>
      <c r="E27" s="16" t="str">
        <f>VLOOKUP(B27,Mapping!A:D,4,0)</f>
        <v>South 2</v>
      </c>
      <c r="F27" s="16" t="str">
        <f>VLOOKUP(B27,Mapping!A:E,5,0)</f>
        <v>Sulabh</v>
      </c>
      <c r="G27" s="16" t="str">
        <f>VLOOKUP(B27,Mapping!A:F,6,0)</f>
        <v>Krishna</v>
      </c>
      <c r="H27" s="18">
        <v>1.5</v>
      </c>
      <c r="I27" s="18">
        <v>1.5</v>
      </c>
      <c r="J27" s="18">
        <v>1.5</v>
      </c>
      <c r="K27" s="18">
        <v>1.5</v>
      </c>
      <c r="L27" s="18">
        <v>1.5</v>
      </c>
      <c r="M27" s="18">
        <v>1.5</v>
      </c>
      <c r="N27" s="18">
        <v>1.5</v>
      </c>
      <c r="O27" s="18">
        <v>1.5</v>
      </c>
      <c r="P27" s="18">
        <v>1.5</v>
      </c>
      <c r="Q27" s="18">
        <v>1.5</v>
      </c>
      <c r="R27" s="18">
        <v>1.5</v>
      </c>
      <c r="S27" s="18">
        <v>1.5</v>
      </c>
      <c r="T27" s="4"/>
    </row>
    <row r="28" spans="1:20" x14ac:dyDescent="0.35">
      <c r="A28" s="40" t="s">
        <v>142</v>
      </c>
      <c r="B28" s="15" t="s">
        <v>42</v>
      </c>
      <c r="C28" s="15" t="str">
        <f>VLOOKUP(B28,Mapping!A:B,2,0)</f>
        <v>Lateral</v>
      </c>
      <c r="D28" s="15" t="str">
        <f>VLOOKUP(B28,Mapping!A:C,3,0)</f>
        <v>North</v>
      </c>
      <c r="E28" s="16" t="str">
        <f>VLOOKUP(B28,Mapping!A:D,4,0)</f>
        <v>North</v>
      </c>
      <c r="F28" s="16" t="str">
        <f>VLOOKUP(B28,Mapping!A:E,5,0)</f>
        <v>Anjli</v>
      </c>
      <c r="G28" s="16" t="str">
        <f>VLOOKUP(B28,Mapping!A:F,6,0)</f>
        <v>Archana</v>
      </c>
      <c r="H28" s="18">
        <v>1.5</v>
      </c>
      <c r="I28" s="18">
        <v>1.5</v>
      </c>
      <c r="J28" s="18">
        <v>1.5</v>
      </c>
      <c r="K28" s="18">
        <v>1.5</v>
      </c>
      <c r="L28" s="18">
        <v>1.5</v>
      </c>
      <c r="M28" s="18">
        <v>1.5</v>
      </c>
      <c r="N28" s="18">
        <v>1.5</v>
      </c>
      <c r="O28" s="18">
        <v>1.5</v>
      </c>
      <c r="P28" s="18">
        <v>1.5</v>
      </c>
      <c r="Q28" s="18">
        <v>1.5</v>
      </c>
      <c r="R28" s="18">
        <v>1.5</v>
      </c>
      <c r="S28" s="18">
        <v>1.5</v>
      </c>
      <c r="T28" s="4"/>
    </row>
    <row r="29" spans="1:20" x14ac:dyDescent="0.35">
      <c r="A29" s="40" t="s">
        <v>142</v>
      </c>
      <c r="B29" s="15" t="s">
        <v>43</v>
      </c>
      <c r="C29" s="15" t="str">
        <f>VLOOKUP(B29,Mapping!A:B,2,0)</f>
        <v>Lateral</v>
      </c>
      <c r="D29" s="15" t="str">
        <f>VLOOKUP(B29,Mapping!A:C,3,0)</f>
        <v>West</v>
      </c>
      <c r="E29" s="16" t="str">
        <f>VLOOKUP(B29,Mapping!A:D,4,0)</f>
        <v>West 2</v>
      </c>
      <c r="F29" s="16" t="str">
        <f>VLOOKUP(B29,Mapping!A:E,5,0)</f>
        <v>Anjli</v>
      </c>
      <c r="G29" s="16" t="str">
        <f>VLOOKUP(B29,Mapping!A:F,6,0)</f>
        <v>Shweta</v>
      </c>
      <c r="H29" s="18">
        <v>1.5</v>
      </c>
      <c r="I29" s="18">
        <v>1.5</v>
      </c>
      <c r="J29" s="18">
        <v>1.5</v>
      </c>
      <c r="K29" s="18">
        <v>1.5</v>
      </c>
      <c r="L29" s="18">
        <v>1.5</v>
      </c>
      <c r="M29" s="18">
        <v>1.5</v>
      </c>
      <c r="N29" s="18">
        <v>1.5</v>
      </c>
      <c r="O29" s="18">
        <v>1.5</v>
      </c>
      <c r="P29" s="18">
        <v>1.5</v>
      </c>
      <c r="Q29" s="18">
        <v>1.5</v>
      </c>
      <c r="R29" s="18">
        <v>1.5</v>
      </c>
      <c r="S29" s="18">
        <v>1.5</v>
      </c>
      <c r="T29" s="4"/>
    </row>
    <row r="30" spans="1:20" x14ac:dyDescent="0.35">
      <c r="A30" s="40" t="s">
        <v>142</v>
      </c>
      <c r="B30" s="15" t="s">
        <v>44</v>
      </c>
      <c r="C30" s="15" t="str">
        <f>VLOOKUP(B30,Mapping!A:B,2,0)</f>
        <v>Lateral</v>
      </c>
      <c r="D30" s="15" t="str">
        <f>VLOOKUP(B30,Mapping!A:C,3,0)</f>
        <v>North</v>
      </c>
      <c r="E30" s="16" t="str">
        <f>VLOOKUP(B30,Mapping!A:D,4,0)</f>
        <v>North</v>
      </c>
      <c r="F30" s="16" t="str">
        <f>VLOOKUP(B30,Mapping!A:E,5,0)</f>
        <v>Anjli</v>
      </c>
      <c r="G30" s="16" t="str">
        <f>VLOOKUP(B30,Mapping!A:F,6,0)</f>
        <v>Archana</v>
      </c>
      <c r="H30" s="18">
        <v>1.5</v>
      </c>
      <c r="I30" s="18">
        <v>1.5</v>
      </c>
      <c r="J30" s="18">
        <v>1.5</v>
      </c>
      <c r="K30" s="18">
        <v>1.5</v>
      </c>
      <c r="L30" s="18">
        <v>1.5</v>
      </c>
      <c r="M30" s="18">
        <v>1.5</v>
      </c>
      <c r="N30" s="18">
        <v>1.5</v>
      </c>
      <c r="O30" s="18">
        <v>1.5</v>
      </c>
      <c r="P30" s="18">
        <v>1.5</v>
      </c>
      <c r="Q30" s="18">
        <v>1.5</v>
      </c>
      <c r="R30" s="18">
        <v>1.5</v>
      </c>
      <c r="S30" s="18">
        <v>1.5</v>
      </c>
      <c r="T30" s="4"/>
    </row>
    <row r="31" spans="1:20" x14ac:dyDescent="0.35">
      <c r="A31" s="40" t="s">
        <v>142</v>
      </c>
      <c r="B31" s="15" t="s">
        <v>45</v>
      </c>
      <c r="C31" s="15" t="str">
        <f>VLOOKUP(B31,Mapping!A:B,2,0)</f>
        <v>Lateral</v>
      </c>
      <c r="D31" s="15" t="str">
        <f>VLOOKUP(B31,Mapping!A:C,3,0)</f>
        <v>South</v>
      </c>
      <c r="E31" s="16" t="str">
        <f>VLOOKUP(B31,Mapping!A:D,4,0)</f>
        <v>South 2</v>
      </c>
      <c r="F31" s="16" t="str">
        <f>VLOOKUP(B31,Mapping!A:E,5,0)</f>
        <v>Sulabh</v>
      </c>
      <c r="G31" s="16" t="str">
        <f>VLOOKUP(B31,Mapping!A:F,6,0)</f>
        <v>Krishna</v>
      </c>
      <c r="H31" s="18">
        <v>1.5</v>
      </c>
      <c r="I31" s="18">
        <v>1.5</v>
      </c>
      <c r="J31" s="18">
        <v>1.5</v>
      </c>
      <c r="K31" s="18">
        <v>1.5</v>
      </c>
      <c r="L31" s="18">
        <v>1.5</v>
      </c>
      <c r="M31" s="18">
        <v>1.5</v>
      </c>
      <c r="N31" s="18">
        <v>1.5</v>
      </c>
      <c r="O31" s="18">
        <v>1.5</v>
      </c>
      <c r="P31" s="18">
        <v>1.5</v>
      </c>
      <c r="Q31" s="18">
        <v>1.5</v>
      </c>
      <c r="R31" s="18">
        <v>1.5</v>
      </c>
      <c r="S31" s="18">
        <v>1.5</v>
      </c>
      <c r="T31" s="4"/>
    </row>
    <row r="32" spans="1:20" x14ac:dyDescent="0.35">
      <c r="A32" s="40" t="s">
        <v>142</v>
      </c>
      <c r="B32" s="15" t="s">
        <v>46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8">
        <v>1.5</v>
      </c>
      <c r="I32" s="18">
        <v>1.5</v>
      </c>
      <c r="J32" s="18">
        <v>1.5</v>
      </c>
      <c r="K32" s="18">
        <v>1.5</v>
      </c>
      <c r="L32" s="18">
        <v>1.5</v>
      </c>
      <c r="M32" s="18">
        <v>1.5</v>
      </c>
      <c r="N32" s="18">
        <v>1.5</v>
      </c>
      <c r="O32" s="18">
        <v>1.5</v>
      </c>
      <c r="P32" s="18">
        <v>1.5</v>
      </c>
      <c r="Q32" s="18">
        <v>1.5</v>
      </c>
      <c r="R32" s="18">
        <v>1.5</v>
      </c>
      <c r="S32" s="18">
        <v>1.5</v>
      </c>
      <c r="T32" s="4"/>
    </row>
    <row r="33" spans="1:20" x14ac:dyDescent="0.35">
      <c r="A33" s="40" t="s">
        <v>142</v>
      </c>
      <c r="B33" s="15" t="s">
        <v>47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8">
        <v>1.5</v>
      </c>
      <c r="I33" s="18">
        <v>1.5</v>
      </c>
      <c r="J33" s="18">
        <v>1.5</v>
      </c>
      <c r="K33" s="18">
        <v>1.5</v>
      </c>
      <c r="L33" s="18">
        <v>1.5</v>
      </c>
      <c r="M33" s="18">
        <v>1.5</v>
      </c>
      <c r="N33" s="18">
        <v>1.5</v>
      </c>
      <c r="O33" s="18">
        <v>1.5</v>
      </c>
      <c r="P33" s="18">
        <v>1.5</v>
      </c>
      <c r="Q33" s="18">
        <v>1.5</v>
      </c>
      <c r="R33" s="18">
        <v>1.5</v>
      </c>
      <c r="S33" s="18">
        <v>1.5</v>
      </c>
      <c r="T33" s="4"/>
    </row>
    <row r="34" spans="1:20" x14ac:dyDescent="0.35">
      <c r="A34" s="40" t="s">
        <v>142</v>
      </c>
      <c r="B34" s="15" t="s">
        <v>48</v>
      </c>
      <c r="C34" s="15" t="str">
        <f>VLOOKUP(B34,Mapping!A:B,2,0)</f>
        <v>Lateral</v>
      </c>
      <c r="D34" s="15" t="str">
        <f>VLOOKUP(B34,Mapping!A:C,3,0)</f>
        <v>West</v>
      </c>
      <c r="E34" s="16" t="str">
        <f>VLOOKUP(B34,Mapping!A:D,4,0)</f>
        <v>West 1</v>
      </c>
      <c r="F34" s="16" t="str">
        <f>VLOOKUP(B34,Mapping!A:E,5,0)</f>
        <v>Anjli</v>
      </c>
      <c r="G34" s="16" t="str">
        <f>VLOOKUP(B34,Mapping!A:F,6,0)</f>
        <v>Geetu</v>
      </c>
      <c r="H34" s="18">
        <v>1.5</v>
      </c>
      <c r="I34" s="18">
        <v>1.5</v>
      </c>
      <c r="J34" s="18">
        <v>1.5</v>
      </c>
      <c r="K34" s="18">
        <v>1.5</v>
      </c>
      <c r="L34" s="18">
        <v>1.5</v>
      </c>
      <c r="M34" s="18">
        <v>1.5</v>
      </c>
      <c r="N34" s="18">
        <v>1.5</v>
      </c>
      <c r="O34" s="18">
        <v>1.5</v>
      </c>
      <c r="P34" s="18">
        <v>1.5</v>
      </c>
      <c r="Q34" s="18">
        <v>1.5</v>
      </c>
      <c r="R34" s="18">
        <v>1.5</v>
      </c>
      <c r="S34" s="18">
        <v>1.5</v>
      </c>
      <c r="T34" s="4"/>
    </row>
    <row r="35" spans="1:20" x14ac:dyDescent="0.35">
      <c r="A35" s="40" t="s">
        <v>142</v>
      </c>
      <c r="B35" s="15" t="s">
        <v>49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8">
        <v>1.5</v>
      </c>
      <c r="I35" s="18">
        <v>1.5</v>
      </c>
      <c r="J35" s="18">
        <v>1.5</v>
      </c>
      <c r="K35" s="18">
        <v>1.5</v>
      </c>
      <c r="L35" s="18">
        <v>1.5</v>
      </c>
      <c r="M35" s="18">
        <v>1.5</v>
      </c>
      <c r="N35" s="18">
        <v>1.5</v>
      </c>
      <c r="O35" s="18">
        <v>1.5</v>
      </c>
      <c r="P35" s="18">
        <v>1.5</v>
      </c>
      <c r="Q35" s="18">
        <v>1.5</v>
      </c>
      <c r="R35" s="18">
        <v>1.5</v>
      </c>
      <c r="S35" s="18">
        <v>1.5</v>
      </c>
      <c r="T35" s="4"/>
    </row>
    <row r="36" spans="1:20" x14ac:dyDescent="0.35">
      <c r="A36" s="40" t="s">
        <v>142</v>
      </c>
      <c r="B36" s="15" t="s">
        <v>50</v>
      </c>
      <c r="C36" s="15" t="str">
        <f>VLOOKUP(B36,Mapping!A:B,2,0)</f>
        <v>Lateral</v>
      </c>
      <c r="D36" s="15" t="str">
        <f>VLOOKUP(B36,Mapping!A:C,3,0)</f>
        <v>North</v>
      </c>
      <c r="E36" s="16" t="str">
        <f>VLOOKUP(B36,Mapping!A:D,4,0)</f>
        <v>North</v>
      </c>
      <c r="F36" s="16" t="str">
        <f>VLOOKUP(B36,Mapping!A:E,5,0)</f>
        <v>Anjli</v>
      </c>
      <c r="G36" s="16" t="str">
        <f>VLOOKUP(B36,Mapping!A:F,6,0)</f>
        <v>Archana</v>
      </c>
      <c r="H36" s="18">
        <v>1.5</v>
      </c>
      <c r="I36" s="18">
        <v>1.5</v>
      </c>
      <c r="J36" s="18">
        <v>1.5</v>
      </c>
      <c r="K36" s="18">
        <v>1.5</v>
      </c>
      <c r="L36" s="18">
        <v>1.5</v>
      </c>
      <c r="M36" s="18">
        <v>1.5</v>
      </c>
      <c r="N36" s="18">
        <v>1.5</v>
      </c>
      <c r="O36" s="18">
        <v>1.5</v>
      </c>
      <c r="P36" s="18">
        <v>1.5</v>
      </c>
      <c r="Q36" s="18">
        <v>1.5</v>
      </c>
      <c r="R36" s="18">
        <v>1.5</v>
      </c>
      <c r="S36" s="18">
        <v>1.5</v>
      </c>
      <c r="T36" s="4"/>
    </row>
    <row r="37" spans="1:20" x14ac:dyDescent="0.35">
      <c r="A37" s="40" t="s">
        <v>142</v>
      </c>
      <c r="B37" s="15" t="s">
        <v>51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1</v>
      </c>
      <c r="F37" s="16" t="str">
        <f>VLOOKUP(B37,Mapping!A:E,5,0)</f>
        <v>Anjli</v>
      </c>
      <c r="G37" s="16" t="str">
        <f>VLOOKUP(B37,Mapping!A:F,6,0)</f>
        <v>Geetu</v>
      </c>
      <c r="H37" s="18">
        <v>1.5</v>
      </c>
      <c r="I37" s="18">
        <v>1.5</v>
      </c>
      <c r="J37" s="18">
        <v>1.5</v>
      </c>
      <c r="K37" s="18">
        <v>1.5</v>
      </c>
      <c r="L37" s="18">
        <v>1.5</v>
      </c>
      <c r="M37" s="18">
        <v>1.5</v>
      </c>
      <c r="N37" s="18">
        <v>1.5</v>
      </c>
      <c r="O37" s="18">
        <v>1.5</v>
      </c>
      <c r="P37" s="18">
        <v>1.5</v>
      </c>
      <c r="Q37" s="18">
        <v>1.5</v>
      </c>
      <c r="R37" s="18">
        <v>1.5</v>
      </c>
      <c r="S37" s="18">
        <v>1.5</v>
      </c>
      <c r="T37" s="4"/>
    </row>
    <row r="38" spans="1:20" x14ac:dyDescent="0.35">
      <c r="A38" s="40" t="s">
        <v>142</v>
      </c>
      <c r="B38" s="15" t="s">
        <v>52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2</v>
      </c>
      <c r="F38" s="16" t="str">
        <f>VLOOKUP(B38,Mapping!A:E,5,0)</f>
        <v>Anjli</v>
      </c>
      <c r="G38" s="16" t="str">
        <f>VLOOKUP(B38,Mapping!A:F,6,0)</f>
        <v>Shweta</v>
      </c>
      <c r="H38" s="18">
        <v>1.5</v>
      </c>
      <c r="I38" s="18">
        <v>1.5</v>
      </c>
      <c r="J38" s="18">
        <v>1.5</v>
      </c>
      <c r="K38" s="18">
        <v>1.5</v>
      </c>
      <c r="L38" s="18">
        <v>1.5</v>
      </c>
      <c r="M38" s="18">
        <v>1.5</v>
      </c>
      <c r="N38" s="18">
        <v>1.5</v>
      </c>
      <c r="O38" s="18">
        <v>1.5</v>
      </c>
      <c r="P38" s="18">
        <v>1.5</v>
      </c>
      <c r="Q38" s="18">
        <v>1.5</v>
      </c>
      <c r="R38" s="18">
        <v>1.5</v>
      </c>
      <c r="S38" s="18">
        <v>1.5</v>
      </c>
      <c r="T38" s="4"/>
    </row>
    <row r="39" spans="1:20" x14ac:dyDescent="0.35">
      <c r="A39" s="40" t="s">
        <v>142</v>
      </c>
      <c r="B39" s="15" t="s">
        <v>53</v>
      </c>
      <c r="C39" s="15" t="str">
        <f>VLOOKUP(B39,Mapping!A:B,2,0)</f>
        <v>Lateral</v>
      </c>
      <c r="D39" s="15" t="str">
        <f>VLOOKUP(B39,Mapping!A:C,3,0)</f>
        <v>West</v>
      </c>
      <c r="E39" s="16" t="str">
        <f>VLOOKUP(B39,Mapping!A:D,4,0)</f>
        <v>West 1</v>
      </c>
      <c r="F39" s="16" t="str">
        <f>VLOOKUP(B39,Mapping!A:E,5,0)</f>
        <v>Anjli</v>
      </c>
      <c r="G39" s="16" t="str">
        <f>VLOOKUP(B39,Mapping!A:F,6,0)</f>
        <v>Ankit</v>
      </c>
      <c r="H39" s="18">
        <v>1.5</v>
      </c>
      <c r="I39" s="18">
        <v>1.5</v>
      </c>
      <c r="J39" s="18">
        <v>1.5</v>
      </c>
      <c r="K39" s="18">
        <v>1.5</v>
      </c>
      <c r="L39" s="18">
        <v>1.5</v>
      </c>
      <c r="M39" s="18">
        <v>1.5</v>
      </c>
      <c r="N39" s="18">
        <v>1.5</v>
      </c>
      <c r="O39" s="18">
        <v>1.5</v>
      </c>
      <c r="P39" s="18">
        <v>1.5</v>
      </c>
      <c r="Q39" s="18">
        <v>1.5</v>
      </c>
      <c r="R39" s="18">
        <v>1.5</v>
      </c>
      <c r="S39" s="18">
        <v>1.5</v>
      </c>
      <c r="T39" s="4"/>
    </row>
    <row r="40" spans="1:20" x14ac:dyDescent="0.35">
      <c r="A40" s="40" t="s">
        <v>142</v>
      </c>
      <c r="B40" s="15" t="s">
        <v>55</v>
      </c>
      <c r="C40" s="15" t="str">
        <f>VLOOKUP(B40,Mapping!A:B,2,0)</f>
        <v>Lateral</v>
      </c>
      <c r="D40" s="15" t="str">
        <f>VLOOKUP(B40,Mapping!A:C,3,0)</f>
        <v>South</v>
      </c>
      <c r="E40" s="16" t="str">
        <f>VLOOKUP(B40,Mapping!A:D,4,0)</f>
        <v>South 2</v>
      </c>
      <c r="F40" s="16" t="str">
        <f>VLOOKUP(B40,Mapping!A:E,5,0)</f>
        <v>Sulabh</v>
      </c>
      <c r="G40" s="16" t="str">
        <f>VLOOKUP(B40,Mapping!A:F,6,0)</f>
        <v>Krishna</v>
      </c>
      <c r="H40" s="18">
        <v>1.5</v>
      </c>
      <c r="I40" s="18">
        <v>1.5</v>
      </c>
      <c r="J40" s="18">
        <v>1.5</v>
      </c>
      <c r="K40" s="18">
        <v>1.5</v>
      </c>
      <c r="L40" s="18">
        <v>1.5</v>
      </c>
      <c r="M40" s="18">
        <v>1.5</v>
      </c>
      <c r="N40" s="18">
        <v>1.5</v>
      </c>
      <c r="O40" s="18">
        <v>1.5</v>
      </c>
      <c r="P40" s="18">
        <v>1.5</v>
      </c>
      <c r="Q40" s="18">
        <v>1.5</v>
      </c>
      <c r="R40" s="18">
        <v>1.5</v>
      </c>
      <c r="S40" s="18">
        <v>1.5</v>
      </c>
      <c r="T40" s="4"/>
    </row>
    <row r="41" spans="1:20" x14ac:dyDescent="0.35">
      <c r="A41" s="40" t="s">
        <v>142</v>
      </c>
      <c r="B41" s="15" t="s">
        <v>56</v>
      </c>
      <c r="C41" s="15" t="str">
        <f>VLOOKUP(B41,Mapping!A:B,2,0)</f>
        <v>Lateral</v>
      </c>
      <c r="D41" s="15" t="str">
        <f>VLOOKUP(B41,Mapping!A:C,3,0)</f>
        <v>North</v>
      </c>
      <c r="E41" s="16" t="str">
        <f>VLOOKUP(B41,Mapping!A:D,4,0)</f>
        <v>North</v>
      </c>
      <c r="F41" s="16" t="str">
        <f>VLOOKUP(B41,Mapping!A:E,5,0)</f>
        <v>Anjli</v>
      </c>
      <c r="G41" s="16" t="str">
        <f>VLOOKUP(B41,Mapping!A:F,6,0)</f>
        <v>Archana</v>
      </c>
      <c r="H41" s="18">
        <v>1.5</v>
      </c>
      <c r="I41" s="18">
        <v>1.5</v>
      </c>
      <c r="J41" s="18">
        <v>1.5</v>
      </c>
      <c r="K41" s="18">
        <v>1.5</v>
      </c>
      <c r="L41" s="18">
        <v>1.5</v>
      </c>
      <c r="M41" s="18">
        <v>1.5</v>
      </c>
      <c r="N41" s="18">
        <v>1.5</v>
      </c>
      <c r="O41" s="18">
        <v>1.5</v>
      </c>
      <c r="P41" s="18">
        <v>1.5</v>
      </c>
      <c r="Q41" s="18">
        <v>1.5</v>
      </c>
      <c r="R41" s="18">
        <v>1.5</v>
      </c>
      <c r="S41" s="18">
        <v>1.5</v>
      </c>
      <c r="T41" s="4"/>
    </row>
    <row r="42" spans="1:20" x14ac:dyDescent="0.35">
      <c r="A42" s="40" t="s">
        <v>142</v>
      </c>
      <c r="B42" s="15" t="s">
        <v>57</v>
      </c>
      <c r="C42" s="15" t="str">
        <f>VLOOKUP(B42,Mapping!A:B,2,0)</f>
        <v>Lateral</v>
      </c>
      <c r="D42" s="15" t="str">
        <f>VLOOKUP(B42,Mapping!A:C,3,0)</f>
        <v>South</v>
      </c>
      <c r="E42" s="16" t="str">
        <f>VLOOKUP(B42,Mapping!A:D,4,0)</f>
        <v>South 2</v>
      </c>
      <c r="F42" s="16" t="str">
        <f>VLOOKUP(B42,Mapping!A:E,5,0)</f>
        <v>Sulabh</v>
      </c>
      <c r="G42" s="16" t="str">
        <f>VLOOKUP(B42,Mapping!A:F,6,0)</f>
        <v>Krishna</v>
      </c>
      <c r="H42" s="18">
        <v>1.5</v>
      </c>
      <c r="I42" s="18">
        <v>1.5</v>
      </c>
      <c r="J42" s="18">
        <v>1.5</v>
      </c>
      <c r="K42" s="18">
        <v>1.5</v>
      </c>
      <c r="L42" s="18">
        <v>1.5</v>
      </c>
      <c r="M42" s="18">
        <v>1.5</v>
      </c>
      <c r="N42" s="18">
        <v>1.5</v>
      </c>
      <c r="O42" s="18">
        <v>1.5</v>
      </c>
      <c r="P42" s="18">
        <v>1.5</v>
      </c>
      <c r="Q42" s="18">
        <v>1.5</v>
      </c>
      <c r="R42" s="18">
        <v>1.5</v>
      </c>
      <c r="S42" s="18">
        <v>1.5</v>
      </c>
      <c r="T42" s="4"/>
    </row>
    <row r="43" spans="1:20" x14ac:dyDescent="0.35">
      <c r="A43" s="40" t="s">
        <v>142</v>
      </c>
      <c r="B43" s="15" t="s">
        <v>58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1</v>
      </c>
      <c r="F43" s="16" t="str">
        <f>VLOOKUP(B43,Mapping!A:E,5,0)</f>
        <v>Anjli</v>
      </c>
      <c r="G43" s="16" t="str">
        <f>VLOOKUP(B43,Mapping!A:F,6,0)</f>
        <v>Elton</v>
      </c>
      <c r="H43" s="18">
        <v>1.5</v>
      </c>
      <c r="I43" s="18">
        <v>1.5</v>
      </c>
      <c r="J43" s="18">
        <v>1.5</v>
      </c>
      <c r="K43" s="18">
        <v>1.5</v>
      </c>
      <c r="L43" s="18">
        <v>1.5</v>
      </c>
      <c r="M43" s="18">
        <v>1.5</v>
      </c>
      <c r="N43" s="18">
        <v>1.5</v>
      </c>
      <c r="O43" s="18">
        <v>1.5</v>
      </c>
      <c r="P43" s="18">
        <v>1.5</v>
      </c>
      <c r="Q43" s="18">
        <v>1.5</v>
      </c>
      <c r="R43" s="18">
        <v>1.5</v>
      </c>
      <c r="S43" s="18">
        <v>1.5</v>
      </c>
      <c r="T43" s="4"/>
    </row>
    <row r="44" spans="1:20" x14ac:dyDescent="0.35">
      <c r="A44" s="40" t="s">
        <v>142</v>
      </c>
      <c r="B44" s="15" t="s">
        <v>60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2</v>
      </c>
      <c r="F44" s="16" t="str">
        <f>VLOOKUP(B44,Mapping!A:E,5,0)</f>
        <v>Anjli</v>
      </c>
      <c r="G44" s="16" t="str">
        <f>VLOOKUP(B44,Mapping!A:F,6,0)</f>
        <v>Shweta</v>
      </c>
      <c r="H44" s="18">
        <v>1.5</v>
      </c>
      <c r="I44" s="18">
        <v>1.5</v>
      </c>
      <c r="J44" s="18">
        <v>1.5</v>
      </c>
      <c r="K44" s="18">
        <v>1.5</v>
      </c>
      <c r="L44" s="18">
        <v>1.5</v>
      </c>
      <c r="M44" s="18">
        <v>1.5</v>
      </c>
      <c r="N44" s="18">
        <v>1.5</v>
      </c>
      <c r="O44" s="18">
        <v>1.5</v>
      </c>
      <c r="P44" s="18">
        <v>1.5</v>
      </c>
      <c r="Q44" s="18">
        <v>1.5</v>
      </c>
      <c r="R44" s="18">
        <v>1.5</v>
      </c>
      <c r="S44" s="18">
        <v>1.5</v>
      </c>
      <c r="T44" s="4"/>
    </row>
    <row r="45" spans="1:20" x14ac:dyDescent="0.35">
      <c r="A45" s="40" t="s">
        <v>142</v>
      </c>
      <c r="B45" s="15" t="s">
        <v>61</v>
      </c>
      <c r="C45" s="15" t="str">
        <f>VLOOKUP(B45,Mapping!A:B,2,0)</f>
        <v>Lateral</v>
      </c>
      <c r="D45" s="15" t="str">
        <f>VLOOKUP(B45,Mapping!A:C,3,0)</f>
        <v>West</v>
      </c>
      <c r="E45" s="16" t="str">
        <f>VLOOKUP(B45,Mapping!A:D,4,0)</f>
        <v>West 1</v>
      </c>
      <c r="F45" s="16" t="str">
        <f>VLOOKUP(B45,Mapping!A:E,5,0)</f>
        <v>Anjli</v>
      </c>
      <c r="G45" s="16" t="str">
        <f>VLOOKUP(B45,Mapping!A:F,6,0)</f>
        <v>Elton</v>
      </c>
      <c r="H45" s="18">
        <v>1.5</v>
      </c>
      <c r="I45" s="18">
        <v>1.5</v>
      </c>
      <c r="J45" s="18">
        <v>1.5</v>
      </c>
      <c r="K45" s="18">
        <v>1.5</v>
      </c>
      <c r="L45" s="18">
        <v>1.5</v>
      </c>
      <c r="M45" s="18">
        <v>1.5</v>
      </c>
      <c r="N45" s="18">
        <v>1.5</v>
      </c>
      <c r="O45" s="18">
        <v>1.5</v>
      </c>
      <c r="P45" s="18">
        <v>1.5</v>
      </c>
      <c r="Q45" s="18">
        <v>1.5</v>
      </c>
      <c r="R45" s="18">
        <v>1.5</v>
      </c>
      <c r="S45" s="18">
        <v>1.5</v>
      </c>
      <c r="T45" s="4"/>
    </row>
    <row r="46" spans="1:20" x14ac:dyDescent="0.35">
      <c r="A46" s="40" t="s">
        <v>142</v>
      </c>
      <c r="B46" s="15" t="s">
        <v>62</v>
      </c>
      <c r="C46" s="15" t="str">
        <f>VLOOKUP(B46,Mapping!A:B,2,0)</f>
        <v>Lateral</v>
      </c>
      <c r="D46" s="15" t="str">
        <f>VLOOKUP(B46,Mapping!A:C,3,0)</f>
        <v>South</v>
      </c>
      <c r="E46" s="16" t="str">
        <f>VLOOKUP(B46,Mapping!A:D,4,0)</f>
        <v>South 2</v>
      </c>
      <c r="F46" s="16" t="str">
        <f>VLOOKUP(B46,Mapping!A:E,5,0)</f>
        <v>Sulabh</v>
      </c>
      <c r="G46" s="16" t="str">
        <f>VLOOKUP(B46,Mapping!A:F,6,0)</f>
        <v>Subu</v>
      </c>
      <c r="H46" s="18">
        <v>1.5</v>
      </c>
      <c r="I46" s="18">
        <v>1.5</v>
      </c>
      <c r="J46" s="18">
        <v>1.5</v>
      </c>
      <c r="K46" s="18">
        <v>1.5</v>
      </c>
      <c r="L46" s="18">
        <v>1.5</v>
      </c>
      <c r="M46" s="18">
        <v>1.5</v>
      </c>
      <c r="N46" s="18">
        <v>1.5</v>
      </c>
      <c r="O46" s="18">
        <v>1.5</v>
      </c>
      <c r="P46" s="18">
        <v>1.5</v>
      </c>
      <c r="Q46" s="18">
        <v>1.5</v>
      </c>
      <c r="R46" s="18">
        <v>1.5</v>
      </c>
      <c r="S46" s="18">
        <v>1.5</v>
      </c>
      <c r="T46" s="4"/>
    </row>
    <row r="47" spans="1:20" x14ac:dyDescent="0.35">
      <c r="A47" s="40" t="s">
        <v>142</v>
      </c>
      <c r="B47" s="15" t="s">
        <v>63</v>
      </c>
      <c r="C47" s="15" t="str">
        <f>VLOOKUP(B47,Mapping!A:B,2,0)</f>
        <v>Lateral</v>
      </c>
      <c r="D47" s="15" t="str">
        <f>VLOOKUP(B47,Mapping!A:C,3,0)</f>
        <v>West</v>
      </c>
      <c r="E47" s="16" t="str">
        <f>VLOOKUP(B47,Mapping!A:D,4,0)</f>
        <v>West 1</v>
      </c>
      <c r="F47" s="16" t="str">
        <f>VLOOKUP(B47,Mapping!A:E,5,0)</f>
        <v>Anjli</v>
      </c>
      <c r="G47" s="16" t="str">
        <f>VLOOKUP(B47,Mapping!A:F,6,0)</f>
        <v>Elton</v>
      </c>
      <c r="H47" s="18">
        <v>1.5</v>
      </c>
      <c r="I47" s="18">
        <v>1.5</v>
      </c>
      <c r="J47" s="18">
        <v>1.5</v>
      </c>
      <c r="K47" s="18">
        <v>1.5</v>
      </c>
      <c r="L47" s="18">
        <v>1.5</v>
      </c>
      <c r="M47" s="18">
        <v>1.5</v>
      </c>
      <c r="N47" s="18">
        <v>1.5</v>
      </c>
      <c r="O47" s="18">
        <v>1.5</v>
      </c>
      <c r="P47" s="18">
        <v>1.5</v>
      </c>
      <c r="Q47" s="18">
        <v>1.5</v>
      </c>
      <c r="R47" s="18">
        <v>1.5</v>
      </c>
      <c r="S47" s="18">
        <v>1.5</v>
      </c>
      <c r="T47" s="4"/>
    </row>
    <row r="48" spans="1:20" x14ac:dyDescent="0.35">
      <c r="A48" s="40" t="s">
        <v>142</v>
      </c>
      <c r="B48" s="15" t="s">
        <v>64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8">
        <v>1.5</v>
      </c>
      <c r="I48" s="18">
        <v>1.5</v>
      </c>
      <c r="J48" s="18">
        <v>1.5</v>
      </c>
      <c r="K48" s="18">
        <v>1.5</v>
      </c>
      <c r="L48" s="18">
        <v>1.5</v>
      </c>
      <c r="M48" s="18">
        <v>1.5</v>
      </c>
      <c r="N48" s="18">
        <v>1.5</v>
      </c>
      <c r="O48" s="18">
        <v>1.5</v>
      </c>
      <c r="P48" s="18">
        <v>1.5</v>
      </c>
      <c r="Q48" s="18">
        <v>1.5</v>
      </c>
      <c r="R48" s="18">
        <v>1.5</v>
      </c>
      <c r="S48" s="18">
        <v>1.5</v>
      </c>
      <c r="T48" s="4"/>
    </row>
    <row r="49" spans="1:20" x14ac:dyDescent="0.35">
      <c r="A49" s="40" t="s">
        <v>142</v>
      </c>
      <c r="B49" s="15" t="s">
        <v>65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Sulabh</v>
      </c>
      <c r="H49" s="18">
        <v>1.5</v>
      </c>
      <c r="I49" s="18">
        <v>1.5</v>
      </c>
      <c r="J49" s="18">
        <v>1.5</v>
      </c>
      <c r="K49" s="18">
        <v>1.5</v>
      </c>
      <c r="L49" s="18">
        <v>1.5</v>
      </c>
      <c r="M49" s="18">
        <v>1.5</v>
      </c>
      <c r="N49" s="18">
        <v>1.5</v>
      </c>
      <c r="O49" s="18">
        <v>1.5</v>
      </c>
      <c r="P49" s="18">
        <v>1.5</v>
      </c>
      <c r="Q49" s="18">
        <v>1.5</v>
      </c>
      <c r="R49" s="18">
        <v>1.5</v>
      </c>
      <c r="S49" s="18">
        <v>1.5</v>
      </c>
      <c r="T49" s="4"/>
    </row>
    <row r="50" spans="1:20" x14ac:dyDescent="0.35">
      <c r="A50" s="40" t="s">
        <v>142</v>
      </c>
      <c r="B50" s="15" t="s">
        <v>66</v>
      </c>
      <c r="C50" s="15" t="str">
        <f>VLOOKUP(B50,Mapping!A:B,2,0)</f>
        <v>Lateral</v>
      </c>
      <c r="D50" s="15" t="str">
        <f>VLOOKUP(B50,Mapping!A:C,3,0)</f>
        <v>South</v>
      </c>
      <c r="E50" s="16" t="str">
        <f>VLOOKUP(B50,Mapping!A:D,4,0)</f>
        <v>South 2</v>
      </c>
      <c r="F50" s="16" t="str">
        <f>VLOOKUP(B50,Mapping!A:E,5,0)</f>
        <v>Sulabh</v>
      </c>
      <c r="G50" s="16" t="str">
        <f>VLOOKUP(B50,Mapping!A:F,6,0)</f>
        <v>Abhilash</v>
      </c>
      <c r="H50" s="18">
        <v>1.5</v>
      </c>
      <c r="I50" s="18">
        <v>1.5</v>
      </c>
      <c r="J50" s="18">
        <v>1.5</v>
      </c>
      <c r="K50" s="18">
        <v>1.5</v>
      </c>
      <c r="L50" s="18">
        <v>1.5</v>
      </c>
      <c r="M50" s="18">
        <v>1.5</v>
      </c>
      <c r="N50" s="18">
        <v>1.5</v>
      </c>
      <c r="O50" s="18">
        <v>1.5</v>
      </c>
      <c r="P50" s="18">
        <v>1.5</v>
      </c>
      <c r="Q50" s="18">
        <v>1.5</v>
      </c>
      <c r="R50" s="18">
        <v>1.5</v>
      </c>
      <c r="S50" s="18">
        <v>1.5</v>
      </c>
      <c r="T50" s="4"/>
    </row>
    <row r="51" spans="1:20" x14ac:dyDescent="0.35">
      <c r="A51" s="40" t="s">
        <v>142</v>
      </c>
      <c r="B51" s="15" t="s">
        <v>68</v>
      </c>
      <c r="C51" s="15" t="str">
        <f>VLOOKUP(B51,Mapping!A:B,2,0)</f>
        <v>Lateral</v>
      </c>
      <c r="D51" s="15" t="str">
        <f>VLOOKUP(B51,Mapping!A:C,3,0)</f>
        <v>West</v>
      </c>
      <c r="E51" s="16" t="str">
        <f>VLOOKUP(B51,Mapping!A:D,4,0)</f>
        <v>West 1</v>
      </c>
      <c r="F51" s="16" t="str">
        <f>VLOOKUP(B51,Mapping!A:E,5,0)</f>
        <v>Anjli</v>
      </c>
      <c r="G51" s="16" t="str">
        <f>VLOOKUP(B51,Mapping!A:F,6,0)</f>
        <v>Elton</v>
      </c>
      <c r="H51" s="18">
        <v>1.5</v>
      </c>
      <c r="I51" s="18">
        <v>1.5</v>
      </c>
      <c r="J51" s="18">
        <v>1.5</v>
      </c>
      <c r="K51" s="18">
        <v>1.5</v>
      </c>
      <c r="L51" s="18">
        <v>1.5</v>
      </c>
      <c r="M51" s="18">
        <v>1.5</v>
      </c>
      <c r="N51" s="18">
        <v>1.5</v>
      </c>
      <c r="O51" s="18">
        <v>1.5</v>
      </c>
      <c r="P51" s="18">
        <v>1.5</v>
      </c>
      <c r="Q51" s="18">
        <v>1.5</v>
      </c>
      <c r="R51" s="18">
        <v>1.5</v>
      </c>
      <c r="S51" s="18">
        <v>1.5</v>
      </c>
      <c r="T51" s="4"/>
    </row>
    <row r="52" spans="1:20" x14ac:dyDescent="0.35">
      <c r="A52" s="40" t="s">
        <v>142</v>
      </c>
      <c r="B52" s="15" t="s">
        <v>69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1</v>
      </c>
      <c r="F52" s="16" t="str">
        <f>VLOOKUP(B52,Mapping!A:E,5,0)</f>
        <v>Bapi</v>
      </c>
      <c r="G52" s="16" t="str">
        <f>VLOOKUP(B52,Mapping!A:F,6,0)</f>
        <v>Parul</v>
      </c>
      <c r="H52" s="18">
        <v>1.5</v>
      </c>
      <c r="I52" s="18">
        <v>1.5</v>
      </c>
      <c r="J52" s="18">
        <v>1.5</v>
      </c>
      <c r="K52" s="18">
        <v>1.5</v>
      </c>
      <c r="L52" s="18">
        <v>1.5</v>
      </c>
      <c r="M52" s="18">
        <v>1.5</v>
      </c>
      <c r="N52" s="18">
        <v>1.5</v>
      </c>
      <c r="O52" s="18">
        <v>1.5</v>
      </c>
      <c r="P52" s="18">
        <v>1.5</v>
      </c>
      <c r="Q52" s="18">
        <v>1.5</v>
      </c>
      <c r="R52" s="18">
        <v>1.5</v>
      </c>
      <c r="S52" s="18">
        <v>1.5</v>
      </c>
      <c r="T52" s="4"/>
    </row>
    <row r="53" spans="1:20" x14ac:dyDescent="0.35">
      <c r="A53" s="40" t="s">
        <v>142</v>
      </c>
      <c r="B53" s="15" t="s">
        <v>71</v>
      </c>
      <c r="C53" s="15" t="str">
        <f>VLOOKUP(B53,Mapping!A:B,2,0)</f>
        <v>Leadership</v>
      </c>
      <c r="D53" s="15" t="str">
        <f>VLOOKUP(B53,Mapping!A:C,3,0)</f>
        <v>South</v>
      </c>
      <c r="E53" s="16" t="str">
        <f>VLOOKUP(B53,Mapping!A:D,4,0)</f>
        <v>South 2</v>
      </c>
      <c r="F53" s="16" t="str">
        <f>VLOOKUP(B53,Mapping!A:E,5,0)</f>
        <v>Sulabh</v>
      </c>
      <c r="G53" s="16" t="str">
        <f>VLOOKUP(B53,Mapping!A:F,6,0)</f>
        <v>Parul</v>
      </c>
      <c r="H53" s="18">
        <v>1.5</v>
      </c>
      <c r="I53" s="18">
        <v>1.5</v>
      </c>
      <c r="J53" s="18">
        <v>1.5</v>
      </c>
      <c r="K53" s="18">
        <v>1.5</v>
      </c>
      <c r="L53" s="18">
        <v>1.5</v>
      </c>
      <c r="M53" s="18">
        <v>1.5</v>
      </c>
      <c r="N53" s="18">
        <v>1.5</v>
      </c>
      <c r="O53" s="18">
        <v>1.5</v>
      </c>
      <c r="P53" s="18">
        <v>1.5</v>
      </c>
      <c r="Q53" s="18">
        <v>1.5</v>
      </c>
      <c r="R53" s="18">
        <v>1.5</v>
      </c>
      <c r="S53" s="18">
        <v>1.5</v>
      </c>
      <c r="T53" s="4"/>
    </row>
    <row r="54" spans="1:20" x14ac:dyDescent="0.35">
      <c r="A54" s="40" t="s">
        <v>142</v>
      </c>
      <c r="B54" s="15" t="s">
        <v>72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2</v>
      </c>
      <c r="F54" s="16" t="str">
        <f>VLOOKUP(B54,Mapping!A:E,5,0)</f>
        <v>Anjli</v>
      </c>
      <c r="G54" s="16" t="str">
        <f>VLOOKUP(B54,Mapping!A:F,6,0)</f>
        <v>Parul</v>
      </c>
      <c r="H54" s="18">
        <v>1.5</v>
      </c>
      <c r="I54" s="18">
        <v>1.5</v>
      </c>
      <c r="J54" s="18">
        <v>1.5</v>
      </c>
      <c r="K54" s="18">
        <v>1.5</v>
      </c>
      <c r="L54" s="18">
        <v>1.5</v>
      </c>
      <c r="M54" s="18">
        <v>1.5</v>
      </c>
      <c r="N54" s="18">
        <v>1.5</v>
      </c>
      <c r="O54" s="18">
        <v>1.5</v>
      </c>
      <c r="P54" s="18">
        <v>1.5</v>
      </c>
      <c r="Q54" s="18">
        <v>1.5</v>
      </c>
      <c r="R54" s="18">
        <v>1.5</v>
      </c>
      <c r="S54" s="18">
        <v>1.5</v>
      </c>
      <c r="T54" s="4"/>
    </row>
    <row r="55" spans="1:20" x14ac:dyDescent="0.35">
      <c r="A55" s="40" t="s">
        <v>142</v>
      </c>
      <c r="B55" s="15" t="s">
        <v>73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8">
        <v>1.5</v>
      </c>
      <c r="I55" s="18">
        <v>1.5</v>
      </c>
      <c r="J55" s="18">
        <v>1.5</v>
      </c>
      <c r="K55" s="18">
        <v>1.5</v>
      </c>
      <c r="L55" s="18">
        <v>1.5</v>
      </c>
      <c r="M55" s="18">
        <v>1.5</v>
      </c>
      <c r="N55" s="18">
        <v>1.5</v>
      </c>
      <c r="O55" s="18">
        <v>1.5</v>
      </c>
      <c r="P55" s="18">
        <v>1.5</v>
      </c>
      <c r="Q55" s="18">
        <v>1.5</v>
      </c>
      <c r="R55" s="18">
        <v>1.5</v>
      </c>
      <c r="S55" s="18">
        <v>1.5</v>
      </c>
      <c r="T55" s="4"/>
    </row>
    <row r="56" spans="1:20" x14ac:dyDescent="0.35">
      <c r="A56" s="40" t="s">
        <v>142</v>
      </c>
      <c r="B56" s="15" t="s">
        <v>74</v>
      </c>
      <c r="C56" s="15" t="str">
        <f>VLOOKUP(B56,Mapping!A:B,2,0)</f>
        <v>Leadership</v>
      </c>
      <c r="D56" s="15" t="str">
        <f>VLOOKUP(B56,Mapping!A:C,3,0)</f>
        <v>West</v>
      </c>
      <c r="E56" s="16" t="str">
        <f>VLOOKUP(B56,Mapping!A:D,4,0)</f>
        <v>West 1</v>
      </c>
      <c r="F56" s="16" t="str">
        <f>VLOOKUP(B56,Mapping!A:E,5,0)</f>
        <v>Anjli</v>
      </c>
      <c r="G56" s="16" t="str">
        <f>VLOOKUP(B56,Mapping!A:F,6,0)</f>
        <v>Parul</v>
      </c>
      <c r="H56" s="18">
        <v>1.5</v>
      </c>
      <c r="I56" s="18">
        <v>1.5</v>
      </c>
      <c r="J56" s="18">
        <v>1.5</v>
      </c>
      <c r="K56" s="18">
        <v>1.5</v>
      </c>
      <c r="L56" s="18">
        <v>1.5</v>
      </c>
      <c r="M56" s="18">
        <v>1.5</v>
      </c>
      <c r="N56" s="18">
        <v>1.5</v>
      </c>
      <c r="O56" s="18">
        <v>1.5</v>
      </c>
      <c r="P56" s="18">
        <v>1.5</v>
      </c>
      <c r="Q56" s="18">
        <v>1.5</v>
      </c>
      <c r="R56" s="18">
        <v>1.5</v>
      </c>
      <c r="S56" s="18">
        <v>1.5</v>
      </c>
      <c r="T56" s="4"/>
    </row>
    <row r="57" spans="1:20" x14ac:dyDescent="0.35">
      <c r="A57" s="40" t="s">
        <v>142</v>
      </c>
      <c r="B57" s="15" t="s">
        <v>75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8">
        <v>1.5</v>
      </c>
      <c r="I57" s="18">
        <v>1.5</v>
      </c>
      <c r="J57" s="18">
        <v>1.5</v>
      </c>
      <c r="K57" s="18">
        <v>1.5</v>
      </c>
      <c r="L57" s="18">
        <v>1.5</v>
      </c>
      <c r="M57" s="18">
        <v>1.5</v>
      </c>
      <c r="N57" s="18">
        <v>1.5</v>
      </c>
      <c r="O57" s="18">
        <v>1.5</v>
      </c>
      <c r="P57" s="18">
        <v>1.5</v>
      </c>
      <c r="Q57" s="18">
        <v>1.5</v>
      </c>
      <c r="R57" s="18">
        <v>1.5</v>
      </c>
      <c r="S57" s="18">
        <v>1.5</v>
      </c>
      <c r="T57" s="4"/>
    </row>
    <row r="58" spans="1:20" x14ac:dyDescent="0.35">
      <c r="A58" s="40" t="s">
        <v>142</v>
      </c>
      <c r="B58" s="15" t="s">
        <v>76</v>
      </c>
      <c r="C58" s="15" t="str">
        <f>VLOOKUP(B58,Mapping!A:B,2,0)</f>
        <v>Leadership</v>
      </c>
      <c r="D58" s="15" t="str">
        <f>VLOOKUP(B58,Mapping!A:C,3,0)</f>
        <v>South</v>
      </c>
      <c r="E58" s="16" t="str">
        <f>VLOOKUP(B58,Mapping!A:D,4,0)</f>
        <v>South 2</v>
      </c>
      <c r="F58" s="16" t="str">
        <f>VLOOKUP(B58,Mapping!A:E,5,0)</f>
        <v>Sulabh</v>
      </c>
      <c r="G58" s="16" t="str">
        <f>VLOOKUP(B58,Mapping!A:F,6,0)</f>
        <v>Parul</v>
      </c>
      <c r="H58" s="18">
        <v>1.5</v>
      </c>
      <c r="I58" s="18">
        <v>1.5</v>
      </c>
      <c r="J58" s="18">
        <v>1.5</v>
      </c>
      <c r="K58" s="18">
        <v>1.5</v>
      </c>
      <c r="L58" s="18">
        <v>1.5</v>
      </c>
      <c r="M58" s="18">
        <v>1.5</v>
      </c>
      <c r="N58" s="18">
        <v>1.5</v>
      </c>
      <c r="O58" s="18">
        <v>1.5</v>
      </c>
      <c r="P58" s="18">
        <v>1.5</v>
      </c>
      <c r="Q58" s="18">
        <v>1.5</v>
      </c>
      <c r="R58" s="18">
        <v>1.5</v>
      </c>
      <c r="S58" s="18">
        <v>1.5</v>
      </c>
      <c r="T58" s="4"/>
    </row>
    <row r="59" spans="1:20" x14ac:dyDescent="0.35">
      <c r="A59" s="40" t="s">
        <v>142</v>
      </c>
      <c r="B59" s="15" t="s">
        <v>77</v>
      </c>
      <c r="C59" s="15" t="str">
        <f>VLOOKUP(B59,Mapping!A:B,2,0)</f>
        <v>Leadership</v>
      </c>
      <c r="D59" s="15" t="str">
        <f>VLOOKUP(B59,Mapping!A:C,3,0)</f>
        <v>North</v>
      </c>
      <c r="E59" s="16" t="str">
        <f>VLOOKUP(B59,Mapping!A:D,4,0)</f>
        <v>North</v>
      </c>
      <c r="F59" s="16" t="str">
        <f>VLOOKUP(B59,Mapping!A:E,5,0)</f>
        <v>Anjli</v>
      </c>
      <c r="G59" s="16" t="str">
        <f>VLOOKUP(B59,Mapping!A:F,6,0)</f>
        <v>Parul</v>
      </c>
      <c r="H59" s="18">
        <v>1.5</v>
      </c>
      <c r="I59" s="18">
        <v>1.5</v>
      </c>
      <c r="J59" s="18">
        <v>1.5</v>
      </c>
      <c r="K59" s="18">
        <v>1.5</v>
      </c>
      <c r="L59" s="18">
        <v>1.5</v>
      </c>
      <c r="M59" s="18">
        <v>1.5</v>
      </c>
      <c r="N59" s="18">
        <v>1.5</v>
      </c>
      <c r="O59" s="18">
        <v>1.5</v>
      </c>
      <c r="P59" s="18">
        <v>1.5</v>
      </c>
      <c r="Q59" s="18">
        <v>1.5</v>
      </c>
      <c r="R59" s="18">
        <v>1.5</v>
      </c>
      <c r="S59" s="18">
        <v>1.5</v>
      </c>
      <c r="T59" s="4"/>
    </row>
    <row r="60" spans="1:20" x14ac:dyDescent="0.35">
      <c r="A60" s="40" t="s">
        <v>142</v>
      </c>
      <c r="B60" s="15" t="s">
        <v>78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1</v>
      </c>
      <c r="F60" s="16" t="str">
        <f>VLOOKUP(B60,Mapping!A:E,5,0)</f>
        <v>Anjli</v>
      </c>
      <c r="G60" s="16" t="str">
        <f>VLOOKUP(B60,Mapping!A:F,6,0)</f>
        <v>Parul</v>
      </c>
      <c r="H60" s="18">
        <v>1.5</v>
      </c>
      <c r="I60" s="18">
        <v>1.5</v>
      </c>
      <c r="J60" s="18">
        <v>1.5</v>
      </c>
      <c r="K60" s="18">
        <v>1.5</v>
      </c>
      <c r="L60" s="18">
        <v>1.5</v>
      </c>
      <c r="M60" s="18">
        <v>1.5</v>
      </c>
      <c r="N60" s="18">
        <v>1.5</v>
      </c>
      <c r="O60" s="18">
        <v>1.5</v>
      </c>
      <c r="P60" s="18">
        <v>1.5</v>
      </c>
      <c r="Q60" s="18">
        <v>1.5</v>
      </c>
      <c r="R60" s="18">
        <v>1.5</v>
      </c>
      <c r="S60" s="18">
        <v>1.5</v>
      </c>
      <c r="T60" s="4"/>
    </row>
    <row r="61" spans="1:20" x14ac:dyDescent="0.35">
      <c r="A61" s="40" t="s">
        <v>142</v>
      </c>
      <c r="B61" s="15" t="s">
        <v>79</v>
      </c>
      <c r="C61" s="15" t="str">
        <f>VLOOKUP(B61,Mapping!A:B,2,0)</f>
        <v>Leadership</v>
      </c>
      <c r="D61" s="15" t="str">
        <f>VLOOKUP(B61,Mapping!A:C,3,0)</f>
        <v>West</v>
      </c>
      <c r="E61" s="16" t="str">
        <f>VLOOKUP(B61,Mapping!A:D,4,0)</f>
        <v>West 2</v>
      </c>
      <c r="F61" s="16" t="str">
        <f>VLOOKUP(B61,Mapping!A:E,5,0)</f>
        <v>Anjli</v>
      </c>
      <c r="G61" s="16" t="str">
        <f>VLOOKUP(B61,Mapping!A:F,6,0)</f>
        <v>Parul</v>
      </c>
      <c r="H61" s="18">
        <v>1.5</v>
      </c>
      <c r="I61" s="18">
        <v>1.5</v>
      </c>
      <c r="J61" s="18">
        <v>1.5</v>
      </c>
      <c r="K61" s="18">
        <v>1.5</v>
      </c>
      <c r="L61" s="18">
        <v>1.5</v>
      </c>
      <c r="M61" s="18">
        <v>1.5</v>
      </c>
      <c r="N61" s="18">
        <v>1.5</v>
      </c>
      <c r="O61" s="18">
        <v>1.5</v>
      </c>
      <c r="P61" s="18">
        <v>1.5</v>
      </c>
      <c r="Q61" s="18">
        <v>1.5</v>
      </c>
      <c r="R61" s="18">
        <v>1.5</v>
      </c>
      <c r="S61" s="18">
        <v>1.5</v>
      </c>
      <c r="T61" s="4"/>
    </row>
    <row r="62" spans="1:20" x14ac:dyDescent="0.35">
      <c r="A62" s="40" t="s">
        <v>142</v>
      </c>
      <c r="B62" s="15" t="s">
        <v>80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8">
        <v>1.5</v>
      </c>
      <c r="I62" s="18">
        <v>1.5</v>
      </c>
      <c r="J62" s="18">
        <v>1.5</v>
      </c>
      <c r="K62" s="18">
        <v>1.5</v>
      </c>
      <c r="L62" s="18">
        <v>1.5</v>
      </c>
      <c r="M62" s="18">
        <v>1.5</v>
      </c>
      <c r="N62" s="18">
        <v>1.5</v>
      </c>
      <c r="O62" s="18">
        <v>1.5</v>
      </c>
      <c r="P62" s="18">
        <v>1.5</v>
      </c>
      <c r="Q62" s="18">
        <v>1.5</v>
      </c>
      <c r="R62" s="18">
        <v>1.5</v>
      </c>
      <c r="S62" s="18">
        <v>1.5</v>
      </c>
      <c r="T62" s="4"/>
    </row>
    <row r="63" spans="1:20" x14ac:dyDescent="0.35">
      <c r="A63" s="40" t="s">
        <v>142</v>
      </c>
      <c r="B63" s="15" t="s">
        <v>81</v>
      </c>
      <c r="C63" s="15" t="str">
        <f>VLOOKUP(B63,Mapping!A:B,2,0)</f>
        <v>Leadership</v>
      </c>
      <c r="D63" s="15" t="str">
        <f>VLOOKUP(B63,Mapping!A:C,3,0)</f>
        <v>North</v>
      </c>
      <c r="E63" s="16" t="str">
        <f>VLOOKUP(B63,Mapping!A:D,4,0)</f>
        <v>North</v>
      </c>
      <c r="F63" s="16" t="str">
        <f>VLOOKUP(B63,Mapping!A:E,5,0)</f>
        <v>Anjli</v>
      </c>
      <c r="G63" s="16" t="str">
        <f>VLOOKUP(B63,Mapping!A:F,6,0)</f>
        <v>Parul</v>
      </c>
      <c r="H63" s="18">
        <v>1.5</v>
      </c>
      <c r="I63" s="18">
        <v>1.5</v>
      </c>
      <c r="J63" s="18">
        <v>1.5</v>
      </c>
      <c r="K63" s="18">
        <v>1.5</v>
      </c>
      <c r="L63" s="18">
        <v>1.5</v>
      </c>
      <c r="M63" s="18">
        <v>1.5</v>
      </c>
      <c r="N63" s="18">
        <v>1.5</v>
      </c>
      <c r="O63" s="18">
        <v>1.5</v>
      </c>
      <c r="P63" s="18">
        <v>1.5</v>
      </c>
      <c r="Q63" s="18">
        <v>1.5</v>
      </c>
      <c r="R63" s="18">
        <v>1.5</v>
      </c>
      <c r="S63" s="18">
        <v>1.5</v>
      </c>
      <c r="T63" s="4"/>
    </row>
    <row r="64" spans="1:20" x14ac:dyDescent="0.35">
      <c r="A64" s="40" t="s">
        <v>142</v>
      </c>
      <c r="B64" s="15" t="s">
        <v>82</v>
      </c>
      <c r="C64" s="15" t="str">
        <f>VLOOKUP(B64,Mapping!A:B,2,0)</f>
        <v>Leadership</v>
      </c>
      <c r="D64" s="15" t="str">
        <f>VLOOKUP(B64,Mapping!A:C,3,0)</f>
        <v>West</v>
      </c>
      <c r="E64" s="16" t="str">
        <f>VLOOKUP(B64,Mapping!A:D,4,0)</f>
        <v>West 1</v>
      </c>
      <c r="F64" s="16" t="str">
        <f>VLOOKUP(B64,Mapping!A:E,5,0)</f>
        <v>Anjli</v>
      </c>
      <c r="G64" s="16" t="str">
        <f>VLOOKUP(B64,Mapping!A:F,6,0)</f>
        <v>Parul</v>
      </c>
      <c r="H64" s="18">
        <v>1.5</v>
      </c>
      <c r="I64" s="18">
        <v>1.5</v>
      </c>
      <c r="J64" s="18">
        <v>1.5</v>
      </c>
      <c r="K64" s="18">
        <v>1.5</v>
      </c>
      <c r="L64" s="18">
        <v>1.5</v>
      </c>
      <c r="M64" s="18">
        <v>1.5</v>
      </c>
      <c r="N64" s="18">
        <v>1.5</v>
      </c>
      <c r="O64" s="18">
        <v>1.5</v>
      </c>
      <c r="P64" s="18">
        <v>1.5</v>
      </c>
      <c r="Q64" s="18">
        <v>1.5</v>
      </c>
      <c r="R64" s="18">
        <v>1.5</v>
      </c>
      <c r="S64" s="18">
        <v>1.5</v>
      </c>
      <c r="T64" s="4"/>
    </row>
    <row r="65" spans="1:20" x14ac:dyDescent="0.35">
      <c r="A65" s="40" t="s">
        <v>142</v>
      </c>
      <c r="B65" s="15" t="s">
        <v>83</v>
      </c>
      <c r="C65" s="15" t="str">
        <f>VLOOKUP(B65,Mapping!A:B,2,0)</f>
        <v>Leadership</v>
      </c>
      <c r="D65" s="15" t="str">
        <f>VLOOKUP(B65,Mapping!A:C,3,0)</f>
        <v>North</v>
      </c>
      <c r="E65" s="16" t="str">
        <f>VLOOKUP(B65,Mapping!A:D,4,0)</f>
        <v>North</v>
      </c>
      <c r="F65" s="16" t="str">
        <f>VLOOKUP(B65,Mapping!A:E,5,0)</f>
        <v>Anjli</v>
      </c>
      <c r="G65" s="16" t="str">
        <f>VLOOKUP(B65,Mapping!A:F,6,0)</f>
        <v>Parul</v>
      </c>
      <c r="H65" s="18">
        <v>1.5</v>
      </c>
      <c r="I65" s="18">
        <v>1.5</v>
      </c>
      <c r="J65" s="18">
        <v>1.5</v>
      </c>
      <c r="K65" s="18">
        <v>1.5</v>
      </c>
      <c r="L65" s="18">
        <v>1.5</v>
      </c>
      <c r="M65" s="18">
        <v>1.5</v>
      </c>
      <c r="N65" s="18">
        <v>1.5</v>
      </c>
      <c r="O65" s="18">
        <v>1.5</v>
      </c>
      <c r="P65" s="18">
        <v>1.5</v>
      </c>
      <c r="Q65" s="18">
        <v>1.5</v>
      </c>
      <c r="R65" s="18">
        <v>1.5</v>
      </c>
      <c r="S65" s="18">
        <v>1.5</v>
      </c>
      <c r="T65" s="4"/>
    </row>
    <row r="66" spans="1:20" x14ac:dyDescent="0.35">
      <c r="A66" s="40" t="s">
        <v>142</v>
      </c>
      <c r="B66" s="15" t="s">
        <v>84</v>
      </c>
      <c r="C66" s="15" t="str">
        <f>VLOOKUP(B66,Mapping!A:B,2,0)</f>
        <v>Lateral</v>
      </c>
      <c r="D66" s="15" t="str">
        <f>VLOOKUP(B66,Mapping!A:C,3,0)</f>
        <v>South</v>
      </c>
      <c r="E66" s="16" t="str">
        <f>VLOOKUP(B66,Mapping!A:D,4,0)</f>
        <v>South 1</v>
      </c>
      <c r="F66" s="16" t="str">
        <f>VLOOKUP(B66,Mapping!A:E,5,0)</f>
        <v>Ashish</v>
      </c>
      <c r="G66" s="16" t="str">
        <f>VLOOKUP(B66,Mapping!A:F,6,0)</f>
        <v>Ashish</v>
      </c>
      <c r="H66" s="18">
        <v>1.5</v>
      </c>
      <c r="I66" s="18">
        <v>1.5</v>
      </c>
      <c r="J66" s="18">
        <v>1.5</v>
      </c>
      <c r="K66" s="18">
        <v>1.5</v>
      </c>
      <c r="L66" s="18">
        <v>1.5</v>
      </c>
      <c r="M66" s="18">
        <v>1.5</v>
      </c>
      <c r="N66" s="18">
        <v>1.5</v>
      </c>
      <c r="O66" s="18">
        <v>1.5</v>
      </c>
      <c r="P66" s="18">
        <v>1.5</v>
      </c>
      <c r="Q66" s="18">
        <v>1.5</v>
      </c>
      <c r="R66" s="18">
        <v>1.5</v>
      </c>
      <c r="S66" s="18">
        <v>1.5</v>
      </c>
      <c r="T66" s="4"/>
    </row>
    <row r="67" spans="1:20" x14ac:dyDescent="0.35">
      <c r="A67" s="40" t="s">
        <v>142</v>
      </c>
      <c r="B67" s="15" t="s">
        <v>86</v>
      </c>
      <c r="C67" s="15" t="str">
        <f>VLOOKUP(B67,Mapping!A:B,2,0)</f>
        <v>Lateral</v>
      </c>
      <c r="D67" s="15" t="str">
        <f>VLOOKUP(B67,Mapping!A:C,3,0)</f>
        <v>New Sales</v>
      </c>
      <c r="E67" s="16" t="str">
        <f>VLOOKUP(B67,Mapping!A:D,4,0)</f>
        <v>New Sales</v>
      </c>
      <c r="F67" s="16" t="str">
        <f>VLOOKUP(B67,Mapping!A:E,5,0)</f>
        <v>Nizar</v>
      </c>
      <c r="G67" s="16" t="str">
        <f>VLOOKUP(B67,Mapping!A:F,6,0)</f>
        <v>Nizar</v>
      </c>
      <c r="H67" s="18">
        <v>1.5</v>
      </c>
      <c r="I67" s="18">
        <v>1.5</v>
      </c>
      <c r="J67" s="18">
        <v>1.5</v>
      </c>
      <c r="K67" s="18">
        <v>1.5</v>
      </c>
      <c r="L67" s="18">
        <v>1.5</v>
      </c>
      <c r="M67" s="18">
        <v>1.5</v>
      </c>
      <c r="N67" s="18">
        <v>1.5</v>
      </c>
      <c r="O67" s="18">
        <v>1.5</v>
      </c>
      <c r="P67" s="18">
        <v>1.5</v>
      </c>
      <c r="Q67" s="18">
        <v>1.5</v>
      </c>
      <c r="R67" s="18">
        <v>1.5</v>
      </c>
      <c r="S67" s="18">
        <v>1.5</v>
      </c>
      <c r="T67" s="4"/>
    </row>
    <row r="68" spans="1:20" x14ac:dyDescent="0.35">
      <c r="A68" s="40" t="s">
        <v>142</v>
      </c>
      <c r="B68" s="15" t="s">
        <v>89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8">
        <v>1.5</v>
      </c>
      <c r="I68" s="18">
        <v>1.5</v>
      </c>
      <c r="J68" s="18">
        <v>1.5</v>
      </c>
      <c r="K68" s="18">
        <v>1.5</v>
      </c>
      <c r="L68" s="18">
        <v>1.5</v>
      </c>
      <c r="M68" s="18">
        <v>1.5</v>
      </c>
      <c r="N68" s="18">
        <v>1.5</v>
      </c>
      <c r="O68" s="18">
        <v>1.5</v>
      </c>
      <c r="P68" s="18">
        <v>1.5</v>
      </c>
      <c r="Q68" s="18">
        <v>1.5</v>
      </c>
      <c r="R68" s="18">
        <v>1.5</v>
      </c>
      <c r="S68" s="18">
        <v>1.5</v>
      </c>
      <c r="T68" s="4"/>
    </row>
    <row r="69" spans="1:20" x14ac:dyDescent="0.35">
      <c r="A69" s="40" t="s">
        <v>142</v>
      </c>
      <c r="B69" s="15" t="s">
        <v>91</v>
      </c>
      <c r="C69" s="15" t="str">
        <f>VLOOKUP(B69,Mapping!A:B,2,0)</f>
        <v>Lateral</v>
      </c>
      <c r="D69" s="15" t="str">
        <f>VLOOKUP(B69,Mapping!A:C,3,0)</f>
        <v>North</v>
      </c>
      <c r="E69" s="16" t="str">
        <f>VLOOKUP(B69,Mapping!A:D,4,0)</f>
        <v>North</v>
      </c>
      <c r="F69" s="16" t="str">
        <f>VLOOKUP(B69,Mapping!A:E,5,0)</f>
        <v>Anjli</v>
      </c>
      <c r="G69" s="16" t="str">
        <f>VLOOKUP(B69,Mapping!A:F,6,0)</f>
        <v>Archana</v>
      </c>
      <c r="H69" s="18">
        <v>1.5</v>
      </c>
      <c r="I69" s="18">
        <v>1.5</v>
      </c>
      <c r="J69" s="18">
        <v>1.5</v>
      </c>
      <c r="K69" s="18">
        <v>1.5</v>
      </c>
      <c r="L69" s="18">
        <v>1.5</v>
      </c>
      <c r="M69" s="18">
        <v>1.5</v>
      </c>
      <c r="N69" s="18">
        <v>1.5</v>
      </c>
      <c r="O69" s="18">
        <v>1.5</v>
      </c>
      <c r="P69" s="18">
        <v>1.5</v>
      </c>
      <c r="Q69" s="18">
        <v>1.5</v>
      </c>
      <c r="R69" s="18">
        <v>1.5</v>
      </c>
      <c r="S69" s="18">
        <v>1.5</v>
      </c>
      <c r="T69" s="4"/>
    </row>
    <row r="70" spans="1:20" x14ac:dyDescent="0.35">
      <c r="A70" s="40" t="s">
        <v>142</v>
      </c>
      <c r="B70" s="15" t="s">
        <v>92</v>
      </c>
      <c r="C70" s="15" t="e">
        <f>VLOOKUP(B70,Mapping!A:B,2,0)</f>
        <v>#N/A</v>
      </c>
      <c r="D70" s="15" t="e">
        <f>VLOOKUP(B70,Mapping!A:C,3,0)</f>
        <v>#N/A</v>
      </c>
      <c r="E70" s="16" t="e">
        <f>VLOOKUP(B70,Mapping!A:D,4,0)</f>
        <v>#N/A</v>
      </c>
      <c r="F70" s="16" t="e">
        <f>VLOOKUP(B70,Mapping!A:E,5,0)</f>
        <v>#N/A</v>
      </c>
      <c r="G70" s="16" t="e">
        <f>VLOOKUP(B70,Mapping!A:F,6,0)</f>
        <v>#N/A</v>
      </c>
      <c r="H70" s="18">
        <v>1.5</v>
      </c>
      <c r="I70" s="18">
        <v>1.5</v>
      </c>
      <c r="J70" s="18">
        <v>1.5</v>
      </c>
      <c r="K70" s="18">
        <v>1.5</v>
      </c>
      <c r="L70" s="18">
        <v>1.5</v>
      </c>
      <c r="M70" s="18">
        <v>1.5</v>
      </c>
      <c r="N70" s="18">
        <v>1.5</v>
      </c>
      <c r="O70" s="18">
        <v>1.5</v>
      </c>
      <c r="P70" s="18">
        <v>1.5</v>
      </c>
      <c r="Q70" s="18">
        <v>1.5</v>
      </c>
      <c r="R70" s="18">
        <v>1.5</v>
      </c>
      <c r="S70" s="18">
        <v>1.5</v>
      </c>
      <c r="T70" s="4"/>
    </row>
    <row r="71" spans="1:20" x14ac:dyDescent="0.35">
      <c r="A71" s="40" t="s">
        <v>142</v>
      </c>
      <c r="B71" s="15" t="s">
        <v>93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Geetu</v>
      </c>
      <c r="H71" s="18">
        <v>1.5</v>
      </c>
      <c r="I71" s="18">
        <v>1.5</v>
      </c>
      <c r="J71" s="18">
        <v>1.5</v>
      </c>
      <c r="K71" s="18">
        <v>1.5</v>
      </c>
      <c r="L71" s="18">
        <v>1.5</v>
      </c>
      <c r="M71" s="18">
        <v>1.5</v>
      </c>
      <c r="N71" s="18">
        <v>1.5</v>
      </c>
      <c r="O71" s="18">
        <v>1.5</v>
      </c>
      <c r="P71" s="18">
        <v>1.5</v>
      </c>
      <c r="Q71" s="18">
        <v>1.5</v>
      </c>
      <c r="R71" s="18">
        <v>1.5</v>
      </c>
      <c r="S71" s="18">
        <v>1.5</v>
      </c>
      <c r="T71" s="4"/>
    </row>
    <row r="72" spans="1:20" x14ac:dyDescent="0.35">
      <c r="A72" s="40" t="s">
        <v>142</v>
      </c>
      <c r="B72" s="15" t="s">
        <v>94</v>
      </c>
      <c r="C72" s="15" t="str">
        <f>VLOOKUP(B72,Mapping!A:B,2,0)</f>
        <v>Lateral</v>
      </c>
      <c r="D72" s="15" t="str">
        <f>VLOOKUP(B72,Mapping!A:C,3,0)</f>
        <v>West</v>
      </c>
      <c r="E72" s="16" t="str">
        <f>VLOOKUP(B72,Mapping!A:D,4,0)</f>
        <v>West 1</v>
      </c>
      <c r="F72" s="16" t="str">
        <f>VLOOKUP(B72,Mapping!A:E,5,0)</f>
        <v>Anjli</v>
      </c>
      <c r="G72" s="16" t="str">
        <f>VLOOKUP(B72,Mapping!A:F,6,0)</f>
        <v>Archana</v>
      </c>
      <c r="H72" s="18">
        <v>1.5</v>
      </c>
      <c r="I72" s="18">
        <v>1.5</v>
      </c>
      <c r="J72" s="18">
        <v>1.5</v>
      </c>
      <c r="K72" s="18">
        <v>1.5</v>
      </c>
      <c r="L72" s="18">
        <v>1.5</v>
      </c>
      <c r="M72" s="18">
        <v>1.5</v>
      </c>
      <c r="N72" s="18">
        <v>1.5</v>
      </c>
      <c r="O72" s="18">
        <v>1.5</v>
      </c>
      <c r="P72" s="18">
        <v>1.5</v>
      </c>
      <c r="Q72" s="18">
        <v>1.5</v>
      </c>
      <c r="R72" s="18">
        <v>1.5</v>
      </c>
      <c r="S72" s="18">
        <v>1.5</v>
      </c>
      <c r="T72" s="4"/>
    </row>
    <row r="73" spans="1:20" x14ac:dyDescent="0.35">
      <c r="A73" s="40" t="s">
        <v>142</v>
      </c>
      <c r="B73" s="15" t="s">
        <v>95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Lekhana</v>
      </c>
      <c r="H73" s="18">
        <v>1.5</v>
      </c>
      <c r="I73" s="18">
        <v>1.5</v>
      </c>
      <c r="J73" s="18">
        <v>1.5</v>
      </c>
      <c r="K73" s="18">
        <v>1.5</v>
      </c>
      <c r="L73" s="18">
        <v>1.5</v>
      </c>
      <c r="M73" s="18">
        <v>1.5</v>
      </c>
      <c r="N73" s="18">
        <v>1.5</v>
      </c>
      <c r="O73" s="18">
        <v>1.5</v>
      </c>
      <c r="P73" s="18">
        <v>1.5</v>
      </c>
      <c r="Q73" s="18">
        <v>1.5</v>
      </c>
      <c r="R73" s="18">
        <v>1.5</v>
      </c>
      <c r="S73" s="18">
        <v>1.5</v>
      </c>
      <c r="T73" s="4"/>
    </row>
    <row r="74" spans="1:20" x14ac:dyDescent="0.35">
      <c r="A74" s="40" t="s">
        <v>142</v>
      </c>
      <c r="B74" s="15" t="s">
        <v>97</v>
      </c>
      <c r="C74" s="15" t="str">
        <f>VLOOKUP(B74,Mapping!A:B,2,0)</f>
        <v>Lateral</v>
      </c>
      <c r="D74" s="15" t="str">
        <f>VLOOKUP(B74,Mapping!A:C,3,0)</f>
        <v>South</v>
      </c>
      <c r="E74" s="16" t="str">
        <f>VLOOKUP(B74,Mapping!A:D,4,0)</f>
        <v>South 2</v>
      </c>
      <c r="F74" s="16" t="str">
        <f>VLOOKUP(B74,Mapping!A:E,5,0)</f>
        <v>Sulabh</v>
      </c>
      <c r="G74" s="16" t="str">
        <f>VLOOKUP(B74,Mapping!A:F,6,0)</f>
        <v>Satya</v>
      </c>
      <c r="H74" s="18">
        <v>1.5</v>
      </c>
      <c r="I74" s="18">
        <v>1.5</v>
      </c>
      <c r="J74" s="18">
        <v>1.5</v>
      </c>
      <c r="K74" s="18">
        <v>1.5</v>
      </c>
      <c r="L74" s="18">
        <v>1.5</v>
      </c>
      <c r="M74" s="18">
        <v>1.5</v>
      </c>
      <c r="N74" s="18">
        <v>1.5</v>
      </c>
      <c r="O74" s="18">
        <v>1.5</v>
      </c>
      <c r="P74" s="18">
        <v>1.5</v>
      </c>
      <c r="Q74" s="18">
        <v>1.5</v>
      </c>
      <c r="R74" s="18">
        <v>1.5</v>
      </c>
      <c r="S74" s="18">
        <v>1.5</v>
      </c>
      <c r="T74" s="4"/>
    </row>
    <row r="75" spans="1:20" x14ac:dyDescent="0.35">
      <c r="A75" s="40" t="s">
        <v>142</v>
      </c>
      <c r="B75" s="15" t="s">
        <v>98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8">
        <v>1.5</v>
      </c>
      <c r="I75" s="18">
        <v>1.5</v>
      </c>
      <c r="J75" s="18">
        <v>1.5</v>
      </c>
      <c r="K75" s="18">
        <v>1.5</v>
      </c>
      <c r="L75" s="18">
        <v>1.5</v>
      </c>
      <c r="M75" s="18">
        <v>1.5</v>
      </c>
      <c r="N75" s="18">
        <v>1.5</v>
      </c>
      <c r="O75" s="18">
        <v>1.5</v>
      </c>
      <c r="P75" s="18">
        <v>1.5</v>
      </c>
      <c r="Q75" s="18">
        <v>1.5</v>
      </c>
      <c r="R75" s="18">
        <v>1.5</v>
      </c>
      <c r="S75" s="18">
        <v>1.5</v>
      </c>
      <c r="T75" s="4"/>
    </row>
    <row r="76" spans="1:20" x14ac:dyDescent="0.35">
      <c r="A76" s="40" t="s">
        <v>142</v>
      </c>
      <c r="B76" s="15" t="s">
        <v>99</v>
      </c>
      <c r="C76" s="15" t="e">
        <f>VLOOKUP(B76,Mapping!A:B,2,0)</f>
        <v>#N/A</v>
      </c>
      <c r="D76" s="15" t="e">
        <f>VLOOKUP(B76,Mapping!A:C,3,0)</f>
        <v>#N/A</v>
      </c>
      <c r="E76" s="16" t="e">
        <f>VLOOKUP(B76,Mapping!A:D,4,0)</f>
        <v>#N/A</v>
      </c>
      <c r="F76" s="16" t="e">
        <f>VLOOKUP(B76,Mapping!A:E,5,0)</f>
        <v>#N/A</v>
      </c>
      <c r="G76" s="16" t="e">
        <f>VLOOKUP(B76,Mapping!A:F,6,0)</f>
        <v>#N/A</v>
      </c>
      <c r="H76" s="18">
        <v>1.5</v>
      </c>
      <c r="I76" s="18">
        <v>1.5</v>
      </c>
      <c r="J76" s="18">
        <v>1.5</v>
      </c>
      <c r="K76" s="18">
        <v>1.5</v>
      </c>
      <c r="L76" s="18">
        <v>1.5</v>
      </c>
      <c r="M76" s="18">
        <v>1.5</v>
      </c>
      <c r="N76" s="18">
        <v>1.5</v>
      </c>
      <c r="O76" s="18">
        <v>1.5</v>
      </c>
      <c r="P76" s="18">
        <v>1.5</v>
      </c>
      <c r="Q76" s="18">
        <v>1.5</v>
      </c>
      <c r="R76" s="18">
        <v>1.5</v>
      </c>
      <c r="S76" s="18">
        <v>1.5</v>
      </c>
      <c r="T76" s="4"/>
    </row>
    <row r="77" spans="1:20" x14ac:dyDescent="0.35">
      <c r="A77" s="40" t="s">
        <v>142</v>
      </c>
      <c r="B77" s="15" t="s">
        <v>100</v>
      </c>
      <c r="C77" s="15" t="str">
        <f>VLOOKUP(B77,Mapping!A:B,2,0)</f>
        <v>Lateral</v>
      </c>
      <c r="D77" s="15" t="str">
        <f>VLOOKUP(B77,Mapping!A:C,3,0)</f>
        <v>West</v>
      </c>
      <c r="E77" s="16" t="str">
        <f>VLOOKUP(B77,Mapping!A:D,4,0)</f>
        <v>West 1</v>
      </c>
      <c r="F77" s="16" t="str">
        <f>VLOOKUP(B77,Mapping!A:E,5,0)</f>
        <v>Anjli</v>
      </c>
      <c r="G77" s="16" t="str">
        <f>VLOOKUP(B77,Mapping!A:F,6,0)</f>
        <v>Anjli</v>
      </c>
      <c r="H77" s="18">
        <v>1.5</v>
      </c>
      <c r="I77" s="18">
        <v>1.5</v>
      </c>
      <c r="J77" s="18">
        <v>1.5</v>
      </c>
      <c r="K77" s="18">
        <v>1.5</v>
      </c>
      <c r="L77" s="18">
        <v>1.5</v>
      </c>
      <c r="M77" s="18">
        <v>1.5</v>
      </c>
      <c r="N77" s="18">
        <v>1.5</v>
      </c>
      <c r="O77" s="18">
        <v>1.5</v>
      </c>
      <c r="P77" s="18">
        <v>1.5</v>
      </c>
      <c r="Q77" s="18">
        <v>1.5</v>
      </c>
      <c r="R77" s="18">
        <v>1.5</v>
      </c>
      <c r="S77" s="18">
        <v>1.5</v>
      </c>
      <c r="T77" s="4"/>
    </row>
  </sheetData>
  <conditionalFormatting sqref="A1:B1 I1:S1 E1:G1">
    <cfRule type="duplicateValues" dxfId="63" priority="1"/>
  </conditionalFormatting>
  <conditionalFormatting sqref="B52:B74 B2:B42">
    <cfRule type="duplicateValues" dxfId="62" priority="5"/>
  </conditionalFormatting>
  <conditionalFormatting sqref="B75:B77 B43:B51">
    <cfRule type="duplicateValues" dxfId="61" priority="6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2D3CB-1897-45F1-9525-83B14614EFE5}">
  <sheetPr codeName="Sheet5">
    <tabColor rgb="FFFFC000"/>
  </sheetPr>
  <dimension ref="A1:S76"/>
  <sheetViews>
    <sheetView topLeftCell="A56" workbookViewId="0">
      <selection activeCell="D74" sqref="D74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2.1796875" bestFit="1" customWidth="1"/>
    <col min="7" max="7" width="13.1796875" bestFit="1" customWidth="1"/>
    <col min="8" max="8" width="6.81640625" bestFit="1" customWidth="1"/>
    <col min="9" max="9" width="7.453125" bestFit="1" customWidth="1"/>
    <col min="10" max="10" width="6.7265625" bestFit="1" customWidth="1"/>
    <col min="11" max="11" width="6.1796875" bestFit="1" customWidth="1"/>
    <col min="12" max="12" width="7.1796875" bestFit="1" customWidth="1"/>
    <col min="13" max="13" width="7" bestFit="1" customWidth="1"/>
    <col min="14" max="14" width="6.7265625" bestFit="1" customWidth="1"/>
    <col min="15" max="15" width="7.26953125" bestFit="1" customWidth="1"/>
    <col min="16" max="16" width="7" bestFit="1" customWidth="1"/>
    <col min="17" max="17" width="6.54296875" bestFit="1" customWidth="1"/>
    <col min="18" max="18" width="7" bestFit="1" customWidth="1"/>
    <col min="19" max="19" width="7.1796875" bestFit="1" customWidth="1"/>
  </cols>
  <sheetData>
    <row r="1" spans="1:19" x14ac:dyDescent="0.35">
      <c r="A1" s="13" t="str">
        <f>Revenue_Budget!A2</f>
        <v>FY</v>
      </c>
      <c r="B1" s="13" t="str">
        <f>Revenue_Budget!B2</f>
        <v>Project</v>
      </c>
      <c r="C1" s="13" t="str">
        <f>Revenue_Budget!C2</f>
        <v>Vertical</v>
      </c>
      <c r="D1" s="13" t="str">
        <f>Revenue_Budget!D2</f>
        <v>Region</v>
      </c>
      <c r="E1" s="13" t="str">
        <f>Revenue_Budget!E2</f>
        <v>Sub Region</v>
      </c>
      <c r="F1" s="13" t="str">
        <f>Revenue_Budget!F2</f>
        <v>Region Head</v>
      </c>
      <c r="G1" s="13" t="str">
        <f>Revenue_Budget!G2</f>
        <v>Practice Head</v>
      </c>
      <c r="H1" s="14">
        <f>Revenue_Budget!H2</f>
        <v>46113</v>
      </c>
      <c r="I1" s="14">
        <f>Revenue_Budget!I2</f>
        <v>46143</v>
      </c>
      <c r="J1" s="14">
        <f>Revenue_Budget!J2</f>
        <v>46174</v>
      </c>
      <c r="K1" s="14">
        <f>Revenue_Budget!K2</f>
        <v>46204</v>
      </c>
      <c r="L1" s="14">
        <f>Revenue_Budget!L2</f>
        <v>46235</v>
      </c>
      <c r="M1" s="14">
        <f>Revenue_Budget!M2</f>
        <v>46266</v>
      </c>
      <c r="N1" s="14">
        <f>Revenue_Budget!N2</f>
        <v>46296</v>
      </c>
      <c r="O1" s="14">
        <f>Revenue_Budget!O2</f>
        <v>46327</v>
      </c>
      <c r="P1" s="14">
        <f>Revenue_Budget!P2</f>
        <v>46357</v>
      </c>
      <c r="Q1" s="14">
        <f>Revenue_Budget!Q2</f>
        <v>46388</v>
      </c>
      <c r="R1" s="14">
        <f>Revenue_Budget!R2</f>
        <v>46419</v>
      </c>
      <c r="S1" s="14">
        <f>Revenue_Budget!S2</f>
        <v>46447</v>
      </c>
    </row>
    <row r="2" spans="1:19" x14ac:dyDescent="0.35">
      <c r="A2" s="40" t="s">
        <v>142</v>
      </c>
      <c r="B2" s="15" t="s">
        <v>2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7">
        <f>IFERROR(Rev_Forecast!H3*45%,0)</f>
        <v>54</v>
      </c>
      <c r="I2" s="17">
        <f>IFERROR(Rev_Forecast!I3*45%,0)</f>
        <v>75.150000000000006</v>
      </c>
      <c r="J2" s="17">
        <f>IFERROR(Rev_Forecast!J3*45%,0)</f>
        <v>84.600000000000009</v>
      </c>
      <c r="K2" s="17">
        <f>IFERROR(Rev_Forecast!K3*45%,0)</f>
        <v>48.6</v>
      </c>
      <c r="L2" s="17">
        <f>IFERROR(Rev_Forecast!L3*45%,0)</f>
        <v>69.75</v>
      </c>
      <c r="M2" s="17">
        <f>IFERROR(Rev_Forecast!M3*45%,0)</f>
        <v>79.650000000000006</v>
      </c>
      <c r="N2" s="17">
        <f>IFERROR(Rev_Forecast!N3*45%,0)</f>
        <v>36.9</v>
      </c>
      <c r="O2" s="17">
        <f>IFERROR(Rev_Forecast!O3*45%,0)</f>
        <v>52.2</v>
      </c>
      <c r="P2" s="17">
        <f>IFERROR(Rev_Forecast!P3*45%,0)</f>
        <v>59.4</v>
      </c>
      <c r="Q2" s="17">
        <f>IFERROR(Rev_Forecast!Q3*45%,0)</f>
        <v>54</v>
      </c>
      <c r="R2" s="17">
        <f>IFERROR(Rev_Forecast!R3*45%,0)</f>
        <v>75.600000000000009</v>
      </c>
      <c r="S2" s="17">
        <f>IFERROR(Rev_Forecast!S3*45%,0)</f>
        <v>86.4</v>
      </c>
    </row>
    <row r="3" spans="1:19" x14ac:dyDescent="0.35">
      <c r="A3" s="40" t="s">
        <v>142</v>
      </c>
      <c r="B3" s="15" t="s">
        <v>4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7">
        <f>IFERROR(Rev_Forecast!H4*45%,0)</f>
        <v>4.1854844700000005</v>
      </c>
      <c r="I3" s="17">
        <f>IFERROR(Rev_Forecast!I4*45%,0)</f>
        <v>3.82437</v>
      </c>
      <c r="J3" s="17">
        <f>IFERROR(Rev_Forecast!J4*45%,0)</f>
        <v>2.4750000000000001</v>
      </c>
      <c r="K3" s="17">
        <f>IFERROR(Rev_Forecast!K4*45%,0)</f>
        <v>3.6</v>
      </c>
      <c r="L3" s="17">
        <f>IFERROR(Rev_Forecast!L4*45%,0)</f>
        <v>3.6</v>
      </c>
      <c r="M3" s="17">
        <f>IFERROR(Rev_Forecast!M4*45%,0)</f>
        <v>3.6</v>
      </c>
      <c r="N3" s="17">
        <f>IFERROR(Rev_Forecast!N4*45%,0)</f>
        <v>2.25</v>
      </c>
      <c r="O3" s="17">
        <f>IFERROR(Rev_Forecast!O4*45%,0)</f>
        <v>2.25</v>
      </c>
      <c r="P3" s="17">
        <f>IFERROR(Rev_Forecast!P4*45%,0)</f>
        <v>2.25</v>
      </c>
      <c r="Q3" s="17">
        <f>IFERROR(Rev_Forecast!Q4*45%,0)</f>
        <v>2.25</v>
      </c>
      <c r="R3" s="17">
        <f>IFERROR(Rev_Forecast!R4*45%,0)</f>
        <v>2.7</v>
      </c>
      <c r="S3" s="17">
        <f>IFERROR(Rev_Forecast!S4*45%,0)</f>
        <v>2.7</v>
      </c>
    </row>
    <row r="4" spans="1:19" x14ac:dyDescent="0.35">
      <c r="A4" s="40" t="s">
        <v>142</v>
      </c>
      <c r="B4" s="15" t="s">
        <v>8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7">
        <f>IFERROR(Rev_Forecast!H5*45%,0)</f>
        <v>0</v>
      </c>
      <c r="I4" s="17">
        <f>IFERROR(Rev_Forecast!I5*45%,0)</f>
        <v>0</v>
      </c>
      <c r="J4" s="17">
        <f>IFERROR(Rev_Forecast!J5*45%,0)</f>
        <v>0</v>
      </c>
      <c r="K4" s="17">
        <f>IFERROR(Rev_Forecast!K5*45%,0)</f>
        <v>0</v>
      </c>
      <c r="L4" s="17">
        <f>IFERROR(Rev_Forecast!L5*45%,0)</f>
        <v>0</v>
      </c>
      <c r="M4" s="17">
        <f>IFERROR(Rev_Forecast!M5*45%,0)</f>
        <v>0</v>
      </c>
      <c r="N4" s="17">
        <f>IFERROR(Rev_Forecast!N5*45%,0)</f>
        <v>0</v>
      </c>
      <c r="O4" s="17">
        <f>IFERROR(Rev_Forecast!O5*45%,0)</f>
        <v>0</v>
      </c>
      <c r="P4" s="17">
        <f>IFERROR(Rev_Forecast!P5*45%,0)</f>
        <v>0</v>
      </c>
      <c r="Q4" s="17">
        <f>IFERROR(Rev_Forecast!Q5*45%,0)</f>
        <v>0</v>
      </c>
      <c r="R4" s="17">
        <f>IFERROR(Rev_Forecast!R5*45%,0)</f>
        <v>0</v>
      </c>
      <c r="S4" s="17">
        <f>IFERROR(Rev_Forecast!S5*45%,0)</f>
        <v>0</v>
      </c>
    </row>
    <row r="5" spans="1:19" x14ac:dyDescent="0.35">
      <c r="A5" s="40" t="s">
        <v>142</v>
      </c>
      <c r="B5" s="15" t="s">
        <v>10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7">
        <f>IFERROR(Rev_Forecast!H6*45%,0)</f>
        <v>11.925000000000001</v>
      </c>
      <c r="I5" s="17">
        <f>IFERROR(Rev_Forecast!I6*45%,0)</f>
        <v>7.65</v>
      </c>
      <c r="J5" s="17">
        <f>IFERROR(Rev_Forecast!J6*45%,0)</f>
        <v>16.155000000000001</v>
      </c>
      <c r="K5" s="17">
        <f>IFERROR(Rev_Forecast!K6*45%,0)</f>
        <v>8.1</v>
      </c>
      <c r="L5" s="17">
        <f>IFERROR(Rev_Forecast!L6*45%,0)</f>
        <v>10.35</v>
      </c>
      <c r="M5" s="17">
        <f>IFERROR(Rev_Forecast!M6*45%,0)</f>
        <v>9.9</v>
      </c>
      <c r="N5" s="17">
        <f>IFERROR(Rev_Forecast!N6*45%,0)</f>
        <v>8.5500000000000007</v>
      </c>
      <c r="O5" s="17">
        <f>IFERROR(Rev_Forecast!O6*45%,0)</f>
        <v>9</v>
      </c>
      <c r="P5" s="17">
        <f>IFERROR(Rev_Forecast!P6*45%,0)</f>
        <v>8.1</v>
      </c>
      <c r="Q5" s="17">
        <f>IFERROR(Rev_Forecast!Q6*45%,0)</f>
        <v>7.65</v>
      </c>
      <c r="R5" s="17">
        <f>IFERROR(Rev_Forecast!R6*45%,0)</f>
        <v>6.75</v>
      </c>
      <c r="S5" s="17">
        <f>IFERROR(Rev_Forecast!S6*45%,0)</f>
        <v>6.3</v>
      </c>
    </row>
    <row r="6" spans="1:19" x14ac:dyDescent="0.35">
      <c r="A6" s="40" t="s">
        <v>142</v>
      </c>
      <c r="B6" s="15" t="s">
        <v>12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7">
        <f>IFERROR(Rev_Forecast!H7*45%,0)</f>
        <v>2.7533250000000002</v>
      </c>
      <c r="I6" s="17">
        <f>IFERROR(Rev_Forecast!I7*45%,0)</f>
        <v>2.7</v>
      </c>
      <c r="J6" s="17">
        <f>IFERROR(Rev_Forecast!J7*45%,0)</f>
        <v>3.15</v>
      </c>
      <c r="K6" s="17">
        <f>IFERROR(Rev_Forecast!K7*45%,0)</f>
        <v>2.8635000000000002</v>
      </c>
      <c r="L6" s="17">
        <f>IFERROR(Rev_Forecast!L7*45%,0)</f>
        <v>2.8635000000000002</v>
      </c>
      <c r="M6" s="17">
        <f>IFERROR(Rev_Forecast!M7*45%,0)</f>
        <v>2.8635000000000002</v>
      </c>
      <c r="N6" s="17">
        <f>IFERROR(Rev_Forecast!N7*45%,0)</f>
        <v>4.1399999999999997</v>
      </c>
      <c r="O6" s="17">
        <f>IFERROR(Rev_Forecast!O7*45%,0)</f>
        <v>4.8149999999999995</v>
      </c>
      <c r="P6" s="17">
        <f>IFERROR(Rev_Forecast!P7*45%,0)</f>
        <v>5.22</v>
      </c>
      <c r="Q6" s="17">
        <f>IFERROR(Rev_Forecast!Q7*45%,0)</f>
        <v>5.3550000000000004</v>
      </c>
      <c r="R6" s="17">
        <f>IFERROR(Rev_Forecast!R7*45%,0)</f>
        <v>5.3550000000000004</v>
      </c>
      <c r="S6" s="17">
        <f>IFERROR(Rev_Forecast!S7*45%,0)</f>
        <v>5.3550000000000004</v>
      </c>
    </row>
    <row r="7" spans="1:19" x14ac:dyDescent="0.35">
      <c r="A7" s="40" t="s">
        <v>142</v>
      </c>
      <c r="B7" s="15" t="s">
        <v>16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7">
        <f>IFERROR(Rev_Forecast!H9*45%,0)</f>
        <v>3.0735000000000001</v>
      </c>
      <c r="I7" s="17">
        <f>IFERROR(Rev_Forecast!I9*45%,0)</f>
        <v>4.0725000000000007</v>
      </c>
      <c r="J7" s="17">
        <f>IFERROR(Rev_Forecast!J9*45%,0)</f>
        <v>3.9375</v>
      </c>
      <c r="K7" s="17">
        <f>IFERROR(Rev_Forecast!K9*45%,0)</f>
        <v>6.8250000000000011</v>
      </c>
      <c r="L7" s="17">
        <f>IFERROR(Rev_Forecast!L9*45%,0)</f>
        <v>6.8250000000000011</v>
      </c>
      <c r="M7" s="17">
        <f>IFERROR(Rev_Forecast!M9*45%,0)</f>
        <v>6.8250000000000011</v>
      </c>
      <c r="N7" s="17">
        <f>IFERROR(Rev_Forecast!N9*45%,0)</f>
        <v>7.2</v>
      </c>
      <c r="O7" s="17">
        <f>IFERROR(Rev_Forecast!O9*45%,0)</f>
        <v>7.2</v>
      </c>
      <c r="P7" s="17">
        <f>IFERROR(Rev_Forecast!P9*45%,0)</f>
        <v>7.2</v>
      </c>
      <c r="Q7" s="17">
        <f>IFERROR(Rev_Forecast!Q9*45%,0)</f>
        <v>7.5749999999999993</v>
      </c>
      <c r="R7" s="17">
        <f>IFERROR(Rev_Forecast!R9*45%,0)</f>
        <v>7.5749999999999993</v>
      </c>
      <c r="S7" s="17">
        <f>IFERROR(Rev_Forecast!S9*45%,0)</f>
        <v>7.5749999999999993</v>
      </c>
    </row>
    <row r="8" spans="1:19" x14ac:dyDescent="0.35">
      <c r="A8" s="40" t="s">
        <v>142</v>
      </c>
      <c r="B8" s="15" t="s">
        <v>17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7">
        <f>IFERROR(Rev_Forecast!H10*45%,0)</f>
        <v>1.2275640000000001</v>
      </c>
      <c r="I8" s="17">
        <f>IFERROR(Rev_Forecast!I10*45%,0)</f>
        <v>1.44514494</v>
      </c>
      <c r="J8" s="17">
        <f>IFERROR(Rev_Forecast!J10*45%,0)</f>
        <v>1.94912307</v>
      </c>
      <c r="K8" s="17">
        <f>IFERROR(Rev_Forecast!K10*45%,0)</f>
        <v>1.8</v>
      </c>
      <c r="L8" s="17">
        <f>IFERROR(Rev_Forecast!L10*45%,0)</f>
        <v>1.8</v>
      </c>
      <c r="M8" s="17">
        <f>IFERROR(Rev_Forecast!M10*45%,0)</f>
        <v>1.8</v>
      </c>
      <c r="N8" s="17">
        <f>IFERROR(Rev_Forecast!N10*45%,0)</f>
        <v>2.0249999999999999</v>
      </c>
      <c r="O8" s="17">
        <f>IFERROR(Rev_Forecast!O10*45%,0)</f>
        <v>1.8</v>
      </c>
      <c r="P8" s="17">
        <f>IFERROR(Rev_Forecast!P10*45%,0)</f>
        <v>2.0249999999999999</v>
      </c>
      <c r="Q8" s="17">
        <f>IFERROR(Rev_Forecast!Q10*45%,0)</f>
        <v>2.0249999999999999</v>
      </c>
      <c r="R8" s="17">
        <f>IFERROR(Rev_Forecast!R10*45%,0)</f>
        <v>2.0249999999999999</v>
      </c>
      <c r="S8" s="17">
        <f>IFERROR(Rev_Forecast!S10*45%,0)</f>
        <v>1.8</v>
      </c>
    </row>
    <row r="9" spans="1:19" x14ac:dyDescent="0.35">
      <c r="A9" s="40" t="s">
        <v>142</v>
      </c>
      <c r="B9" s="15" t="s">
        <v>18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7">
        <f>IFERROR(Rev_Forecast!H11*45%,0)</f>
        <v>5.7554999999999996</v>
      </c>
      <c r="I9" s="17">
        <f>IFERROR(Rev_Forecast!I11*45%,0)</f>
        <v>5.9850000000000003</v>
      </c>
      <c r="J9" s="17">
        <f>IFERROR(Rev_Forecast!J11*45%,0)</f>
        <v>5.9850000000000003</v>
      </c>
      <c r="K9" s="17">
        <f>IFERROR(Rev_Forecast!K11*45%,0)</f>
        <v>7.08</v>
      </c>
      <c r="L9" s="17">
        <f>IFERROR(Rev_Forecast!L11*45%,0)</f>
        <v>7.08</v>
      </c>
      <c r="M9" s="17">
        <f>IFERROR(Rev_Forecast!M11*45%,0)</f>
        <v>7.08</v>
      </c>
      <c r="N9" s="17">
        <f>IFERROR(Rev_Forecast!N11*45%,0)</f>
        <v>7.4700000000000006</v>
      </c>
      <c r="O9" s="17">
        <f>IFERROR(Rev_Forecast!O11*45%,0)</f>
        <v>7.4700000000000006</v>
      </c>
      <c r="P9" s="17">
        <f>IFERROR(Rev_Forecast!P11*45%,0)</f>
        <v>7.4700000000000006</v>
      </c>
      <c r="Q9" s="17">
        <f>IFERROR(Rev_Forecast!Q11*45%,0)</f>
        <v>6.99</v>
      </c>
      <c r="R9" s="17">
        <f>IFERROR(Rev_Forecast!R11*45%,0)</f>
        <v>6.99</v>
      </c>
      <c r="S9" s="17">
        <f>IFERROR(Rev_Forecast!S11*45%,0)</f>
        <v>6.99</v>
      </c>
    </row>
    <row r="10" spans="1:19" x14ac:dyDescent="0.35">
      <c r="A10" s="40" t="s">
        <v>142</v>
      </c>
      <c r="B10" s="15" t="s">
        <v>20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7">
        <f>IFERROR(Rev_Forecast!H12*45%,0)</f>
        <v>0</v>
      </c>
      <c r="I10" s="17">
        <f>IFERROR(Rev_Forecast!I12*45%,0)</f>
        <v>0</v>
      </c>
      <c r="J10" s="17">
        <f>IFERROR(Rev_Forecast!J12*45%,0)</f>
        <v>0</v>
      </c>
      <c r="K10" s="17">
        <f>IFERROR(Rev_Forecast!K12*45%,0)</f>
        <v>0</v>
      </c>
      <c r="L10" s="17">
        <f>IFERROR(Rev_Forecast!L12*45%,0)</f>
        <v>0</v>
      </c>
      <c r="M10" s="17">
        <f>IFERROR(Rev_Forecast!M12*45%,0)</f>
        <v>0</v>
      </c>
      <c r="N10" s="17">
        <f>IFERROR(Rev_Forecast!N12*45%,0)</f>
        <v>0</v>
      </c>
      <c r="O10" s="17">
        <f>IFERROR(Rev_Forecast!O12*45%,0)</f>
        <v>0</v>
      </c>
      <c r="P10" s="17">
        <f>IFERROR(Rev_Forecast!P12*45%,0)</f>
        <v>0</v>
      </c>
      <c r="Q10" s="17">
        <f>IFERROR(Rev_Forecast!Q12*45%,0)</f>
        <v>0</v>
      </c>
      <c r="R10" s="17">
        <f>IFERROR(Rev_Forecast!R12*45%,0)</f>
        <v>0</v>
      </c>
      <c r="S10" s="17">
        <f>IFERROR(Rev_Forecast!S12*45%,0)</f>
        <v>0</v>
      </c>
    </row>
    <row r="11" spans="1:19" x14ac:dyDescent="0.35">
      <c r="A11" s="40" t="s">
        <v>142</v>
      </c>
      <c r="B11" s="15" t="s">
        <v>21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7">
        <f>IFERROR(Rev_Forecast!H13*45%,0)</f>
        <v>81.706130999999999</v>
      </c>
      <c r="I11" s="17">
        <f>IFERROR(Rev_Forecast!I13*45%,0)</f>
        <v>52.071934500000005</v>
      </c>
      <c r="J11" s="17">
        <f>IFERROR(Rev_Forecast!J13*45%,0)</f>
        <v>52.071934500000005</v>
      </c>
      <c r="K11" s="17">
        <f>IFERROR(Rev_Forecast!K13*45%,0)</f>
        <v>50.7</v>
      </c>
      <c r="L11" s="17">
        <f>IFERROR(Rev_Forecast!L13*45%,0)</f>
        <v>50.7</v>
      </c>
      <c r="M11" s="17">
        <f>IFERROR(Rev_Forecast!M13*45%,0)</f>
        <v>50.7</v>
      </c>
      <c r="N11" s="17">
        <f>IFERROR(Rev_Forecast!N13*45%,0)</f>
        <v>50.935689404999998</v>
      </c>
      <c r="O11" s="17">
        <f>IFERROR(Rev_Forecast!O13*45%,0)</f>
        <v>50.935689404999998</v>
      </c>
      <c r="P11" s="17">
        <f>IFERROR(Rev_Forecast!P13*45%,0)</f>
        <v>46.435689405000005</v>
      </c>
      <c r="Q11" s="17">
        <f>IFERROR(Rev_Forecast!Q13*45%,0)</f>
        <v>60.300715005000001</v>
      </c>
      <c r="R11" s="17">
        <f>IFERROR(Rev_Forecast!R13*45%,0)</f>
        <v>60.300715005000001</v>
      </c>
      <c r="S11" s="17">
        <f>IFERROR(Rev_Forecast!S13*45%,0)</f>
        <v>55.800715005000001</v>
      </c>
    </row>
    <row r="12" spans="1:19" x14ac:dyDescent="0.35">
      <c r="A12" s="40" t="s">
        <v>142</v>
      </c>
      <c r="B12" s="15" t="s">
        <v>23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7">
        <f>IFERROR(Rev_Forecast!H14*45%,0)</f>
        <v>1.7032500000000002</v>
      </c>
      <c r="I12" s="17">
        <f>IFERROR(Rev_Forecast!I14*45%,0)</f>
        <v>2.25</v>
      </c>
      <c r="J12" s="17">
        <f>IFERROR(Rev_Forecast!J14*45%,0)</f>
        <v>2.7</v>
      </c>
      <c r="K12" s="17">
        <f>IFERROR(Rev_Forecast!K14*45%,0)</f>
        <v>2.25</v>
      </c>
      <c r="L12" s="17">
        <f>IFERROR(Rev_Forecast!L14*45%,0)</f>
        <v>2.25</v>
      </c>
      <c r="M12" s="17">
        <f>IFERROR(Rev_Forecast!M14*45%,0)</f>
        <v>2.25</v>
      </c>
      <c r="N12" s="17">
        <f>IFERROR(Rev_Forecast!N14*45%,0)</f>
        <v>2.7</v>
      </c>
      <c r="O12" s="17">
        <f>IFERROR(Rev_Forecast!O14*45%,0)</f>
        <v>3.15</v>
      </c>
      <c r="P12" s="17">
        <f>IFERROR(Rev_Forecast!P14*45%,0)</f>
        <v>3.15</v>
      </c>
      <c r="Q12" s="17">
        <f>IFERROR(Rev_Forecast!Q14*45%,0)</f>
        <v>3.6</v>
      </c>
      <c r="R12" s="17">
        <f>IFERROR(Rev_Forecast!R14*45%,0)</f>
        <v>3.15</v>
      </c>
      <c r="S12" s="17">
        <f>IFERROR(Rev_Forecast!S14*45%,0)</f>
        <v>3.6</v>
      </c>
    </row>
    <row r="13" spans="1:19" x14ac:dyDescent="0.35">
      <c r="A13" s="40" t="s">
        <v>142</v>
      </c>
      <c r="B13" s="15" t="s">
        <v>25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7">
        <f>IFERROR(Rev_Forecast!H15*45%,0)</f>
        <v>0.40500000000000003</v>
      </c>
      <c r="I13" s="17">
        <f>IFERROR(Rev_Forecast!I15*45%,0)</f>
        <v>0</v>
      </c>
      <c r="J13" s="17">
        <f>IFERROR(Rev_Forecast!J15*45%,0)</f>
        <v>0</v>
      </c>
      <c r="K13" s="17">
        <f>IFERROR(Rev_Forecast!K15*45%,0)</f>
        <v>0</v>
      </c>
      <c r="L13" s="17">
        <f>IFERROR(Rev_Forecast!L15*45%,0)</f>
        <v>0</v>
      </c>
      <c r="M13" s="17">
        <f>IFERROR(Rev_Forecast!M15*45%,0)</f>
        <v>0</v>
      </c>
      <c r="N13" s="17">
        <f>IFERROR(Rev_Forecast!N15*45%,0)</f>
        <v>0</v>
      </c>
      <c r="O13" s="17">
        <f>IFERROR(Rev_Forecast!O15*45%,0)</f>
        <v>0</v>
      </c>
      <c r="P13" s="17">
        <f>IFERROR(Rev_Forecast!P15*45%,0)</f>
        <v>0</v>
      </c>
      <c r="Q13" s="17">
        <f>IFERROR(Rev_Forecast!Q15*45%,0)</f>
        <v>0</v>
      </c>
      <c r="R13" s="17">
        <f>IFERROR(Rev_Forecast!R15*45%,0)</f>
        <v>0</v>
      </c>
      <c r="S13" s="17">
        <f>IFERROR(Rev_Forecast!S15*45%,0)</f>
        <v>0</v>
      </c>
    </row>
    <row r="14" spans="1:19" x14ac:dyDescent="0.35">
      <c r="A14" s="40" t="s">
        <v>142</v>
      </c>
      <c r="B14" s="15" t="s">
        <v>26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7">
        <f>IFERROR(Rev_Forecast!H16*45%,0)</f>
        <v>2.0662604999999998</v>
      </c>
      <c r="I14" s="17">
        <f>IFERROR(Rev_Forecast!I16*45%,0)</f>
        <v>1.8</v>
      </c>
      <c r="J14" s="17">
        <f>IFERROR(Rev_Forecast!J16*45%,0)</f>
        <v>2.25</v>
      </c>
      <c r="K14" s="17">
        <f>IFERROR(Rev_Forecast!K16*45%,0)</f>
        <v>0.6</v>
      </c>
      <c r="L14" s="17">
        <f>IFERROR(Rev_Forecast!L16*45%,0)</f>
        <v>0.6</v>
      </c>
      <c r="M14" s="17">
        <f>IFERROR(Rev_Forecast!M16*45%,0)</f>
        <v>0.6</v>
      </c>
      <c r="N14" s="17">
        <f>IFERROR(Rev_Forecast!N16*45%,0)</f>
        <v>1.8</v>
      </c>
      <c r="O14" s="17">
        <f>IFERROR(Rev_Forecast!O16*45%,0)</f>
        <v>1.8</v>
      </c>
      <c r="P14" s="17">
        <f>IFERROR(Rev_Forecast!P16*45%,0)</f>
        <v>1.35</v>
      </c>
      <c r="Q14" s="17">
        <f>IFERROR(Rev_Forecast!Q16*45%,0)</f>
        <v>1.35</v>
      </c>
      <c r="R14" s="17">
        <f>IFERROR(Rev_Forecast!R16*45%,0)</f>
        <v>1.8</v>
      </c>
      <c r="S14" s="17">
        <f>IFERROR(Rev_Forecast!S16*45%,0)</f>
        <v>2.25</v>
      </c>
    </row>
    <row r="15" spans="1:19" x14ac:dyDescent="0.35">
      <c r="A15" s="40" t="s">
        <v>142</v>
      </c>
      <c r="B15" s="15" t="s">
        <v>28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7">
        <f>IFERROR(Rev_Forecast!H17*45%,0)</f>
        <v>53.823502035000004</v>
      </c>
      <c r="I15" s="17">
        <f>IFERROR(Rev_Forecast!I17*45%,0)</f>
        <v>54.45</v>
      </c>
      <c r="J15" s="17">
        <f>IFERROR(Rev_Forecast!J17*45%,0)</f>
        <v>63</v>
      </c>
      <c r="K15" s="17">
        <f>IFERROR(Rev_Forecast!K17*45%,0)</f>
        <v>49.5</v>
      </c>
      <c r="L15" s="17">
        <f>IFERROR(Rev_Forecast!L17*45%,0)</f>
        <v>49.5</v>
      </c>
      <c r="M15" s="17">
        <f>IFERROR(Rev_Forecast!M17*45%,0)</f>
        <v>49.5</v>
      </c>
      <c r="N15" s="17">
        <f>IFERROR(Rev_Forecast!N17*45%,0)</f>
        <v>54</v>
      </c>
      <c r="O15" s="17">
        <f>IFERROR(Rev_Forecast!O17*45%,0)</f>
        <v>54</v>
      </c>
      <c r="P15" s="17">
        <f>IFERROR(Rev_Forecast!P17*45%,0)</f>
        <v>54</v>
      </c>
      <c r="Q15" s="17">
        <f>IFERROR(Rev_Forecast!Q17*45%,0)</f>
        <v>58.5</v>
      </c>
      <c r="R15" s="17">
        <f>IFERROR(Rev_Forecast!R17*45%,0)</f>
        <v>58.5</v>
      </c>
      <c r="S15" s="17">
        <f>IFERROR(Rev_Forecast!S17*45%,0)</f>
        <v>58.5</v>
      </c>
    </row>
    <row r="16" spans="1:19" x14ac:dyDescent="0.35">
      <c r="A16" s="40" t="s">
        <v>142</v>
      </c>
      <c r="B16" s="15" t="s">
        <v>29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7">
        <f>IFERROR(Rev_Forecast!H18*45%,0)</f>
        <v>0</v>
      </c>
      <c r="I16" s="17">
        <f>IFERROR(Rev_Forecast!I18*45%,0)</f>
        <v>0</v>
      </c>
      <c r="J16" s="17">
        <f>IFERROR(Rev_Forecast!J18*45%,0)</f>
        <v>0</v>
      </c>
      <c r="K16" s="17">
        <f>IFERROR(Rev_Forecast!K18*45%,0)</f>
        <v>0</v>
      </c>
      <c r="L16" s="17">
        <f>IFERROR(Rev_Forecast!L18*45%,0)</f>
        <v>0</v>
      </c>
      <c r="M16" s="17">
        <f>IFERROR(Rev_Forecast!M18*45%,0)</f>
        <v>0</v>
      </c>
      <c r="N16" s="17">
        <f>IFERROR(Rev_Forecast!N18*45%,0)</f>
        <v>0</v>
      </c>
      <c r="O16" s="17">
        <f>IFERROR(Rev_Forecast!O18*45%,0)</f>
        <v>0</v>
      </c>
      <c r="P16" s="17">
        <f>IFERROR(Rev_Forecast!P18*45%,0)</f>
        <v>0</v>
      </c>
      <c r="Q16" s="17">
        <f>IFERROR(Rev_Forecast!Q18*45%,0)</f>
        <v>0</v>
      </c>
      <c r="R16" s="17">
        <f>IFERROR(Rev_Forecast!R18*45%,0)</f>
        <v>0</v>
      </c>
      <c r="S16" s="17">
        <f>IFERROR(Rev_Forecast!S18*45%,0)</f>
        <v>0</v>
      </c>
    </row>
    <row r="17" spans="1:19" x14ac:dyDescent="0.35">
      <c r="A17" s="40" t="s">
        <v>142</v>
      </c>
      <c r="B17" s="15" t="s">
        <v>30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7">
        <f>IFERROR(Rev_Forecast!H19*45%,0)</f>
        <v>17.994374999999998</v>
      </c>
      <c r="I17" s="17">
        <f>IFERROR(Rev_Forecast!I19*45%,0)</f>
        <v>10.35</v>
      </c>
      <c r="J17" s="17">
        <f>IFERROR(Rev_Forecast!J19*45%,0)</f>
        <v>10.35</v>
      </c>
      <c r="K17" s="17">
        <f>IFERROR(Rev_Forecast!K19*45%,0)</f>
        <v>10.35</v>
      </c>
      <c r="L17" s="17">
        <f>IFERROR(Rev_Forecast!L19*45%,0)</f>
        <v>10.35</v>
      </c>
      <c r="M17" s="17">
        <f>IFERROR(Rev_Forecast!M19*45%,0)</f>
        <v>10.35</v>
      </c>
      <c r="N17" s="17">
        <f>IFERROR(Rev_Forecast!N19*45%,0)</f>
        <v>18</v>
      </c>
      <c r="O17" s="17">
        <f>IFERROR(Rev_Forecast!O19*45%,0)</f>
        <v>13.5</v>
      </c>
      <c r="P17" s="17">
        <f>IFERROR(Rev_Forecast!P19*45%,0)</f>
        <v>13.5</v>
      </c>
      <c r="Q17" s="17">
        <f>IFERROR(Rev_Forecast!Q19*45%,0)</f>
        <v>27</v>
      </c>
      <c r="R17" s="17">
        <f>IFERROR(Rev_Forecast!R19*45%,0)</f>
        <v>27</v>
      </c>
      <c r="S17" s="17">
        <f>IFERROR(Rev_Forecast!S19*45%,0)</f>
        <v>13.5</v>
      </c>
    </row>
    <row r="18" spans="1:19" x14ac:dyDescent="0.35">
      <c r="A18" s="40" t="s">
        <v>142</v>
      </c>
      <c r="B18" s="15" t="s">
        <v>32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7">
        <f>IFERROR(Rev_Forecast!H20*45%,0)</f>
        <v>0</v>
      </c>
      <c r="I18" s="17">
        <f>IFERROR(Rev_Forecast!I20*45%,0)</f>
        <v>0</v>
      </c>
      <c r="J18" s="17">
        <f>IFERROR(Rev_Forecast!J20*45%,0)</f>
        <v>0</v>
      </c>
      <c r="K18" s="17">
        <f>IFERROR(Rev_Forecast!K20*45%,0)</f>
        <v>0</v>
      </c>
      <c r="L18" s="17">
        <f>IFERROR(Rev_Forecast!L20*45%,0)</f>
        <v>0</v>
      </c>
      <c r="M18" s="17">
        <f>IFERROR(Rev_Forecast!M20*45%,0)</f>
        <v>0</v>
      </c>
      <c r="N18" s="17">
        <f>IFERROR(Rev_Forecast!N20*45%,0)</f>
        <v>0</v>
      </c>
      <c r="O18" s="17">
        <f>IFERROR(Rev_Forecast!O20*45%,0)</f>
        <v>0</v>
      </c>
      <c r="P18" s="17">
        <f>IFERROR(Rev_Forecast!P20*45%,0)</f>
        <v>0</v>
      </c>
      <c r="Q18" s="17">
        <f>IFERROR(Rev_Forecast!Q20*45%,0)</f>
        <v>0</v>
      </c>
      <c r="R18" s="17">
        <f>IFERROR(Rev_Forecast!R20*45%,0)</f>
        <v>0</v>
      </c>
      <c r="S18" s="17">
        <f>IFERROR(Rev_Forecast!S20*45%,0)</f>
        <v>0</v>
      </c>
    </row>
    <row r="19" spans="1:19" x14ac:dyDescent="0.35">
      <c r="A19" s="40" t="s">
        <v>142</v>
      </c>
      <c r="B19" s="15" t="s">
        <v>33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7">
        <f>IFERROR(Rev_Forecast!H21*45%,0)</f>
        <v>3.1458600000000003</v>
      </c>
      <c r="I19" s="17">
        <f>IFERROR(Rev_Forecast!I21*45%,0)</f>
        <v>6.3360000000000012</v>
      </c>
      <c r="J19" s="17">
        <f>IFERROR(Rev_Forecast!J21*45%,0)</f>
        <v>2.8980000000000001</v>
      </c>
      <c r="K19" s="17">
        <f>IFERROR(Rev_Forecast!K21*45%,0)</f>
        <v>4.1797499999999994</v>
      </c>
      <c r="L19" s="17">
        <f>IFERROR(Rev_Forecast!L21*45%,0)</f>
        <v>4.1797499999999994</v>
      </c>
      <c r="M19" s="17">
        <f>IFERROR(Rev_Forecast!M21*45%,0)</f>
        <v>4.1797499999999994</v>
      </c>
      <c r="N19" s="17">
        <f>IFERROR(Rev_Forecast!N21*45%,0)</f>
        <v>3.8452500000000001</v>
      </c>
      <c r="O19" s="17">
        <f>IFERROR(Rev_Forecast!O21*45%,0)</f>
        <v>3.8452500000000001</v>
      </c>
      <c r="P19" s="17">
        <f>IFERROR(Rev_Forecast!P21*45%,0)</f>
        <v>3.8452500000000001</v>
      </c>
      <c r="Q19" s="17">
        <f>IFERROR(Rev_Forecast!Q21*45%,0)</f>
        <v>3.5565000000000002</v>
      </c>
      <c r="R19" s="17">
        <f>IFERROR(Rev_Forecast!R21*45%,0)</f>
        <v>3.5565000000000002</v>
      </c>
      <c r="S19" s="17">
        <f>IFERROR(Rev_Forecast!S21*45%,0)</f>
        <v>3.5565000000000002</v>
      </c>
    </row>
    <row r="20" spans="1:19" x14ac:dyDescent="0.35">
      <c r="A20" s="40" t="s">
        <v>142</v>
      </c>
      <c r="B20" s="15" t="s">
        <v>34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7">
        <f>IFERROR(Rev_Forecast!H22*45%,0)</f>
        <v>0</v>
      </c>
      <c r="I20" s="17">
        <f>IFERROR(Rev_Forecast!I22*45%,0)</f>
        <v>0</v>
      </c>
      <c r="J20" s="17">
        <f>IFERROR(Rev_Forecast!J22*45%,0)</f>
        <v>0</v>
      </c>
      <c r="K20" s="17">
        <f>IFERROR(Rev_Forecast!K22*45%,0)</f>
        <v>0</v>
      </c>
      <c r="L20" s="17">
        <f>IFERROR(Rev_Forecast!L22*45%,0)</f>
        <v>0</v>
      </c>
      <c r="M20" s="17">
        <f>IFERROR(Rev_Forecast!M22*45%,0)</f>
        <v>0</v>
      </c>
      <c r="N20" s="17">
        <f>IFERROR(Rev_Forecast!N22*45%,0)</f>
        <v>0</v>
      </c>
      <c r="O20" s="17">
        <f>IFERROR(Rev_Forecast!O22*45%,0)</f>
        <v>0</v>
      </c>
      <c r="P20" s="17">
        <f>IFERROR(Rev_Forecast!P22*45%,0)</f>
        <v>0</v>
      </c>
      <c r="Q20" s="17">
        <f>IFERROR(Rev_Forecast!Q22*45%,0)</f>
        <v>0</v>
      </c>
      <c r="R20" s="17">
        <f>IFERROR(Rev_Forecast!R22*45%,0)</f>
        <v>0</v>
      </c>
      <c r="S20" s="17">
        <f>IFERROR(Rev_Forecast!S22*45%,0)</f>
        <v>0</v>
      </c>
    </row>
    <row r="21" spans="1:19" x14ac:dyDescent="0.35">
      <c r="A21" s="40" t="s">
        <v>142</v>
      </c>
      <c r="B21" s="15" t="s">
        <v>35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7">
        <f>IFERROR(Rev_Forecast!H23*45%,0)</f>
        <v>11.8259235</v>
      </c>
      <c r="I21" s="17">
        <f>IFERROR(Rev_Forecast!I23*45%,0)</f>
        <v>12.996000000000002</v>
      </c>
      <c r="J21" s="17">
        <f>IFERROR(Rev_Forecast!J23*45%,0)</f>
        <v>23.796000000000003</v>
      </c>
      <c r="K21" s="17">
        <f>IFERROR(Rev_Forecast!K23*45%,0)</f>
        <v>13.5</v>
      </c>
      <c r="L21" s="17">
        <f>IFERROR(Rev_Forecast!L23*45%,0)</f>
        <v>13.5</v>
      </c>
      <c r="M21" s="17">
        <f>IFERROR(Rev_Forecast!M23*45%,0)</f>
        <v>13.5</v>
      </c>
      <c r="N21" s="17">
        <f>IFERROR(Rev_Forecast!N23*45%,0)</f>
        <v>13.5</v>
      </c>
      <c r="O21" s="17">
        <f>IFERROR(Rev_Forecast!O23*45%,0)</f>
        <v>13.5</v>
      </c>
      <c r="P21" s="17">
        <f>IFERROR(Rev_Forecast!P23*45%,0)</f>
        <v>13.5</v>
      </c>
      <c r="Q21" s="17">
        <f>IFERROR(Rev_Forecast!Q23*45%,0)</f>
        <v>13.5</v>
      </c>
      <c r="R21" s="17">
        <f>IFERROR(Rev_Forecast!R23*45%,0)</f>
        <v>13.5</v>
      </c>
      <c r="S21" s="17">
        <f>IFERROR(Rev_Forecast!S23*45%,0)</f>
        <v>13.5</v>
      </c>
    </row>
    <row r="22" spans="1:19" x14ac:dyDescent="0.35">
      <c r="A22" s="40" t="s">
        <v>142</v>
      </c>
      <c r="B22" s="15" t="s">
        <v>37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7">
        <f>IFERROR(Rev_Forecast!H24*45%,0)</f>
        <v>0.30800250000000001</v>
      </c>
      <c r="I22" s="17">
        <f>IFERROR(Rev_Forecast!I24*45%,0)</f>
        <v>0.45</v>
      </c>
      <c r="J22" s="17">
        <f>IFERROR(Rev_Forecast!J24*45%,0)</f>
        <v>0.45</v>
      </c>
      <c r="K22" s="17">
        <f>IFERROR(Rev_Forecast!K24*45%,0)</f>
        <v>0.375</v>
      </c>
      <c r="L22" s="17">
        <f>IFERROR(Rev_Forecast!L24*45%,0)</f>
        <v>0.375</v>
      </c>
      <c r="M22" s="17">
        <f>IFERROR(Rev_Forecast!M24*45%,0)</f>
        <v>0.375</v>
      </c>
      <c r="N22" s="17">
        <f>IFERROR(Rev_Forecast!N24*45%,0)</f>
        <v>0</v>
      </c>
      <c r="O22" s="17">
        <f>IFERROR(Rev_Forecast!O24*45%,0)</f>
        <v>0</v>
      </c>
      <c r="P22" s="17">
        <f>IFERROR(Rev_Forecast!P24*45%,0)</f>
        <v>0</v>
      </c>
      <c r="Q22" s="17">
        <f>IFERROR(Rev_Forecast!Q24*45%,0)</f>
        <v>0</v>
      </c>
      <c r="R22" s="17">
        <f>IFERROR(Rev_Forecast!R24*45%,0)</f>
        <v>0</v>
      </c>
      <c r="S22" s="17">
        <f>IFERROR(Rev_Forecast!S24*45%,0)</f>
        <v>0</v>
      </c>
    </row>
    <row r="23" spans="1:19" x14ac:dyDescent="0.35">
      <c r="A23" s="40" t="s">
        <v>142</v>
      </c>
      <c r="B23" s="15" t="s">
        <v>38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7">
        <f>IFERROR(Rev_Forecast!H25*45%,0)</f>
        <v>0.74275650000000004</v>
      </c>
      <c r="I23" s="17">
        <f>IFERROR(Rev_Forecast!I25*45%,0)</f>
        <v>1.08</v>
      </c>
      <c r="J23" s="17">
        <f>IFERROR(Rev_Forecast!J25*45%,0)</f>
        <v>2.1825000000000001</v>
      </c>
      <c r="K23" s="17">
        <f>IFERROR(Rev_Forecast!K25*45%,0)</f>
        <v>4.5</v>
      </c>
      <c r="L23" s="17">
        <f>IFERROR(Rev_Forecast!L25*45%,0)</f>
        <v>5.4</v>
      </c>
      <c r="M23" s="17">
        <f>IFERROR(Rev_Forecast!M25*45%,0)</f>
        <v>3.15</v>
      </c>
      <c r="N23" s="17">
        <f>IFERROR(Rev_Forecast!N25*45%,0)</f>
        <v>4.5</v>
      </c>
      <c r="O23" s="17">
        <f>IFERROR(Rev_Forecast!O25*45%,0)</f>
        <v>3.15</v>
      </c>
      <c r="P23" s="17">
        <f>IFERROR(Rev_Forecast!P25*45%,0)</f>
        <v>5.4</v>
      </c>
      <c r="Q23" s="17">
        <f>IFERROR(Rev_Forecast!Q25*45%,0)</f>
        <v>4.5</v>
      </c>
      <c r="R23" s="17">
        <f>IFERROR(Rev_Forecast!R25*45%,0)</f>
        <v>4.5</v>
      </c>
      <c r="S23" s="17">
        <f>IFERROR(Rev_Forecast!S25*45%,0)</f>
        <v>4.5</v>
      </c>
    </row>
    <row r="24" spans="1:19" x14ac:dyDescent="0.35">
      <c r="A24" s="40" t="s">
        <v>142</v>
      </c>
      <c r="B24" s="15" t="s">
        <v>39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7">
        <f>IFERROR(Rev_Forecast!H26*45%,0)</f>
        <v>0</v>
      </c>
      <c r="I24" s="17">
        <f>IFERROR(Rev_Forecast!I26*45%,0)</f>
        <v>0</v>
      </c>
      <c r="J24" s="17">
        <f>IFERROR(Rev_Forecast!J26*45%,0)</f>
        <v>0</v>
      </c>
      <c r="K24" s="17">
        <f>IFERROR(Rev_Forecast!K26*45%,0)</f>
        <v>0</v>
      </c>
      <c r="L24" s="17">
        <f>IFERROR(Rev_Forecast!L26*45%,0)</f>
        <v>0</v>
      </c>
      <c r="M24" s="17">
        <f>IFERROR(Rev_Forecast!M26*45%,0)</f>
        <v>0</v>
      </c>
      <c r="N24" s="17">
        <f>IFERROR(Rev_Forecast!N26*45%,0)</f>
        <v>0</v>
      </c>
      <c r="O24" s="17">
        <f>IFERROR(Rev_Forecast!O26*45%,0)</f>
        <v>0</v>
      </c>
      <c r="P24" s="17">
        <f>IFERROR(Rev_Forecast!P26*45%,0)</f>
        <v>0</v>
      </c>
      <c r="Q24" s="17">
        <f>IFERROR(Rev_Forecast!Q26*45%,0)</f>
        <v>0</v>
      </c>
      <c r="R24" s="17">
        <f>IFERROR(Rev_Forecast!R26*45%,0)</f>
        <v>0</v>
      </c>
      <c r="S24" s="17">
        <f>IFERROR(Rev_Forecast!S26*45%,0)</f>
        <v>0</v>
      </c>
    </row>
    <row r="25" spans="1:19" x14ac:dyDescent="0.35">
      <c r="A25" s="40" t="s">
        <v>142</v>
      </c>
      <c r="B25" s="15" t="s">
        <v>40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7">
        <f>IFERROR(Rev_Forecast!H27*45%,0)</f>
        <v>4.5070650000000008</v>
      </c>
      <c r="I25" s="17">
        <f>IFERROR(Rev_Forecast!I27*45%,0)</f>
        <v>4.8330000000000002</v>
      </c>
      <c r="J25" s="17">
        <f>IFERROR(Rev_Forecast!J27*45%,0)</f>
        <v>4.383</v>
      </c>
      <c r="K25" s="17">
        <f>IFERROR(Rev_Forecast!K27*45%,0)</f>
        <v>3.15</v>
      </c>
      <c r="L25" s="17">
        <f>IFERROR(Rev_Forecast!L27*45%,0)</f>
        <v>3.375</v>
      </c>
      <c r="M25" s="17">
        <f>IFERROR(Rev_Forecast!M27*45%,0)</f>
        <v>3.375</v>
      </c>
      <c r="N25" s="17">
        <f>IFERROR(Rev_Forecast!N27*45%,0)</f>
        <v>3.375</v>
      </c>
      <c r="O25" s="17">
        <f>IFERROR(Rev_Forecast!O27*45%,0)</f>
        <v>3.375</v>
      </c>
      <c r="P25" s="17">
        <f>IFERROR(Rev_Forecast!P27*45%,0)</f>
        <v>3.15</v>
      </c>
      <c r="Q25" s="17">
        <f>IFERROR(Rev_Forecast!Q27*45%,0)</f>
        <v>3.375</v>
      </c>
      <c r="R25" s="17">
        <f>IFERROR(Rev_Forecast!R27*45%,0)</f>
        <v>3.15</v>
      </c>
      <c r="S25" s="17">
        <f>IFERROR(Rev_Forecast!S27*45%,0)</f>
        <v>3.15</v>
      </c>
    </row>
    <row r="26" spans="1:19" x14ac:dyDescent="0.35">
      <c r="A26" s="40" t="s">
        <v>142</v>
      </c>
      <c r="B26" s="15" t="s">
        <v>41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7">
        <f>IFERROR(Rev_Forecast!H28*45%,0)</f>
        <v>10.900566</v>
      </c>
      <c r="I26" s="17">
        <f>IFERROR(Rev_Forecast!I28*45%,0)</f>
        <v>7.2</v>
      </c>
      <c r="J26" s="17">
        <f>IFERROR(Rev_Forecast!J28*45%,0)</f>
        <v>8.1</v>
      </c>
      <c r="K26" s="17">
        <f>IFERROR(Rev_Forecast!K28*45%,0)</f>
        <v>7.2</v>
      </c>
      <c r="L26" s="17">
        <f>IFERROR(Rev_Forecast!L28*45%,0)</f>
        <v>7.2</v>
      </c>
      <c r="M26" s="17">
        <f>IFERROR(Rev_Forecast!M28*45%,0)</f>
        <v>7.2</v>
      </c>
      <c r="N26" s="17">
        <f>IFERROR(Rev_Forecast!N28*45%,0)</f>
        <v>7.2</v>
      </c>
      <c r="O26" s="17">
        <f>IFERROR(Rev_Forecast!O28*45%,0)</f>
        <v>7.2</v>
      </c>
      <c r="P26" s="17">
        <f>IFERROR(Rev_Forecast!P28*45%,0)</f>
        <v>7.2</v>
      </c>
      <c r="Q26" s="17">
        <f>IFERROR(Rev_Forecast!Q28*45%,0)</f>
        <v>7.2</v>
      </c>
      <c r="R26" s="17">
        <f>IFERROR(Rev_Forecast!R28*45%,0)</f>
        <v>7.2</v>
      </c>
      <c r="S26" s="17">
        <f>IFERROR(Rev_Forecast!S28*45%,0)</f>
        <v>7.2</v>
      </c>
    </row>
    <row r="27" spans="1:19" x14ac:dyDescent="0.35">
      <c r="A27" s="40" t="s">
        <v>142</v>
      </c>
      <c r="B27" s="15" t="s">
        <v>42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7">
        <f>IFERROR(Rev_Forecast!H29*45%,0)</f>
        <v>4.6304999999999996</v>
      </c>
      <c r="I27" s="17">
        <f>IFERROR(Rev_Forecast!I29*45%,0)</f>
        <v>5.9850000000000003</v>
      </c>
      <c r="J27" s="17">
        <f>IFERROR(Rev_Forecast!J29*45%,0)</f>
        <v>4.5449999999999999</v>
      </c>
      <c r="K27" s="17">
        <f>IFERROR(Rev_Forecast!K29*45%,0)</f>
        <v>6.75</v>
      </c>
      <c r="L27" s="17">
        <f>IFERROR(Rev_Forecast!L29*45%,0)</f>
        <v>6.75</v>
      </c>
      <c r="M27" s="17">
        <f>IFERROR(Rev_Forecast!M29*45%,0)</f>
        <v>9</v>
      </c>
      <c r="N27" s="17">
        <f>IFERROR(Rev_Forecast!N29*45%,0)</f>
        <v>8.1</v>
      </c>
      <c r="O27" s="17">
        <f>IFERROR(Rev_Forecast!O29*45%,0)</f>
        <v>9</v>
      </c>
      <c r="P27" s="17">
        <f>IFERROR(Rev_Forecast!P29*45%,0)</f>
        <v>9</v>
      </c>
      <c r="Q27" s="17">
        <f>IFERROR(Rev_Forecast!Q29*45%,0)</f>
        <v>3.6</v>
      </c>
      <c r="R27" s="17">
        <f>IFERROR(Rev_Forecast!R29*45%,0)</f>
        <v>6.75</v>
      </c>
      <c r="S27" s="17">
        <f>IFERROR(Rev_Forecast!S29*45%,0)</f>
        <v>6.75</v>
      </c>
    </row>
    <row r="28" spans="1:19" x14ac:dyDescent="0.35">
      <c r="A28" s="40" t="s">
        <v>142</v>
      </c>
      <c r="B28" s="15" t="s">
        <v>43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7">
        <f>IFERROR(Rev_Forecast!H30*45%,0)</f>
        <v>2.4726195</v>
      </c>
      <c r="I28" s="17">
        <f>IFERROR(Rev_Forecast!I30*45%,0)</f>
        <v>2.9160000000000004</v>
      </c>
      <c r="J28" s="17">
        <f>IFERROR(Rev_Forecast!J30*45%,0)</f>
        <v>12.004200000000001</v>
      </c>
      <c r="K28" s="17">
        <f>IFERROR(Rev_Forecast!K30*45%,0)</f>
        <v>2.25</v>
      </c>
      <c r="L28" s="17">
        <f>IFERROR(Rev_Forecast!L30*45%,0)</f>
        <v>2.4750000000000001</v>
      </c>
      <c r="M28" s="17">
        <f>IFERROR(Rev_Forecast!M30*45%,0)</f>
        <v>2.4750000000000001</v>
      </c>
      <c r="N28" s="17">
        <f>IFERROR(Rev_Forecast!N30*45%,0)</f>
        <v>2.25</v>
      </c>
      <c r="O28" s="17">
        <f>IFERROR(Rev_Forecast!O30*45%,0)</f>
        <v>2.4750000000000001</v>
      </c>
      <c r="P28" s="17">
        <f>IFERROR(Rev_Forecast!P30*45%,0)</f>
        <v>2.4750000000000001</v>
      </c>
      <c r="Q28" s="17">
        <f>IFERROR(Rev_Forecast!Q30*45%,0)</f>
        <v>2.25</v>
      </c>
      <c r="R28" s="17">
        <f>IFERROR(Rev_Forecast!R30*45%,0)</f>
        <v>2.4750000000000001</v>
      </c>
      <c r="S28" s="17">
        <f>IFERROR(Rev_Forecast!S30*45%,0)</f>
        <v>2.4750000000000001</v>
      </c>
    </row>
    <row r="29" spans="1:19" x14ac:dyDescent="0.35">
      <c r="A29" s="40" t="s">
        <v>142</v>
      </c>
      <c r="B29" s="15" t="s">
        <v>44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7">
        <f>IFERROR(Rev_Forecast!H31*45%,0)</f>
        <v>11.925000000000001</v>
      </c>
      <c r="I29" s="17">
        <f>IFERROR(Rev_Forecast!I31*45%,0)</f>
        <v>14.85</v>
      </c>
      <c r="J29" s="17">
        <f>IFERROR(Rev_Forecast!J31*45%,0)</f>
        <v>10.8</v>
      </c>
      <c r="K29" s="17">
        <f>IFERROR(Rev_Forecast!K31*45%,0)</f>
        <v>18.900000000000002</v>
      </c>
      <c r="L29" s="17">
        <f>IFERROR(Rev_Forecast!L31*45%,0)</f>
        <v>19.350000000000001</v>
      </c>
      <c r="M29" s="17">
        <f>IFERROR(Rev_Forecast!M31*45%,0)</f>
        <v>18.900000000000002</v>
      </c>
      <c r="N29" s="17">
        <f>IFERROR(Rev_Forecast!N31*45%,0)</f>
        <v>19.350000000000001</v>
      </c>
      <c r="O29" s="17">
        <f>IFERROR(Rev_Forecast!O31*45%,0)</f>
        <v>20.25</v>
      </c>
      <c r="P29" s="17">
        <f>IFERROR(Rev_Forecast!P31*45%,0)</f>
        <v>20.25</v>
      </c>
      <c r="Q29" s="17">
        <f>IFERROR(Rev_Forecast!Q31*45%,0)</f>
        <v>18</v>
      </c>
      <c r="R29" s="17">
        <f>IFERROR(Rev_Forecast!R31*45%,0)</f>
        <v>18</v>
      </c>
      <c r="S29" s="17">
        <f>IFERROR(Rev_Forecast!S31*45%,0)</f>
        <v>18</v>
      </c>
    </row>
    <row r="30" spans="1:19" x14ac:dyDescent="0.35">
      <c r="A30" s="40" t="s">
        <v>142</v>
      </c>
      <c r="B30" s="15" t="s">
        <v>45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7">
        <f>IFERROR(Rev_Forecast!H32*45%,0)</f>
        <v>0</v>
      </c>
      <c r="I30" s="17">
        <f>IFERROR(Rev_Forecast!I32*45%,0)</f>
        <v>0</v>
      </c>
      <c r="J30" s="17">
        <f>IFERROR(Rev_Forecast!J32*45%,0)</f>
        <v>0</v>
      </c>
      <c r="K30" s="17">
        <f>IFERROR(Rev_Forecast!K32*45%,0)</f>
        <v>0</v>
      </c>
      <c r="L30" s="17">
        <f>IFERROR(Rev_Forecast!L32*45%,0)</f>
        <v>0</v>
      </c>
      <c r="M30" s="17">
        <f>IFERROR(Rev_Forecast!M32*45%,0)</f>
        <v>0</v>
      </c>
      <c r="N30" s="17">
        <f>IFERROR(Rev_Forecast!N32*45%,0)</f>
        <v>0</v>
      </c>
      <c r="O30" s="17">
        <f>IFERROR(Rev_Forecast!O32*45%,0)</f>
        <v>0</v>
      </c>
      <c r="P30" s="17">
        <f>IFERROR(Rev_Forecast!P32*45%,0)</f>
        <v>0</v>
      </c>
      <c r="Q30" s="17">
        <f>IFERROR(Rev_Forecast!Q32*45%,0)</f>
        <v>0</v>
      </c>
      <c r="R30" s="17">
        <f>IFERROR(Rev_Forecast!R32*45%,0)</f>
        <v>0</v>
      </c>
      <c r="S30" s="17">
        <f>IFERROR(Rev_Forecast!S32*45%,0)</f>
        <v>0</v>
      </c>
    </row>
    <row r="31" spans="1:19" x14ac:dyDescent="0.35">
      <c r="A31" s="40" t="s">
        <v>142</v>
      </c>
      <c r="B31" s="15" t="s">
        <v>46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7">
        <f>IFERROR(Rev_Forecast!H33*45%,0)</f>
        <v>13.860000000000001</v>
      </c>
      <c r="I31" s="17">
        <f>IFERROR(Rev_Forecast!I33*45%,0)</f>
        <v>13.846500000000001</v>
      </c>
      <c r="J31" s="17">
        <f>IFERROR(Rev_Forecast!J33*45%,0)</f>
        <v>9.6750000000000007</v>
      </c>
      <c r="K31" s="17">
        <f>IFERROR(Rev_Forecast!K33*45%,0)</f>
        <v>9.5084999999999997</v>
      </c>
      <c r="L31" s="17">
        <f>IFERROR(Rev_Forecast!L33*45%,0)</f>
        <v>9.5084999999999997</v>
      </c>
      <c r="M31" s="17">
        <f>IFERROR(Rev_Forecast!M33*45%,0)</f>
        <v>9.5084999999999997</v>
      </c>
      <c r="N31" s="17">
        <f>IFERROR(Rev_Forecast!N33*45%,0)</f>
        <v>8.8650000000000002</v>
      </c>
      <c r="O31" s="17">
        <f>IFERROR(Rev_Forecast!O33*45%,0)</f>
        <v>8.8650000000000002</v>
      </c>
      <c r="P31" s="17">
        <f>IFERROR(Rev_Forecast!P33*45%,0)</f>
        <v>8.8650000000000002</v>
      </c>
      <c r="Q31" s="17">
        <f>IFERROR(Rev_Forecast!Q33*45%,0)</f>
        <v>9.1125000000000007</v>
      </c>
      <c r="R31" s="17">
        <f>IFERROR(Rev_Forecast!R33*45%,0)</f>
        <v>9.1125000000000007</v>
      </c>
      <c r="S31" s="17">
        <f>IFERROR(Rev_Forecast!S33*45%,0)</f>
        <v>9.1125000000000007</v>
      </c>
    </row>
    <row r="32" spans="1:19" x14ac:dyDescent="0.35">
      <c r="A32" s="40" t="s">
        <v>142</v>
      </c>
      <c r="B32" s="15" t="s">
        <v>47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7">
        <f>IFERROR(Rev_Forecast!H34*45%,0)</f>
        <v>0</v>
      </c>
      <c r="I32" s="17">
        <f>IFERROR(Rev_Forecast!I34*45%,0)</f>
        <v>0</v>
      </c>
      <c r="J32" s="17">
        <f>IFERROR(Rev_Forecast!J34*45%,0)</f>
        <v>0</v>
      </c>
      <c r="K32" s="17">
        <f>IFERROR(Rev_Forecast!K34*45%,0)</f>
        <v>0.45</v>
      </c>
      <c r="L32" s="17">
        <f>IFERROR(Rev_Forecast!L34*45%,0)</f>
        <v>0.67500000000000004</v>
      </c>
      <c r="M32" s="17">
        <f>IFERROR(Rev_Forecast!M34*45%,0)</f>
        <v>0.45</v>
      </c>
      <c r="N32" s="17">
        <f>IFERROR(Rev_Forecast!N34*45%,0)</f>
        <v>0.45</v>
      </c>
      <c r="O32" s="17">
        <f>IFERROR(Rev_Forecast!O34*45%,0)</f>
        <v>0.45</v>
      </c>
      <c r="P32" s="17">
        <f>IFERROR(Rev_Forecast!P34*45%,0)</f>
        <v>0.67500000000000004</v>
      </c>
      <c r="Q32" s="17">
        <f>IFERROR(Rev_Forecast!Q34*45%,0)</f>
        <v>0.45</v>
      </c>
      <c r="R32" s="17">
        <f>IFERROR(Rev_Forecast!R34*45%,0)</f>
        <v>0.45</v>
      </c>
      <c r="S32" s="17">
        <f>IFERROR(Rev_Forecast!S34*45%,0)</f>
        <v>0.45</v>
      </c>
    </row>
    <row r="33" spans="1:19" x14ac:dyDescent="0.35">
      <c r="A33" s="40" t="s">
        <v>142</v>
      </c>
      <c r="B33" s="15" t="s">
        <v>48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7">
        <f>IFERROR(Rev_Forecast!H35*45%,0)</f>
        <v>0</v>
      </c>
      <c r="I33" s="17">
        <f>IFERROR(Rev_Forecast!I35*45%,0)</f>
        <v>1.4490000000000001</v>
      </c>
      <c r="J33" s="17">
        <f>IFERROR(Rev_Forecast!J35*45%,0)</f>
        <v>0</v>
      </c>
      <c r="K33" s="17">
        <f>IFERROR(Rev_Forecast!K35*45%,0)</f>
        <v>0</v>
      </c>
      <c r="L33" s="17">
        <f>IFERROR(Rev_Forecast!L35*45%,0)</f>
        <v>0</v>
      </c>
      <c r="M33" s="17">
        <f>IFERROR(Rev_Forecast!M35*45%,0)</f>
        <v>0</v>
      </c>
      <c r="N33" s="17">
        <f>IFERROR(Rev_Forecast!N35*45%,0)</f>
        <v>0</v>
      </c>
      <c r="O33" s="17">
        <f>IFERROR(Rev_Forecast!O35*45%,0)</f>
        <v>0</v>
      </c>
      <c r="P33" s="17">
        <f>IFERROR(Rev_Forecast!P35*45%,0)</f>
        <v>0</v>
      </c>
      <c r="Q33" s="17">
        <f>IFERROR(Rev_Forecast!Q35*45%,0)</f>
        <v>0</v>
      </c>
      <c r="R33" s="17">
        <f>IFERROR(Rev_Forecast!R35*45%,0)</f>
        <v>0</v>
      </c>
      <c r="S33" s="17">
        <f>IFERROR(Rev_Forecast!S35*45%,0)</f>
        <v>0</v>
      </c>
    </row>
    <row r="34" spans="1:19" x14ac:dyDescent="0.35">
      <c r="A34" s="40" t="s">
        <v>142</v>
      </c>
      <c r="B34" s="15" t="s">
        <v>49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7">
        <f>IFERROR(Rev_Forecast!H36*45%,0)</f>
        <v>0</v>
      </c>
      <c r="I34" s="17">
        <f>IFERROR(Rev_Forecast!I36*45%,0)</f>
        <v>0</v>
      </c>
      <c r="J34" s="17">
        <f>IFERROR(Rev_Forecast!J36*45%,0)</f>
        <v>0</v>
      </c>
      <c r="K34" s="17">
        <f>IFERROR(Rev_Forecast!K36*45%,0)</f>
        <v>0</v>
      </c>
      <c r="L34" s="17">
        <f>IFERROR(Rev_Forecast!L36*45%,0)</f>
        <v>0</v>
      </c>
      <c r="M34" s="17">
        <f>IFERROR(Rev_Forecast!M36*45%,0)</f>
        <v>0</v>
      </c>
      <c r="N34" s="17">
        <f>IFERROR(Rev_Forecast!N36*45%,0)</f>
        <v>0</v>
      </c>
      <c r="O34" s="17">
        <f>IFERROR(Rev_Forecast!O36*45%,0)</f>
        <v>0</v>
      </c>
      <c r="P34" s="17">
        <f>IFERROR(Rev_Forecast!P36*45%,0)</f>
        <v>0</v>
      </c>
      <c r="Q34" s="17">
        <f>IFERROR(Rev_Forecast!Q36*45%,0)</f>
        <v>0</v>
      </c>
      <c r="R34" s="17">
        <f>IFERROR(Rev_Forecast!R36*45%,0)</f>
        <v>0</v>
      </c>
      <c r="S34" s="17">
        <f>IFERROR(Rev_Forecast!S36*45%,0)</f>
        <v>0</v>
      </c>
    </row>
    <row r="35" spans="1:19" x14ac:dyDescent="0.35">
      <c r="A35" s="40" t="s">
        <v>142</v>
      </c>
      <c r="B35" s="15" t="s">
        <v>50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7">
        <f>IFERROR(Rev_Forecast!H37*45%,0)</f>
        <v>1.7145000000000001</v>
      </c>
      <c r="I35" s="17">
        <f>IFERROR(Rev_Forecast!I37*45%,0)</f>
        <v>1.2509999999999999</v>
      </c>
      <c r="J35" s="17">
        <f>IFERROR(Rev_Forecast!J37*45%,0)</f>
        <v>0.9</v>
      </c>
      <c r="K35" s="17">
        <f>IFERROR(Rev_Forecast!K37*45%,0)</f>
        <v>1.35</v>
      </c>
      <c r="L35" s="17">
        <f>IFERROR(Rev_Forecast!L37*45%,0)</f>
        <v>1.395</v>
      </c>
      <c r="M35" s="17">
        <f>IFERROR(Rev_Forecast!M37*45%,0)</f>
        <v>1.35</v>
      </c>
      <c r="N35" s="17">
        <f>IFERROR(Rev_Forecast!N37*45%,0)</f>
        <v>1.35</v>
      </c>
      <c r="O35" s="17">
        <f>IFERROR(Rev_Forecast!O37*45%,0)</f>
        <v>1.8</v>
      </c>
      <c r="P35" s="17">
        <f>IFERROR(Rev_Forecast!P37*45%,0)</f>
        <v>1.8</v>
      </c>
      <c r="Q35" s="17">
        <f>IFERROR(Rev_Forecast!Q37*45%,0)</f>
        <v>1.8</v>
      </c>
      <c r="R35" s="17">
        <f>IFERROR(Rev_Forecast!R37*45%,0)</f>
        <v>1.8900000000000001</v>
      </c>
      <c r="S35" s="17">
        <f>IFERROR(Rev_Forecast!S37*45%,0)</f>
        <v>1.8900000000000001</v>
      </c>
    </row>
    <row r="36" spans="1:19" x14ac:dyDescent="0.35">
      <c r="A36" s="40" t="s">
        <v>142</v>
      </c>
      <c r="B36" s="15" t="s">
        <v>51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7">
        <f>IFERROR(Rev_Forecast!H38*45%,0)</f>
        <v>1.6230487499999999</v>
      </c>
      <c r="I36" s="17">
        <f>IFERROR(Rev_Forecast!I38*45%,0)</f>
        <v>2.1419999999999999</v>
      </c>
      <c r="J36" s="17">
        <f>IFERROR(Rev_Forecast!J38*45%,0)</f>
        <v>1.575</v>
      </c>
      <c r="K36" s="17">
        <f>IFERROR(Rev_Forecast!K38*45%,0)</f>
        <v>3.7071000000000001</v>
      </c>
      <c r="L36" s="17">
        <f>IFERROR(Rev_Forecast!L38*45%,0)</f>
        <v>3.7071000000000001</v>
      </c>
      <c r="M36" s="17">
        <f>IFERROR(Rev_Forecast!M38*45%,0)</f>
        <v>3.7071000000000001</v>
      </c>
      <c r="N36" s="17">
        <f>IFERROR(Rev_Forecast!N38*45%,0)</f>
        <v>3.8670000000000004</v>
      </c>
      <c r="O36" s="17">
        <f>IFERROR(Rev_Forecast!O38*45%,0)</f>
        <v>3.8670000000000004</v>
      </c>
      <c r="P36" s="17">
        <f>IFERROR(Rev_Forecast!P38*45%,0)</f>
        <v>3.8670000000000004</v>
      </c>
      <c r="Q36" s="17">
        <f>IFERROR(Rev_Forecast!Q38*45%,0)</f>
        <v>3.9322500000000002</v>
      </c>
      <c r="R36" s="17">
        <f>IFERROR(Rev_Forecast!R38*45%,0)</f>
        <v>3.9322500000000002</v>
      </c>
      <c r="S36" s="17">
        <f>IFERROR(Rev_Forecast!S38*45%,0)</f>
        <v>3.9322500000000002</v>
      </c>
    </row>
    <row r="37" spans="1:19" x14ac:dyDescent="0.35">
      <c r="A37" s="40" t="s">
        <v>142</v>
      </c>
      <c r="B37" s="15" t="s">
        <v>52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7">
        <f>IFERROR(Rev_Forecast!H39*45%,0)</f>
        <v>2.1735000000000002</v>
      </c>
      <c r="I37" s="17">
        <f>IFERROR(Rev_Forecast!I39*45%,0)</f>
        <v>3.3041258999999998</v>
      </c>
      <c r="J37" s="17">
        <f>IFERROR(Rev_Forecast!J39*45%,0)</f>
        <v>2.4750000000000001</v>
      </c>
      <c r="K37" s="17">
        <f>IFERROR(Rev_Forecast!K39*45%,0)</f>
        <v>2.25</v>
      </c>
      <c r="L37" s="17">
        <f>IFERROR(Rev_Forecast!L39*45%,0)</f>
        <v>2.7</v>
      </c>
      <c r="M37" s="17">
        <f>IFERROR(Rev_Forecast!M39*45%,0)</f>
        <v>3.15</v>
      </c>
      <c r="N37" s="17">
        <f>IFERROR(Rev_Forecast!N39*45%,0)</f>
        <v>2.25</v>
      </c>
      <c r="O37" s="17">
        <f>IFERROR(Rev_Forecast!O39*45%,0)</f>
        <v>2.7</v>
      </c>
      <c r="P37" s="17">
        <f>IFERROR(Rev_Forecast!P39*45%,0)</f>
        <v>2.7</v>
      </c>
      <c r="Q37" s="17">
        <f>IFERROR(Rev_Forecast!Q39*45%,0)</f>
        <v>2.25</v>
      </c>
      <c r="R37" s="17">
        <f>IFERROR(Rev_Forecast!R39*45%,0)</f>
        <v>2.25</v>
      </c>
      <c r="S37" s="17">
        <f>IFERROR(Rev_Forecast!S39*45%,0)</f>
        <v>2.25</v>
      </c>
    </row>
    <row r="38" spans="1:19" x14ac:dyDescent="0.35">
      <c r="A38" s="40" t="s">
        <v>142</v>
      </c>
      <c r="B38" s="15" t="s">
        <v>53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7">
        <f>IFERROR(Rev_Forecast!H40*45%,0)</f>
        <v>16.735499999999998</v>
      </c>
      <c r="I38" s="17">
        <f>IFERROR(Rev_Forecast!I40*45%,0)</f>
        <v>12.2355</v>
      </c>
      <c r="J38" s="17">
        <f>IFERROR(Rev_Forecast!J40*45%,0)</f>
        <v>13.5</v>
      </c>
      <c r="K38" s="17">
        <f>IFERROR(Rev_Forecast!K40*45%,0)</f>
        <v>16.2</v>
      </c>
      <c r="L38" s="17">
        <f>IFERROR(Rev_Forecast!L40*45%,0)</f>
        <v>14.4</v>
      </c>
      <c r="M38" s="17">
        <f>IFERROR(Rev_Forecast!M40*45%,0)</f>
        <v>13.950000000000001</v>
      </c>
      <c r="N38" s="17">
        <f>IFERROR(Rev_Forecast!N40*45%,0)</f>
        <v>13.950000000000001</v>
      </c>
      <c r="O38" s="17">
        <f>IFERROR(Rev_Forecast!O40*45%,0)</f>
        <v>17.100000000000001</v>
      </c>
      <c r="P38" s="17">
        <f>IFERROR(Rev_Forecast!P40*45%,0)</f>
        <v>15.75</v>
      </c>
      <c r="Q38" s="17">
        <f>IFERROR(Rev_Forecast!Q40*45%,0)</f>
        <v>16.2</v>
      </c>
      <c r="R38" s="17">
        <f>IFERROR(Rev_Forecast!R40*45%,0)</f>
        <v>16.650000000000002</v>
      </c>
      <c r="S38" s="17">
        <f>IFERROR(Rev_Forecast!S40*45%,0)</f>
        <v>17.100000000000001</v>
      </c>
    </row>
    <row r="39" spans="1:19" x14ac:dyDescent="0.35">
      <c r="A39" s="40" t="s">
        <v>142</v>
      </c>
      <c r="B39" s="15" t="s">
        <v>55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7">
        <f>IFERROR(Rev_Forecast!H41*45%,0)</f>
        <v>5.4</v>
      </c>
      <c r="I39" s="17">
        <f>IFERROR(Rev_Forecast!I41*45%,0)</f>
        <v>8.1</v>
      </c>
      <c r="J39" s="17">
        <f>IFERROR(Rev_Forecast!J41*45%,0)</f>
        <v>10.98</v>
      </c>
      <c r="K39" s="17">
        <f>IFERROR(Rev_Forecast!K41*45%,0)</f>
        <v>9</v>
      </c>
      <c r="L39" s="17">
        <f>IFERROR(Rev_Forecast!L41*45%,0)</f>
        <v>9</v>
      </c>
      <c r="M39" s="17">
        <f>IFERROR(Rev_Forecast!M41*45%,0)</f>
        <v>9</v>
      </c>
      <c r="N39" s="17">
        <f>IFERROR(Rev_Forecast!N41*45%,0)</f>
        <v>7.65</v>
      </c>
      <c r="O39" s="17">
        <f>IFERROR(Rev_Forecast!O41*45%,0)</f>
        <v>9.4500000000000011</v>
      </c>
      <c r="P39" s="17">
        <f>IFERROR(Rev_Forecast!P41*45%,0)</f>
        <v>9.9</v>
      </c>
      <c r="Q39" s="17">
        <f>IFERROR(Rev_Forecast!Q41*45%,0)</f>
        <v>8.1</v>
      </c>
      <c r="R39" s="17">
        <f>IFERROR(Rev_Forecast!R41*45%,0)</f>
        <v>9</v>
      </c>
      <c r="S39" s="17">
        <f>IFERROR(Rev_Forecast!S41*45%,0)</f>
        <v>10.8</v>
      </c>
    </row>
    <row r="40" spans="1:19" x14ac:dyDescent="0.35">
      <c r="A40" s="40" t="s">
        <v>142</v>
      </c>
      <c r="B40" s="15" t="s">
        <v>56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7">
        <f>IFERROR(Rev_Forecast!H42*45%,0)</f>
        <v>1.6027246800000001</v>
      </c>
      <c r="I40" s="17">
        <f>IFERROR(Rev_Forecast!I42*45%,0)</f>
        <v>3.1680000000000001</v>
      </c>
      <c r="J40" s="17">
        <f>IFERROR(Rev_Forecast!J42*45%,0)</f>
        <v>4.05</v>
      </c>
      <c r="K40" s="17">
        <f>IFERROR(Rev_Forecast!K42*45%,0)</f>
        <v>2.25</v>
      </c>
      <c r="L40" s="17">
        <f>IFERROR(Rev_Forecast!L42*45%,0)</f>
        <v>2.25</v>
      </c>
      <c r="M40" s="17">
        <f>IFERROR(Rev_Forecast!M42*45%,0)</f>
        <v>2.7</v>
      </c>
      <c r="N40" s="17">
        <f>IFERROR(Rev_Forecast!N42*45%,0)</f>
        <v>2.25</v>
      </c>
      <c r="O40" s="17">
        <f>IFERROR(Rev_Forecast!O42*45%,0)</f>
        <v>2.25</v>
      </c>
      <c r="P40" s="17">
        <f>IFERROR(Rev_Forecast!P42*45%,0)</f>
        <v>2.25</v>
      </c>
      <c r="Q40" s="17">
        <f>IFERROR(Rev_Forecast!Q42*45%,0)</f>
        <v>2.25</v>
      </c>
      <c r="R40" s="17">
        <f>IFERROR(Rev_Forecast!R42*45%,0)</f>
        <v>2.25</v>
      </c>
      <c r="S40" s="17">
        <f>IFERROR(Rev_Forecast!S42*45%,0)</f>
        <v>2.25</v>
      </c>
    </row>
    <row r="41" spans="1:19" x14ac:dyDescent="0.35">
      <c r="A41" s="40" t="s">
        <v>142</v>
      </c>
      <c r="B41" s="15" t="s">
        <v>57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7">
        <f>IFERROR(Rev_Forecast!H43*45%,0)</f>
        <v>0</v>
      </c>
      <c r="I41" s="17">
        <f>IFERROR(Rev_Forecast!I43*45%,0)</f>
        <v>0</v>
      </c>
      <c r="J41" s="17">
        <f>IFERROR(Rev_Forecast!J43*45%,0)</f>
        <v>0</v>
      </c>
      <c r="K41" s="17">
        <f>IFERROR(Rev_Forecast!K43*45%,0)</f>
        <v>0</v>
      </c>
      <c r="L41" s="17">
        <f>IFERROR(Rev_Forecast!L43*45%,0)</f>
        <v>0</v>
      </c>
      <c r="M41" s="17">
        <f>IFERROR(Rev_Forecast!M43*45%,0)</f>
        <v>0</v>
      </c>
      <c r="N41" s="17">
        <f>IFERROR(Rev_Forecast!N43*45%,0)</f>
        <v>0</v>
      </c>
      <c r="O41" s="17">
        <f>IFERROR(Rev_Forecast!O43*45%,0)</f>
        <v>0</v>
      </c>
      <c r="P41" s="17">
        <f>IFERROR(Rev_Forecast!P43*45%,0)</f>
        <v>0</v>
      </c>
      <c r="Q41" s="17">
        <f>IFERROR(Rev_Forecast!Q43*45%,0)</f>
        <v>0</v>
      </c>
      <c r="R41" s="17">
        <f>IFERROR(Rev_Forecast!R43*45%,0)</f>
        <v>0</v>
      </c>
      <c r="S41" s="17">
        <f>IFERROR(Rev_Forecast!S43*45%,0)</f>
        <v>0</v>
      </c>
    </row>
    <row r="42" spans="1:19" x14ac:dyDescent="0.35">
      <c r="A42" s="40" t="s">
        <v>142</v>
      </c>
      <c r="B42" s="15" t="s">
        <v>58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7">
        <f>IFERROR(Rev_Forecast!H44*45%,0)</f>
        <v>0.78749999999999998</v>
      </c>
      <c r="I42" s="17">
        <f>IFERROR(Rev_Forecast!I44*45%,0)</f>
        <v>0.78749999999999998</v>
      </c>
      <c r="J42" s="17">
        <f>IFERROR(Rev_Forecast!J44*45%,0)</f>
        <v>0.78749999999999998</v>
      </c>
      <c r="K42" s="17">
        <f>IFERROR(Rev_Forecast!K44*45%,0)</f>
        <v>0.76500000000000001</v>
      </c>
      <c r="L42" s="17">
        <f>IFERROR(Rev_Forecast!L44*45%,0)</f>
        <v>0.76500000000000001</v>
      </c>
      <c r="M42" s="17">
        <f>IFERROR(Rev_Forecast!M44*45%,0)</f>
        <v>0.76500000000000001</v>
      </c>
      <c r="N42" s="17">
        <f>IFERROR(Rev_Forecast!N44*45%,0)</f>
        <v>0</v>
      </c>
      <c r="O42" s="17">
        <f>IFERROR(Rev_Forecast!O44*45%,0)</f>
        <v>0</v>
      </c>
      <c r="P42" s="17">
        <f>IFERROR(Rev_Forecast!P44*45%,0)</f>
        <v>0</v>
      </c>
      <c r="Q42" s="17">
        <f>IFERROR(Rev_Forecast!Q44*45%,0)</f>
        <v>0</v>
      </c>
      <c r="R42" s="17">
        <f>IFERROR(Rev_Forecast!R44*45%,0)</f>
        <v>0</v>
      </c>
      <c r="S42" s="17">
        <f>IFERROR(Rev_Forecast!S44*45%,0)</f>
        <v>0</v>
      </c>
    </row>
    <row r="43" spans="1:19" x14ac:dyDescent="0.35">
      <c r="A43" s="40" t="s">
        <v>142</v>
      </c>
      <c r="B43" s="15" t="s">
        <v>60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7">
        <f>IFERROR(Rev_Forecast!H45*45%,0)</f>
        <v>0</v>
      </c>
      <c r="I43" s="17">
        <f>IFERROR(Rev_Forecast!I45*45%,0)</f>
        <v>0</v>
      </c>
      <c r="J43" s="17">
        <f>IFERROR(Rev_Forecast!J45*45%,0)</f>
        <v>0</v>
      </c>
      <c r="K43" s="17">
        <f>IFERROR(Rev_Forecast!K45*45%,0)</f>
        <v>0</v>
      </c>
      <c r="L43" s="17">
        <f>IFERROR(Rev_Forecast!L45*45%,0)</f>
        <v>0</v>
      </c>
      <c r="M43" s="17">
        <f>IFERROR(Rev_Forecast!M45*45%,0)</f>
        <v>0</v>
      </c>
      <c r="N43" s="17">
        <f>IFERROR(Rev_Forecast!N45*45%,0)</f>
        <v>0</v>
      </c>
      <c r="O43" s="17">
        <f>IFERROR(Rev_Forecast!O45*45%,0)</f>
        <v>0</v>
      </c>
      <c r="P43" s="17">
        <f>IFERROR(Rev_Forecast!P45*45%,0)</f>
        <v>0</v>
      </c>
      <c r="Q43" s="17">
        <f>IFERROR(Rev_Forecast!Q45*45%,0)</f>
        <v>0</v>
      </c>
      <c r="R43" s="17">
        <f>IFERROR(Rev_Forecast!R45*45%,0)</f>
        <v>0</v>
      </c>
      <c r="S43" s="17">
        <f>IFERROR(Rev_Forecast!S45*45%,0)</f>
        <v>0</v>
      </c>
    </row>
    <row r="44" spans="1:19" x14ac:dyDescent="0.35">
      <c r="A44" s="40" t="s">
        <v>142</v>
      </c>
      <c r="B44" s="15" t="s">
        <v>61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7">
        <f>IFERROR(Rev_Forecast!H46*45%,0)</f>
        <v>0</v>
      </c>
      <c r="I44" s="17">
        <f>IFERROR(Rev_Forecast!I46*45%,0)</f>
        <v>0</v>
      </c>
      <c r="J44" s="17">
        <f>IFERROR(Rev_Forecast!J46*45%,0)</f>
        <v>0</v>
      </c>
      <c r="K44" s="17">
        <f>IFERROR(Rev_Forecast!K46*45%,0)</f>
        <v>0</v>
      </c>
      <c r="L44" s="17">
        <f>IFERROR(Rev_Forecast!L46*45%,0)</f>
        <v>0</v>
      </c>
      <c r="M44" s="17">
        <f>IFERROR(Rev_Forecast!M46*45%,0)</f>
        <v>0</v>
      </c>
      <c r="N44" s="17">
        <f>IFERROR(Rev_Forecast!N46*45%,0)</f>
        <v>0</v>
      </c>
      <c r="O44" s="17">
        <f>IFERROR(Rev_Forecast!O46*45%,0)</f>
        <v>0</v>
      </c>
      <c r="P44" s="17">
        <f>IFERROR(Rev_Forecast!P46*45%,0)</f>
        <v>0</v>
      </c>
      <c r="Q44" s="17">
        <f>IFERROR(Rev_Forecast!Q46*45%,0)</f>
        <v>0</v>
      </c>
      <c r="R44" s="17">
        <f>IFERROR(Rev_Forecast!R46*45%,0)</f>
        <v>0</v>
      </c>
      <c r="S44" s="17">
        <f>IFERROR(Rev_Forecast!S46*45%,0)</f>
        <v>0</v>
      </c>
    </row>
    <row r="45" spans="1:19" x14ac:dyDescent="0.35">
      <c r="A45" s="40" t="s">
        <v>142</v>
      </c>
      <c r="B45" s="15" t="s">
        <v>62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7">
        <f>IFERROR(Rev_Forecast!H47*45%,0)</f>
        <v>0</v>
      </c>
      <c r="I45" s="17">
        <f>IFERROR(Rev_Forecast!I47*45%,0)</f>
        <v>0</v>
      </c>
      <c r="J45" s="17">
        <f>IFERROR(Rev_Forecast!J47*45%,0)</f>
        <v>0</v>
      </c>
      <c r="K45" s="17">
        <f>IFERROR(Rev_Forecast!K47*45%,0)</f>
        <v>0</v>
      </c>
      <c r="L45" s="17">
        <f>IFERROR(Rev_Forecast!L47*45%,0)</f>
        <v>0</v>
      </c>
      <c r="M45" s="17">
        <f>IFERROR(Rev_Forecast!M47*45%,0)</f>
        <v>0</v>
      </c>
      <c r="N45" s="17">
        <f>IFERROR(Rev_Forecast!N47*45%,0)</f>
        <v>0</v>
      </c>
      <c r="O45" s="17">
        <f>IFERROR(Rev_Forecast!O47*45%,0)</f>
        <v>0</v>
      </c>
      <c r="P45" s="17">
        <f>IFERROR(Rev_Forecast!P47*45%,0)</f>
        <v>0</v>
      </c>
      <c r="Q45" s="17">
        <f>IFERROR(Rev_Forecast!Q47*45%,0)</f>
        <v>0</v>
      </c>
      <c r="R45" s="17">
        <f>IFERROR(Rev_Forecast!R47*45%,0)</f>
        <v>0</v>
      </c>
      <c r="S45" s="17">
        <f>IFERROR(Rev_Forecast!S47*45%,0)</f>
        <v>0</v>
      </c>
    </row>
    <row r="46" spans="1:19" x14ac:dyDescent="0.35">
      <c r="A46" s="40" t="s">
        <v>142</v>
      </c>
      <c r="B46" s="15" t="s">
        <v>63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7">
        <f>IFERROR(Rev_Forecast!H48*45%,0)</f>
        <v>0</v>
      </c>
      <c r="I46" s="17">
        <f>IFERROR(Rev_Forecast!I48*45%,0)</f>
        <v>0</v>
      </c>
      <c r="J46" s="17">
        <f>IFERROR(Rev_Forecast!J48*45%,0)</f>
        <v>0</v>
      </c>
      <c r="K46" s="17">
        <f>IFERROR(Rev_Forecast!K48*45%,0)</f>
        <v>0</v>
      </c>
      <c r="L46" s="17">
        <f>IFERROR(Rev_Forecast!L48*45%,0)</f>
        <v>0</v>
      </c>
      <c r="M46" s="17">
        <f>IFERROR(Rev_Forecast!M48*45%,0)</f>
        <v>0</v>
      </c>
      <c r="N46" s="17">
        <f>IFERROR(Rev_Forecast!N48*45%,0)</f>
        <v>0</v>
      </c>
      <c r="O46" s="17">
        <f>IFERROR(Rev_Forecast!O48*45%,0)</f>
        <v>0</v>
      </c>
      <c r="P46" s="17">
        <f>IFERROR(Rev_Forecast!P48*45%,0)</f>
        <v>0</v>
      </c>
      <c r="Q46" s="17">
        <f>IFERROR(Rev_Forecast!Q48*45%,0)</f>
        <v>0</v>
      </c>
      <c r="R46" s="17">
        <f>IFERROR(Rev_Forecast!R48*45%,0)</f>
        <v>0</v>
      </c>
      <c r="S46" s="17">
        <f>IFERROR(Rev_Forecast!S48*45%,0)</f>
        <v>0</v>
      </c>
    </row>
    <row r="47" spans="1:19" x14ac:dyDescent="0.35">
      <c r="A47" s="40" t="s">
        <v>142</v>
      </c>
      <c r="B47" s="15" t="s">
        <v>64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7">
        <f>IFERROR(Rev_Forecast!H49*45%,0)</f>
        <v>0</v>
      </c>
      <c r="I47" s="17">
        <f>IFERROR(Rev_Forecast!I49*45%,0)</f>
        <v>0</v>
      </c>
      <c r="J47" s="17">
        <f>IFERROR(Rev_Forecast!J49*45%,0)</f>
        <v>0</v>
      </c>
      <c r="K47" s="17">
        <f>IFERROR(Rev_Forecast!K49*45%,0)</f>
        <v>0</v>
      </c>
      <c r="L47" s="17">
        <f>IFERROR(Rev_Forecast!L49*45%,0)</f>
        <v>0</v>
      </c>
      <c r="M47" s="17">
        <f>IFERROR(Rev_Forecast!M49*45%,0)</f>
        <v>0</v>
      </c>
      <c r="N47" s="17">
        <f>IFERROR(Rev_Forecast!N49*45%,0)</f>
        <v>0</v>
      </c>
      <c r="O47" s="17">
        <f>IFERROR(Rev_Forecast!O49*45%,0)</f>
        <v>0</v>
      </c>
      <c r="P47" s="17">
        <f>IFERROR(Rev_Forecast!P49*45%,0)</f>
        <v>0</v>
      </c>
      <c r="Q47" s="17">
        <f>IFERROR(Rev_Forecast!Q49*45%,0)</f>
        <v>0</v>
      </c>
      <c r="R47" s="17">
        <f>IFERROR(Rev_Forecast!R49*45%,0)</f>
        <v>0</v>
      </c>
      <c r="S47" s="17">
        <f>IFERROR(Rev_Forecast!S49*45%,0)</f>
        <v>0</v>
      </c>
    </row>
    <row r="48" spans="1:19" x14ac:dyDescent="0.35">
      <c r="A48" s="40" t="s">
        <v>142</v>
      </c>
      <c r="B48" s="15" t="s">
        <v>65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7">
        <f>IFERROR(Rev_Forecast!H50*45%,0)</f>
        <v>0</v>
      </c>
      <c r="I48" s="17">
        <f>IFERROR(Rev_Forecast!I50*45%,0)</f>
        <v>0</v>
      </c>
      <c r="J48" s="17">
        <f>IFERROR(Rev_Forecast!J50*45%,0)</f>
        <v>0</v>
      </c>
      <c r="K48" s="17">
        <f>IFERROR(Rev_Forecast!K50*45%,0)</f>
        <v>0</v>
      </c>
      <c r="L48" s="17">
        <f>IFERROR(Rev_Forecast!L50*45%,0)</f>
        <v>0</v>
      </c>
      <c r="M48" s="17">
        <f>IFERROR(Rev_Forecast!M50*45%,0)</f>
        <v>0</v>
      </c>
      <c r="N48" s="17">
        <f>IFERROR(Rev_Forecast!N50*45%,0)</f>
        <v>0</v>
      </c>
      <c r="O48" s="17">
        <f>IFERROR(Rev_Forecast!O50*45%,0)</f>
        <v>0</v>
      </c>
      <c r="P48" s="17">
        <f>IFERROR(Rev_Forecast!P50*45%,0)</f>
        <v>0</v>
      </c>
      <c r="Q48" s="17">
        <f>IFERROR(Rev_Forecast!Q50*45%,0)</f>
        <v>0</v>
      </c>
      <c r="R48" s="17">
        <f>IFERROR(Rev_Forecast!R50*45%,0)</f>
        <v>0</v>
      </c>
      <c r="S48" s="17">
        <f>IFERROR(Rev_Forecast!S50*45%,0)</f>
        <v>0</v>
      </c>
    </row>
    <row r="49" spans="1:19" x14ac:dyDescent="0.35">
      <c r="A49" s="40" t="s">
        <v>142</v>
      </c>
      <c r="B49" s="15" t="s">
        <v>66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7">
        <f>IFERROR(Rev_Forecast!H51*45%,0)</f>
        <v>0</v>
      </c>
      <c r="I49" s="17">
        <f>IFERROR(Rev_Forecast!I51*45%,0)</f>
        <v>0</v>
      </c>
      <c r="J49" s="17">
        <f>IFERROR(Rev_Forecast!J51*45%,0)</f>
        <v>0</v>
      </c>
      <c r="K49" s="17">
        <f>IFERROR(Rev_Forecast!K51*45%,0)</f>
        <v>0</v>
      </c>
      <c r="L49" s="17">
        <f>IFERROR(Rev_Forecast!L51*45%,0)</f>
        <v>0</v>
      </c>
      <c r="M49" s="17">
        <f>IFERROR(Rev_Forecast!M51*45%,0)</f>
        <v>0</v>
      </c>
      <c r="N49" s="17">
        <f>IFERROR(Rev_Forecast!N51*45%,0)</f>
        <v>0</v>
      </c>
      <c r="O49" s="17">
        <f>IFERROR(Rev_Forecast!O51*45%,0)</f>
        <v>0</v>
      </c>
      <c r="P49" s="17">
        <f>IFERROR(Rev_Forecast!P51*45%,0)</f>
        <v>0</v>
      </c>
      <c r="Q49" s="17">
        <f>IFERROR(Rev_Forecast!Q51*45%,0)</f>
        <v>0</v>
      </c>
      <c r="R49" s="17">
        <f>IFERROR(Rev_Forecast!R51*45%,0)</f>
        <v>0</v>
      </c>
      <c r="S49" s="17">
        <f>IFERROR(Rev_Forecast!S51*45%,0)</f>
        <v>0</v>
      </c>
    </row>
    <row r="50" spans="1:19" x14ac:dyDescent="0.35">
      <c r="A50" s="40" t="s">
        <v>142</v>
      </c>
      <c r="B50" s="15" t="s">
        <v>68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7">
        <f>IFERROR(Rev_Forecast!H52*45%,0)</f>
        <v>0</v>
      </c>
      <c r="I50" s="17">
        <f>IFERROR(Rev_Forecast!I52*45%,0)</f>
        <v>0</v>
      </c>
      <c r="J50" s="17">
        <f>IFERROR(Rev_Forecast!J52*45%,0)</f>
        <v>0</v>
      </c>
      <c r="K50" s="17">
        <f>IFERROR(Rev_Forecast!K52*45%,0)</f>
        <v>0</v>
      </c>
      <c r="L50" s="17">
        <f>IFERROR(Rev_Forecast!L52*45%,0)</f>
        <v>0</v>
      </c>
      <c r="M50" s="17">
        <f>IFERROR(Rev_Forecast!M52*45%,0)</f>
        <v>0</v>
      </c>
      <c r="N50" s="17">
        <f>IFERROR(Rev_Forecast!N52*45%,0)</f>
        <v>0</v>
      </c>
      <c r="O50" s="17">
        <f>IFERROR(Rev_Forecast!O52*45%,0)</f>
        <v>0</v>
      </c>
      <c r="P50" s="17">
        <f>IFERROR(Rev_Forecast!P52*45%,0)</f>
        <v>0</v>
      </c>
      <c r="Q50" s="17">
        <f>IFERROR(Rev_Forecast!Q52*45%,0)</f>
        <v>0</v>
      </c>
      <c r="R50" s="17">
        <f>IFERROR(Rev_Forecast!R52*45%,0)</f>
        <v>0</v>
      </c>
      <c r="S50" s="17">
        <f>IFERROR(Rev_Forecast!S52*45%,0)</f>
        <v>0</v>
      </c>
    </row>
    <row r="51" spans="1:19" x14ac:dyDescent="0.35">
      <c r="A51" s="40" t="s">
        <v>142</v>
      </c>
      <c r="B51" s="15" t="s">
        <v>69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7">
        <f>IFERROR(Rev_Forecast!H53*45%,0)</f>
        <v>1.01529</v>
      </c>
      <c r="I51" s="17">
        <f>IFERROR(Rev_Forecast!I53*45%,0)</f>
        <v>2.9699999999999998</v>
      </c>
      <c r="J51" s="17">
        <f>IFERROR(Rev_Forecast!J53*45%,0)</f>
        <v>0.45900000000000002</v>
      </c>
      <c r="K51" s="17">
        <f>IFERROR(Rev_Forecast!K53*45%,0)</f>
        <v>0.45</v>
      </c>
      <c r="L51" s="17">
        <f>IFERROR(Rev_Forecast!L53*45%,0)</f>
        <v>0.9</v>
      </c>
      <c r="M51" s="17">
        <f>IFERROR(Rev_Forecast!M53*45%,0)</f>
        <v>0.9</v>
      </c>
      <c r="N51" s="17">
        <f>IFERROR(Rev_Forecast!N53*45%,0)</f>
        <v>0.45</v>
      </c>
      <c r="O51" s="17">
        <f>IFERROR(Rev_Forecast!O53*45%,0)</f>
        <v>0.9</v>
      </c>
      <c r="P51" s="17">
        <f>IFERROR(Rev_Forecast!P53*45%,0)</f>
        <v>0.9</v>
      </c>
      <c r="Q51" s="17">
        <f>IFERROR(Rev_Forecast!Q53*45%,0)</f>
        <v>0.45</v>
      </c>
      <c r="R51" s="17">
        <f>IFERROR(Rev_Forecast!R53*45%,0)</f>
        <v>0.9</v>
      </c>
      <c r="S51" s="17">
        <f>IFERROR(Rev_Forecast!S53*45%,0)</f>
        <v>0.9</v>
      </c>
    </row>
    <row r="52" spans="1:19" x14ac:dyDescent="0.35">
      <c r="A52" s="40" t="s">
        <v>142</v>
      </c>
      <c r="B52" s="15" t="s">
        <v>71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7">
        <f>IFERROR(Rev_Forecast!H54*45%,0)</f>
        <v>0</v>
      </c>
      <c r="I52" s="17">
        <f>IFERROR(Rev_Forecast!I54*45%,0)</f>
        <v>0</v>
      </c>
      <c r="J52" s="17">
        <f>IFERROR(Rev_Forecast!J54*45%,0)</f>
        <v>0</v>
      </c>
      <c r="K52" s="17">
        <f>IFERROR(Rev_Forecast!K54*45%,0)</f>
        <v>0</v>
      </c>
      <c r="L52" s="17">
        <f>IFERROR(Rev_Forecast!L54*45%,0)</f>
        <v>0</v>
      </c>
      <c r="M52" s="17">
        <f>IFERROR(Rev_Forecast!M54*45%,0)</f>
        <v>0</v>
      </c>
      <c r="N52" s="17">
        <f>IFERROR(Rev_Forecast!N54*45%,0)</f>
        <v>0</v>
      </c>
      <c r="O52" s="17">
        <f>IFERROR(Rev_Forecast!O54*45%,0)</f>
        <v>0</v>
      </c>
      <c r="P52" s="17">
        <f>IFERROR(Rev_Forecast!P54*45%,0)</f>
        <v>0</v>
      </c>
      <c r="Q52" s="17">
        <f>IFERROR(Rev_Forecast!Q54*45%,0)</f>
        <v>0</v>
      </c>
      <c r="R52" s="17">
        <f>IFERROR(Rev_Forecast!R54*45%,0)</f>
        <v>0</v>
      </c>
      <c r="S52" s="17">
        <f>IFERROR(Rev_Forecast!S54*45%,0)</f>
        <v>0</v>
      </c>
    </row>
    <row r="53" spans="1:19" x14ac:dyDescent="0.35">
      <c r="A53" s="40" t="s">
        <v>142</v>
      </c>
      <c r="B53" s="15" t="s">
        <v>72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7">
        <f>IFERROR(Rev_Forecast!H55*45%,0)</f>
        <v>0.45</v>
      </c>
      <c r="I53" s="17">
        <f>IFERROR(Rev_Forecast!I55*45%,0)</f>
        <v>0</v>
      </c>
      <c r="J53" s="17">
        <f>IFERROR(Rev_Forecast!J55*45%,0)</f>
        <v>2.25</v>
      </c>
      <c r="K53" s="17">
        <f>IFERROR(Rev_Forecast!K55*45%,0)</f>
        <v>0.45</v>
      </c>
      <c r="L53" s="17">
        <f>IFERROR(Rev_Forecast!L55*45%,0)</f>
        <v>0.9</v>
      </c>
      <c r="M53" s="17">
        <f>IFERROR(Rev_Forecast!M55*45%,0)</f>
        <v>1.35</v>
      </c>
      <c r="N53" s="17">
        <f>IFERROR(Rev_Forecast!N55*45%,0)</f>
        <v>0.45</v>
      </c>
      <c r="O53" s="17">
        <f>IFERROR(Rev_Forecast!O55*45%,0)</f>
        <v>2.25</v>
      </c>
      <c r="P53" s="17">
        <f>IFERROR(Rev_Forecast!P55*45%,0)</f>
        <v>1.35</v>
      </c>
      <c r="Q53" s="17">
        <f>IFERROR(Rev_Forecast!Q55*45%,0)</f>
        <v>0.45</v>
      </c>
      <c r="R53" s="17">
        <f>IFERROR(Rev_Forecast!R55*45%,0)</f>
        <v>1.35</v>
      </c>
      <c r="S53" s="17">
        <f>IFERROR(Rev_Forecast!S55*45%,0)</f>
        <v>1.35</v>
      </c>
    </row>
    <row r="54" spans="1:19" x14ac:dyDescent="0.35">
      <c r="A54" s="40" t="s">
        <v>142</v>
      </c>
      <c r="B54" s="15" t="s">
        <v>73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7">
        <f>IFERROR(Rev_Forecast!H56*45%,0)</f>
        <v>2.785987575</v>
      </c>
      <c r="I54" s="17">
        <f>IFERROR(Rev_Forecast!I56*45%,0)</f>
        <v>10.935</v>
      </c>
      <c r="J54" s="17">
        <f>IFERROR(Rev_Forecast!J56*45%,0)</f>
        <v>20.25</v>
      </c>
      <c r="K54" s="17">
        <f>IFERROR(Rev_Forecast!K56*45%,0)</f>
        <v>9</v>
      </c>
      <c r="L54" s="17">
        <f>IFERROR(Rev_Forecast!L56*45%,0)</f>
        <v>9</v>
      </c>
      <c r="M54" s="17">
        <f>IFERROR(Rev_Forecast!M56*45%,0)</f>
        <v>13.5</v>
      </c>
      <c r="N54" s="17">
        <f>IFERROR(Rev_Forecast!N56*45%,0)</f>
        <v>9</v>
      </c>
      <c r="O54" s="17">
        <f>IFERROR(Rev_Forecast!O56*45%,0)</f>
        <v>4.5</v>
      </c>
      <c r="P54" s="17">
        <f>IFERROR(Rev_Forecast!P56*45%,0)</f>
        <v>4.5</v>
      </c>
      <c r="Q54" s="17">
        <f>IFERROR(Rev_Forecast!Q56*45%,0)</f>
        <v>9</v>
      </c>
      <c r="R54" s="17">
        <f>IFERROR(Rev_Forecast!R56*45%,0)</f>
        <v>9</v>
      </c>
      <c r="S54" s="17">
        <f>IFERROR(Rev_Forecast!S56*45%,0)</f>
        <v>13.5</v>
      </c>
    </row>
    <row r="55" spans="1:19" x14ac:dyDescent="0.35">
      <c r="A55" s="40" t="s">
        <v>142</v>
      </c>
      <c r="B55" s="15" t="s">
        <v>74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7">
        <f>IFERROR(Rev_Forecast!H57*45%,0)</f>
        <v>4.5000000000000005E-2</v>
      </c>
      <c r="I55" s="17">
        <f>IFERROR(Rev_Forecast!I57*45%,0)</f>
        <v>1.07325</v>
      </c>
      <c r="J55" s="17">
        <f>IFERROR(Rev_Forecast!J57*45%,0)</f>
        <v>0.97200000000000009</v>
      </c>
      <c r="K55" s="17">
        <f>IFERROR(Rev_Forecast!K57*45%,0)</f>
        <v>2.25</v>
      </c>
      <c r="L55" s="17">
        <f>IFERROR(Rev_Forecast!L57*45%,0)</f>
        <v>3.6</v>
      </c>
      <c r="M55" s="17">
        <f>IFERROR(Rev_Forecast!M57*45%,0)</f>
        <v>4.5</v>
      </c>
      <c r="N55" s="17">
        <f>IFERROR(Rev_Forecast!N57*45%,0)</f>
        <v>3.6</v>
      </c>
      <c r="O55" s="17">
        <f>IFERROR(Rev_Forecast!O57*45%,0)</f>
        <v>3.6</v>
      </c>
      <c r="P55" s="17">
        <f>IFERROR(Rev_Forecast!P57*45%,0)</f>
        <v>4.5</v>
      </c>
      <c r="Q55" s="17">
        <f>IFERROR(Rev_Forecast!Q57*45%,0)</f>
        <v>4.5</v>
      </c>
      <c r="R55" s="17">
        <f>IFERROR(Rev_Forecast!R57*45%,0)</f>
        <v>3.6</v>
      </c>
      <c r="S55" s="17">
        <f>IFERROR(Rev_Forecast!S57*45%,0)</f>
        <v>3.6</v>
      </c>
    </row>
    <row r="56" spans="1:19" x14ac:dyDescent="0.35">
      <c r="A56" s="40" t="s">
        <v>142</v>
      </c>
      <c r="B56" s="15" t="s">
        <v>75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7">
        <f>IFERROR(Rev_Forecast!H58*45%,0)</f>
        <v>0</v>
      </c>
      <c r="I56" s="17">
        <f>IFERROR(Rev_Forecast!I58*45%,0)</f>
        <v>0</v>
      </c>
      <c r="J56" s="17">
        <f>IFERROR(Rev_Forecast!J58*45%,0)</f>
        <v>0.45</v>
      </c>
      <c r="K56" s="17">
        <f>IFERROR(Rev_Forecast!K58*45%,0)</f>
        <v>0.45</v>
      </c>
      <c r="L56" s="17">
        <f>IFERROR(Rev_Forecast!L58*45%,0)</f>
        <v>0.45</v>
      </c>
      <c r="M56" s="17">
        <f>IFERROR(Rev_Forecast!M58*45%,0)</f>
        <v>0.45</v>
      </c>
      <c r="N56" s="17">
        <f>IFERROR(Rev_Forecast!N58*45%,0)</f>
        <v>0</v>
      </c>
      <c r="O56" s="17">
        <f>IFERROR(Rev_Forecast!O58*45%,0)</f>
        <v>0</v>
      </c>
      <c r="P56" s="17">
        <f>IFERROR(Rev_Forecast!P58*45%,0)</f>
        <v>0</v>
      </c>
      <c r="Q56" s="17">
        <f>IFERROR(Rev_Forecast!Q58*45%,0)</f>
        <v>0</v>
      </c>
      <c r="R56" s="17">
        <f>IFERROR(Rev_Forecast!R58*45%,0)</f>
        <v>0</v>
      </c>
      <c r="S56" s="17">
        <f>IFERROR(Rev_Forecast!S58*45%,0)</f>
        <v>0</v>
      </c>
    </row>
    <row r="57" spans="1:19" x14ac:dyDescent="0.35">
      <c r="A57" s="40" t="s">
        <v>142</v>
      </c>
      <c r="B57" s="15" t="s">
        <v>76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7">
        <f>IFERROR(Rev_Forecast!H59*45%,0)</f>
        <v>0</v>
      </c>
      <c r="I57" s="17">
        <f>IFERROR(Rev_Forecast!I59*45%,0)</f>
        <v>0</v>
      </c>
      <c r="J57" s="17">
        <f>IFERROR(Rev_Forecast!J59*45%,0)</f>
        <v>0</v>
      </c>
      <c r="K57" s="17">
        <f>IFERROR(Rev_Forecast!K59*45%,0)</f>
        <v>0.45</v>
      </c>
      <c r="L57" s="17">
        <f>IFERROR(Rev_Forecast!L59*45%,0)</f>
        <v>0.45</v>
      </c>
      <c r="M57" s="17">
        <f>IFERROR(Rev_Forecast!M59*45%,0)</f>
        <v>0.45</v>
      </c>
      <c r="N57" s="17">
        <f>IFERROR(Rev_Forecast!N59*45%,0)</f>
        <v>0</v>
      </c>
      <c r="O57" s="17">
        <f>IFERROR(Rev_Forecast!O59*45%,0)</f>
        <v>0</v>
      </c>
      <c r="P57" s="17">
        <f>IFERROR(Rev_Forecast!P59*45%,0)</f>
        <v>0.9</v>
      </c>
      <c r="Q57" s="17">
        <f>IFERROR(Rev_Forecast!Q59*45%,0)</f>
        <v>0</v>
      </c>
      <c r="R57" s="17">
        <f>IFERROR(Rev_Forecast!R59*45%,0)</f>
        <v>0</v>
      </c>
      <c r="S57" s="17">
        <f>IFERROR(Rev_Forecast!S59*45%,0)</f>
        <v>0.45</v>
      </c>
    </row>
    <row r="58" spans="1:19" x14ac:dyDescent="0.35">
      <c r="A58" s="40" t="s">
        <v>142</v>
      </c>
      <c r="B58" s="15" t="s">
        <v>77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7">
        <f>IFERROR(Rev_Forecast!H60*45%,0)</f>
        <v>0</v>
      </c>
      <c r="I58" s="17">
        <f>IFERROR(Rev_Forecast!I60*45%,0)</f>
        <v>0</v>
      </c>
      <c r="J58" s="17">
        <f>IFERROR(Rev_Forecast!J60*45%,0)</f>
        <v>0</v>
      </c>
      <c r="K58" s="17">
        <f>IFERROR(Rev_Forecast!K60*45%,0)</f>
        <v>0</v>
      </c>
      <c r="L58" s="17">
        <f>IFERROR(Rev_Forecast!L60*45%,0)</f>
        <v>0</v>
      </c>
      <c r="M58" s="17">
        <f>IFERROR(Rev_Forecast!M60*45%,0)</f>
        <v>0</v>
      </c>
      <c r="N58" s="17">
        <f>IFERROR(Rev_Forecast!N60*45%,0)</f>
        <v>0</v>
      </c>
      <c r="O58" s="17">
        <f>IFERROR(Rev_Forecast!O60*45%,0)</f>
        <v>0</v>
      </c>
      <c r="P58" s="17">
        <f>IFERROR(Rev_Forecast!P60*45%,0)</f>
        <v>0</v>
      </c>
      <c r="Q58" s="17">
        <f>IFERROR(Rev_Forecast!Q60*45%,0)</f>
        <v>0</v>
      </c>
      <c r="R58" s="17">
        <f>IFERROR(Rev_Forecast!R60*45%,0)</f>
        <v>0</v>
      </c>
      <c r="S58" s="17">
        <f>IFERROR(Rev_Forecast!S60*45%,0)</f>
        <v>0</v>
      </c>
    </row>
    <row r="59" spans="1:19" x14ac:dyDescent="0.35">
      <c r="A59" s="40" t="s">
        <v>142</v>
      </c>
      <c r="B59" s="15" t="s">
        <v>78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7">
        <f>IFERROR(Rev_Forecast!H61*45%,0)</f>
        <v>0</v>
      </c>
      <c r="I59" s="17">
        <f>IFERROR(Rev_Forecast!I61*45%,0)</f>
        <v>0</v>
      </c>
      <c r="J59" s="17">
        <f>IFERROR(Rev_Forecast!J61*45%,0)</f>
        <v>0</v>
      </c>
      <c r="K59" s="17">
        <f>IFERROR(Rev_Forecast!K61*45%,0)</f>
        <v>0</v>
      </c>
      <c r="L59" s="17">
        <f>IFERROR(Rev_Forecast!L61*45%,0)</f>
        <v>0</v>
      </c>
      <c r="M59" s="17">
        <f>IFERROR(Rev_Forecast!M61*45%,0)</f>
        <v>0</v>
      </c>
      <c r="N59" s="17">
        <f>IFERROR(Rev_Forecast!N61*45%,0)</f>
        <v>0</v>
      </c>
      <c r="O59" s="17">
        <f>IFERROR(Rev_Forecast!O61*45%,0)</f>
        <v>0</v>
      </c>
      <c r="P59" s="17">
        <f>IFERROR(Rev_Forecast!P61*45%,0)</f>
        <v>0</v>
      </c>
      <c r="Q59" s="17">
        <f>IFERROR(Rev_Forecast!Q61*45%,0)</f>
        <v>0</v>
      </c>
      <c r="R59" s="17">
        <f>IFERROR(Rev_Forecast!R61*45%,0)</f>
        <v>0</v>
      </c>
      <c r="S59" s="17">
        <f>IFERROR(Rev_Forecast!S61*45%,0)</f>
        <v>0</v>
      </c>
    </row>
    <row r="60" spans="1:19" x14ac:dyDescent="0.35">
      <c r="A60" s="40" t="s">
        <v>142</v>
      </c>
      <c r="B60" s="15" t="s">
        <v>79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7">
        <f>IFERROR(Rev_Forecast!H62*45%,0)</f>
        <v>0</v>
      </c>
      <c r="I60" s="17">
        <f>IFERROR(Rev_Forecast!I62*45%,0)</f>
        <v>0</v>
      </c>
      <c r="J60" s="17">
        <f>IFERROR(Rev_Forecast!J62*45%,0)</f>
        <v>0.81</v>
      </c>
      <c r="K60" s="17">
        <f>IFERROR(Rev_Forecast!K62*45%,0)</f>
        <v>0</v>
      </c>
      <c r="L60" s="17">
        <f>IFERROR(Rev_Forecast!L62*45%,0)</f>
        <v>0</v>
      </c>
      <c r="M60" s="17">
        <f>IFERROR(Rev_Forecast!M62*45%,0)</f>
        <v>1.35</v>
      </c>
      <c r="N60" s="17">
        <f>IFERROR(Rev_Forecast!N62*45%,0)</f>
        <v>0</v>
      </c>
      <c r="O60" s="17">
        <f>IFERROR(Rev_Forecast!O62*45%,0)</f>
        <v>0</v>
      </c>
      <c r="P60" s="17">
        <f>IFERROR(Rev_Forecast!P62*45%,0)</f>
        <v>0.9</v>
      </c>
      <c r="Q60" s="17">
        <f>IFERROR(Rev_Forecast!Q62*45%,0)</f>
        <v>0</v>
      </c>
      <c r="R60" s="17">
        <f>IFERROR(Rev_Forecast!R62*45%,0)</f>
        <v>0</v>
      </c>
      <c r="S60" s="17">
        <f>IFERROR(Rev_Forecast!S62*45%,0)</f>
        <v>0.9</v>
      </c>
    </row>
    <row r="61" spans="1:19" x14ac:dyDescent="0.35">
      <c r="A61" s="40" t="s">
        <v>142</v>
      </c>
      <c r="B61" s="15" t="s">
        <v>80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7">
        <f>IFERROR(Rev_Forecast!H63*45%,0)</f>
        <v>0</v>
      </c>
      <c r="I61" s="17">
        <f>IFERROR(Rev_Forecast!I63*45%,0)</f>
        <v>0</v>
      </c>
      <c r="J61" s="17">
        <f>IFERROR(Rev_Forecast!J63*45%,0)</f>
        <v>0</v>
      </c>
      <c r="K61" s="17">
        <f>IFERROR(Rev_Forecast!K63*45%,0)</f>
        <v>0</v>
      </c>
      <c r="L61" s="17">
        <f>IFERROR(Rev_Forecast!L63*45%,0)</f>
        <v>0</v>
      </c>
      <c r="M61" s="17">
        <f>IFERROR(Rev_Forecast!M63*45%,0)</f>
        <v>0</v>
      </c>
      <c r="N61" s="17">
        <f>IFERROR(Rev_Forecast!N63*45%,0)</f>
        <v>0</v>
      </c>
      <c r="O61" s="17">
        <f>IFERROR(Rev_Forecast!O63*45%,0)</f>
        <v>0</v>
      </c>
      <c r="P61" s="17">
        <f>IFERROR(Rev_Forecast!P63*45%,0)</f>
        <v>0</v>
      </c>
      <c r="Q61" s="17">
        <f>IFERROR(Rev_Forecast!Q63*45%,0)</f>
        <v>0</v>
      </c>
      <c r="R61" s="17">
        <f>IFERROR(Rev_Forecast!R63*45%,0)</f>
        <v>0</v>
      </c>
      <c r="S61" s="17">
        <f>IFERROR(Rev_Forecast!S63*45%,0)</f>
        <v>0</v>
      </c>
    </row>
    <row r="62" spans="1:19" x14ac:dyDescent="0.35">
      <c r="A62" s="40" t="s">
        <v>142</v>
      </c>
      <c r="B62" s="15" t="s">
        <v>81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7">
        <f>IFERROR(Rev_Forecast!H64*45%,0)</f>
        <v>0</v>
      </c>
      <c r="I62" s="17">
        <f>IFERROR(Rev_Forecast!I64*45%,0)</f>
        <v>0</v>
      </c>
      <c r="J62" s="17">
        <f>IFERROR(Rev_Forecast!J64*45%,0)</f>
        <v>0</v>
      </c>
      <c r="K62" s="17">
        <f>IFERROR(Rev_Forecast!K64*45%,0)</f>
        <v>0</v>
      </c>
      <c r="L62" s="17">
        <f>IFERROR(Rev_Forecast!L64*45%,0)</f>
        <v>0</v>
      </c>
      <c r="M62" s="17">
        <f>IFERROR(Rev_Forecast!M64*45%,0)</f>
        <v>0</v>
      </c>
      <c r="N62" s="17">
        <f>IFERROR(Rev_Forecast!N64*45%,0)</f>
        <v>0</v>
      </c>
      <c r="O62" s="17">
        <f>IFERROR(Rev_Forecast!O64*45%,0)</f>
        <v>0</v>
      </c>
      <c r="P62" s="17">
        <f>IFERROR(Rev_Forecast!P64*45%,0)</f>
        <v>0</v>
      </c>
      <c r="Q62" s="17">
        <f>IFERROR(Rev_Forecast!Q64*45%,0)</f>
        <v>0</v>
      </c>
      <c r="R62" s="17">
        <f>IFERROR(Rev_Forecast!R64*45%,0)</f>
        <v>0</v>
      </c>
      <c r="S62" s="17">
        <f>IFERROR(Rev_Forecast!S64*45%,0)</f>
        <v>0</v>
      </c>
    </row>
    <row r="63" spans="1:19" x14ac:dyDescent="0.35">
      <c r="A63" s="40" t="s">
        <v>142</v>
      </c>
      <c r="B63" s="15" t="s">
        <v>82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7">
        <f>IFERROR(Rev_Forecast!H65*45%,0)</f>
        <v>0</v>
      </c>
      <c r="I63" s="17">
        <f>IFERROR(Rev_Forecast!I65*45%,0)</f>
        <v>0</v>
      </c>
      <c r="J63" s="17">
        <f>IFERROR(Rev_Forecast!J65*45%,0)</f>
        <v>0</v>
      </c>
      <c r="K63" s="17">
        <f>IFERROR(Rev_Forecast!K65*45%,0)</f>
        <v>0</v>
      </c>
      <c r="L63" s="17">
        <f>IFERROR(Rev_Forecast!L65*45%,0)</f>
        <v>0</v>
      </c>
      <c r="M63" s="17">
        <f>IFERROR(Rev_Forecast!M65*45%,0)</f>
        <v>0</v>
      </c>
      <c r="N63" s="17">
        <f>IFERROR(Rev_Forecast!N65*45%,0)</f>
        <v>0</v>
      </c>
      <c r="O63" s="17">
        <f>IFERROR(Rev_Forecast!O65*45%,0)</f>
        <v>0</v>
      </c>
      <c r="P63" s="17">
        <f>IFERROR(Rev_Forecast!P65*45%,0)</f>
        <v>0</v>
      </c>
      <c r="Q63" s="17">
        <f>IFERROR(Rev_Forecast!Q65*45%,0)</f>
        <v>0</v>
      </c>
      <c r="R63" s="17">
        <f>IFERROR(Rev_Forecast!R65*45%,0)</f>
        <v>0</v>
      </c>
      <c r="S63" s="17">
        <f>IFERROR(Rev_Forecast!S65*45%,0)</f>
        <v>0</v>
      </c>
    </row>
    <row r="64" spans="1:19" x14ac:dyDescent="0.35">
      <c r="A64" s="40" t="s">
        <v>142</v>
      </c>
      <c r="B64" s="15" t="s">
        <v>83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7">
        <f>IFERROR(Rev_Forecast!H66*45%,0)</f>
        <v>0</v>
      </c>
      <c r="I64" s="17">
        <f>IFERROR(Rev_Forecast!I66*45%,0)</f>
        <v>0</v>
      </c>
      <c r="J64" s="17">
        <f>IFERROR(Rev_Forecast!J66*45%,0)</f>
        <v>0</v>
      </c>
      <c r="K64" s="17">
        <f>IFERROR(Rev_Forecast!K66*45%,0)</f>
        <v>0</v>
      </c>
      <c r="L64" s="17">
        <f>IFERROR(Rev_Forecast!L66*45%,0)</f>
        <v>0</v>
      </c>
      <c r="M64" s="17">
        <f>IFERROR(Rev_Forecast!M66*45%,0)</f>
        <v>0</v>
      </c>
      <c r="N64" s="17">
        <f>IFERROR(Rev_Forecast!N66*45%,0)</f>
        <v>0</v>
      </c>
      <c r="O64" s="17">
        <f>IFERROR(Rev_Forecast!O66*45%,0)</f>
        <v>0</v>
      </c>
      <c r="P64" s="17">
        <f>IFERROR(Rev_Forecast!P66*45%,0)</f>
        <v>0.45</v>
      </c>
      <c r="Q64" s="17">
        <f>IFERROR(Rev_Forecast!Q66*45%,0)</f>
        <v>0</v>
      </c>
      <c r="R64" s="17">
        <f>IFERROR(Rev_Forecast!R66*45%,0)</f>
        <v>0</v>
      </c>
      <c r="S64" s="17">
        <f>IFERROR(Rev_Forecast!S66*45%,0)</f>
        <v>0.9</v>
      </c>
    </row>
    <row r="65" spans="1:19" x14ac:dyDescent="0.35">
      <c r="A65" s="40" t="s">
        <v>142</v>
      </c>
      <c r="B65" s="15" t="s">
        <v>84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7">
        <f>IFERROR(Rev_Forecast!H67*45%,0)</f>
        <v>29.430000000000003</v>
      </c>
      <c r="I65" s="17">
        <f>IFERROR(Rev_Forecast!I67*45%,0)</f>
        <v>20.61</v>
      </c>
      <c r="J65" s="17">
        <f>IFERROR(Rev_Forecast!J67*45%,0)</f>
        <v>20.61</v>
      </c>
      <c r="K65" s="17">
        <f>IFERROR(Rev_Forecast!K67*45%,0)</f>
        <v>20.625</v>
      </c>
      <c r="L65" s="17">
        <f>IFERROR(Rev_Forecast!L67*45%,0)</f>
        <v>20.625</v>
      </c>
      <c r="M65" s="17">
        <f>IFERROR(Rev_Forecast!M67*45%,0)</f>
        <v>20.625</v>
      </c>
      <c r="N65" s="17">
        <f>IFERROR(Rev_Forecast!N67*45%,0)</f>
        <v>20.625</v>
      </c>
      <c r="O65" s="17">
        <f>IFERROR(Rev_Forecast!O67*45%,0)</f>
        <v>20.625</v>
      </c>
      <c r="P65" s="17">
        <f>IFERROR(Rev_Forecast!P67*45%,0)</f>
        <v>20.625</v>
      </c>
      <c r="Q65" s="17">
        <f>IFERROR(Rev_Forecast!Q67*45%,0)</f>
        <v>20.625</v>
      </c>
      <c r="R65" s="17">
        <f>IFERROR(Rev_Forecast!R67*45%,0)</f>
        <v>20.625</v>
      </c>
      <c r="S65" s="17">
        <f>IFERROR(Rev_Forecast!S67*45%,0)</f>
        <v>20.625</v>
      </c>
    </row>
    <row r="66" spans="1:19" x14ac:dyDescent="0.35">
      <c r="A66" s="40" t="s">
        <v>142</v>
      </c>
      <c r="B66" s="15" t="s">
        <v>86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7">
        <f>IFERROR(Rev_Forecast!H68*45%,0)</f>
        <v>0</v>
      </c>
      <c r="I66" s="17">
        <f>IFERROR(Rev_Forecast!I68*45%,0)</f>
        <v>0</v>
      </c>
      <c r="J66" s="17">
        <f>IFERROR(Rev_Forecast!J68*45%,0)</f>
        <v>0</v>
      </c>
      <c r="K66" s="17">
        <f>IFERROR(Rev_Forecast!K68*45%,0)</f>
        <v>0</v>
      </c>
      <c r="L66" s="17">
        <f>IFERROR(Rev_Forecast!L68*45%,0)</f>
        <v>0</v>
      </c>
      <c r="M66" s="17">
        <f>IFERROR(Rev_Forecast!M68*45%,0)</f>
        <v>0</v>
      </c>
      <c r="N66" s="17">
        <f>IFERROR(Rev_Forecast!N68*45%,0)</f>
        <v>0</v>
      </c>
      <c r="O66" s="17">
        <f>IFERROR(Rev_Forecast!O68*45%,0)</f>
        <v>0</v>
      </c>
      <c r="P66" s="17">
        <f>IFERROR(Rev_Forecast!P68*45%,0)</f>
        <v>0</v>
      </c>
      <c r="Q66" s="17">
        <f>IFERROR(Rev_Forecast!Q68*45%,0)</f>
        <v>0</v>
      </c>
      <c r="R66" s="17">
        <f>IFERROR(Rev_Forecast!R68*45%,0)</f>
        <v>0</v>
      </c>
      <c r="S66" s="17">
        <f>IFERROR(Rev_Forecast!S68*45%,0)</f>
        <v>0</v>
      </c>
    </row>
    <row r="67" spans="1:19" x14ac:dyDescent="0.35">
      <c r="A67" s="40" t="s">
        <v>142</v>
      </c>
      <c r="B67" s="15" t="s">
        <v>89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7">
        <f>IFERROR(Rev_Forecast!H69*45%,0)</f>
        <v>4.5765000000000002</v>
      </c>
      <c r="I67" s="17">
        <f>IFERROR(Rev_Forecast!I69*45%,0)</f>
        <v>4.5854999999999997</v>
      </c>
      <c r="J67" s="17">
        <f>IFERROR(Rev_Forecast!J69*45%,0)</f>
        <v>4.3875000000000002</v>
      </c>
      <c r="K67" s="17">
        <f>IFERROR(Rev_Forecast!K69*45%,0)</f>
        <v>4.2750000000000004</v>
      </c>
      <c r="L67" s="17">
        <f>IFERROR(Rev_Forecast!L69*45%,0)</f>
        <v>4.2750000000000004</v>
      </c>
      <c r="M67" s="17">
        <f>IFERROR(Rev_Forecast!M69*45%,0)</f>
        <v>4.2750000000000004</v>
      </c>
      <c r="N67" s="17">
        <f>IFERROR(Rev_Forecast!N69*45%,0)</f>
        <v>4.95</v>
      </c>
      <c r="O67" s="17">
        <f>IFERROR(Rev_Forecast!O69*45%,0)</f>
        <v>4.95</v>
      </c>
      <c r="P67" s="17">
        <f>IFERROR(Rev_Forecast!P69*45%,0)</f>
        <v>4.95</v>
      </c>
      <c r="Q67" s="17">
        <f>IFERROR(Rev_Forecast!Q69*45%,0)</f>
        <v>2.25</v>
      </c>
      <c r="R67" s="17">
        <f>IFERROR(Rev_Forecast!R69*45%,0)</f>
        <v>2.25</v>
      </c>
      <c r="S67" s="17">
        <f>IFERROR(Rev_Forecast!S69*45%,0)</f>
        <v>2.25</v>
      </c>
    </row>
    <row r="68" spans="1:19" x14ac:dyDescent="0.35">
      <c r="A68" s="40" t="s">
        <v>142</v>
      </c>
      <c r="B68" s="15" t="s">
        <v>91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7">
        <f>IFERROR(Rev_Forecast!H70*45%,0)</f>
        <v>2.9677950000000002</v>
      </c>
      <c r="I68" s="17">
        <f>IFERROR(Rev_Forecast!I70*45%,0)</f>
        <v>1.845</v>
      </c>
      <c r="J68" s="17">
        <f>IFERROR(Rev_Forecast!J70*45%,0)</f>
        <v>1.8</v>
      </c>
      <c r="K68" s="17">
        <f>IFERROR(Rev_Forecast!K70*45%,0)</f>
        <v>1.8</v>
      </c>
      <c r="L68" s="17">
        <f>IFERROR(Rev_Forecast!L70*45%,0)</f>
        <v>1.8</v>
      </c>
      <c r="M68" s="17">
        <f>IFERROR(Rev_Forecast!M70*45%,0)</f>
        <v>1.8</v>
      </c>
      <c r="N68" s="17">
        <f>IFERROR(Rev_Forecast!N70*45%,0)</f>
        <v>1.8</v>
      </c>
      <c r="O68" s="17">
        <f>IFERROR(Rev_Forecast!O70*45%,0)</f>
        <v>1.8</v>
      </c>
      <c r="P68" s="17">
        <f>IFERROR(Rev_Forecast!P70*45%,0)</f>
        <v>1.8</v>
      </c>
      <c r="Q68" s="17">
        <f>IFERROR(Rev_Forecast!Q70*45%,0)</f>
        <v>1.8</v>
      </c>
      <c r="R68" s="17">
        <f>IFERROR(Rev_Forecast!R70*45%,0)</f>
        <v>1.8</v>
      </c>
      <c r="S68" s="17">
        <f>IFERROR(Rev_Forecast!S70*45%,0)</f>
        <v>1.8</v>
      </c>
    </row>
    <row r="69" spans="1:19" x14ac:dyDescent="0.35">
      <c r="A69" s="40" t="s">
        <v>142</v>
      </c>
      <c r="B69" s="15" t="s">
        <v>92</v>
      </c>
      <c r="C69" s="15" t="e">
        <f>VLOOKUP(B69,Mapping!A:B,2,0)</f>
        <v>#N/A</v>
      </c>
      <c r="D69" s="15" t="e">
        <f>VLOOKUP(B69,Mapping!A:C,3,0)</f>
        <v>#N/A</v>
      </c>
      <c r="E69" s="16" t="e">
        <f>VLOOKUP(B69,Mapping!A:D,4,0)</f>
        <v>#N/A</v>
      </c>
      <c r="F69" s="16" t="e">
        <f>VLOOKUP(B69,Mapping!A:E,5,0)</f>
        <v>#N/A</v>
      </c>
      <c r="G69" s="16" t="e">
        <f>VLOOKUP(B69,Mapping!A:F,6,0)</f>
        <v>#N/A</v>
      </c>
      <c r="H69" s="17">
        <f>IFERROR(Rev_Forecast!H71*45%,0)</f>
        <v>7.65</v>
      </c>
      <c r="I69" s="17">
        <f>IFERROR(Rev_Forecast!I71*45%,0)</f>
        <v>11.25</v>
      </c>
      <c r="J69" s="17">
        <f>IFERROR(Rev_Forecast!J71*45%,0)</f>
        <v>13.5</v>
      </c>
      <c r="K69" s="17">
        <f>IFERROR(Rev_Forecast!K71*45%,0)</f>
        <v>16.820999999999998</v>
      </c>
      <c r="L69" s="17">
        <f>IFERROR(Rev_Forecast!L71*45%,0)</f>
        <v>16.820999999999998</v>
      </c>
      <c r="M69" s="17">
        <f>IFERROR(Rev_Forecast!M71*45%,0)</f>
        <v>18.418500000000002</v>
      </c>
      <c r="N69" s="17">
        <f>IFERROR(Rev_Forecast!N71*45%,0)</f>
        <v>18.418500000000002</v>
      </c>
      <c r="O69" s="17">
        <f>IFERROR(Rev_Forecast!O71*45%,0)</f>
        <v>18.418500000000002</v>
      </c>
      <c r="P69" s="17">
        <f>IFERROR(Rev_Forecast!P71*45%,0)</f>
        <v>18.418500000000002</v>
      </c>
      <c r="Q69" s="17">
        <f>IFERROR(Rev_Forecast!Q71*45%,0)</f>
        <v>18.418500000000002</v>
      </c>
      <c r="R69" s="17">
        <f>IFERROR(Rev_Forecast!R71*45%,0)</f>
        <v>18.418500000000002</v>
      </c>
      <c r="S69" s="17">
        <f>IFERROR(Rev_Forecast!S71*45%,0)</f>
        <v>18.418500000000002</v>
      </c>
    </row>
    <row r="70" spans="1:19" x14ac:dyDescent="0.35">
      <c r="A70" s="40" t="s">
        <v>142</v>
      </c>
      <c r="B70" s="15" t="s">
        <v>93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7">
        <f>IFERROR(Rev_Forecast!H72*45%,0)</f>
        <v>4.7925000000000004</v>
      </c>
      <c r="I70" s="17">
        <f>IFERROR(Rev_Forecast!I72*45%,0)</f>
        <v>3.8520000000000003</v>
      </c>
      <c r="J70" s="17">
        <f>IFERROR(Rev_Forecast!J72*45%,0)</f>
        <v>2.2949999999999999</v>
      </c>
      <c r="K70" s="17">
        <f>IFERROR(Rev_Forecast!K72*45%,0)</f>
        <v>3.21</v>
      </c>
      <c r="L70" s="17">
        <f>IFERROR(Rev_Forecast!L72*45%,0)</f>
        <v>3.21</v>
      </c>
      <c r="M70" s="17">
        <f>IFERROR(Rev_Forecast!M72*45%,0)</f>
        <v>3.21</v>
      </c>
      <c r="N70" s="17">
        <f>IFERROR(Rev_Forecast!N72*45%,0)</f>
        <v>3.2474999999999996</v>
      </c>
      <c r="O70" s="17">
        <f>IFERROR(Rev_Forecast!O72*45%,0)</f>
        <v>3.2474999999999996</v>
      </c>
      <c r="P70" s="17">
        <f>IFERROR(Rev_Forecast!P72*45%,0)</f>
        <v>3.2474999999999996</v>
      </c>
      <c r="Q70" s="17">
        <f>IFERROR(Rev_Forecast!Q72*45%,0)</f>
        <v>3.0150000000000001</v>
      </c>
      <c r="R70" s="17">
        <f>IFERROR(Rev_Forecast!R72*45%,0)</f>
        <v>3.0150000000000001</v>
      </c>
      <c r="S70" s="17">
        <f>IFERROR(Rev_Forecast!S72*45%,0)</f>
        <v>3.0150000000000001</v>
      </c>
    </row>
    <row r="71" spans="1:19" x14ac:dyDescent="0.35">
      <c r="A71" s="40" t="s">
        <v>142</v>
      </c>
      <c r="B71" s="15" t="s">
        <v>94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7">
        <f>IFERROR(Rev_Forecast!H73*45%,0)</f>
        <v>0</v>
      </c>
      <c r="I71" s="17">
        <f>IFERROR(Rev_Forecast!I73*45%,0)</f>
        <v>0</v>
      </c>
      <c r="J71" s="17">
        <f>IFERROR(Rev_Forecast!J73*45%,0)</f>
        <v>0</v>
      </c>
      <c r="K71" s="17">
        <f>IFERROR(Rev_Forecast!K73*45%,0)</f>
        <v>0.76500000000000001</v>
      </c>
      <c r="L71" s="17">
        <f>IFERROR(Rev_Forecast!L73*45%,0)</f>
        <v>0.76500000000000001</v>
      </c>
      <c r="M71" s="17">
        <f>IFERROR(Rev_Forecast!M73*45%,0)</f>
        <v>0.76500000000000001</v>
      </c>
      <c r="N71" s="17">
        <f>IFERROR(Rev_Forecast!N73*45%,0)</f>
        <v>20.925000000000001</v>
      </c>
      <c r="O71" s="17">
        <f>IFERROR(Rev_Forecast!O73*45%,0)</f>
        <v>20.925000000000001</v>
      </c>
      <c r="P71" s="17">
        <f>IFERROR(Rev_Forecast!P73*45%,0)</f>
        <v>20.925000000000001</v>
      </c>
      <c r="Q71" s="17">
        <f>IFERROR(Rev_Forecast!Q73*45%,0)</f>
        <v>20.925000000000001</v>
      </c>
      <c r="R71" s="17">
        <f>IFERROR(Rev_Forecast!R73*45%,0)</f>
        <v>20.925000000000001</v>
      </c>
      <c r="S71" s="17">
        <f>IFERROR(Rev_Forecast!S73*45%,0)</f>
        <v>20.925000000000001</v>
      </c>
    </row>
    <row r="72" spans="1:19" x14ac:dyDescent="0.35">
      <c r="A72" s="40" t="s">
        <v>142</v>
      </c>
      <c r="B72" s="15" t="s">
        <v>95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7">
        <f>IFERROR(Rev_Forecast!H74*45%,0)</f>
        <v>3.5865</v>
      </c>
      <c r="I72" s="17">
        <f>IFERROR(Rev_Forecast!I74*45%,0)</f>
        <v>4.0888799999999996</v>
      </c>
      <c r="J72" s="17">
        <f>IFERROR(Rev_Forecast!J74*45%,0)</f>
        <v>4.0888799999999996</v>
      </c>
      <c r="K72" s="17">
        <f>IFERROR(Rev_Forecast!K74*45%,0)</f>
        <v>4.5</v>
      </c>
      <c r="L72" s="17">
        <f>IFERROR(Rev_Forecast!L74*45%,0)</f>
        <v>4.5</v>
      </c>
      <c r="M72" s="17">
        <f>IFERROR(Rev_Forecast!M74*45%,0)</f>
        <v>4.5</v>
      </c>
      <c r="N72" s="17">
        <f>IFERROR(Rev_Forecast!N74*45%,0)</f>
        <v>6.4944000000000015</v>
      </c>
      <c r="O72" s="17">
        <f>IFERROR(Rev_Forecast!O74*45%,0)</f>
        <v>6.4944000000000015</v>
      </c>
      <c r="P72" s="17">
        <f>IFERROR(Rev_Forecast!P74*45%,0)</f>
        <v>6.4944000000000015</v>
      </c>
      <c r="Q72" s="17">
        <f>IFERROR(Rev_Forecast!Q74*45%,0)</f>
        <v>6.4944000000000015</v>
      </c>
      <c r="R72" s="17">
        <f>IFERROR(Rev_Forecast!R74*45%,0)</f>
        <v>6.4944000000000015</v>
      </c>
      <c r="S72" s="17">
        <f>IFERROR(Rev_Forecast!S74*45%,0)</f>
        <v>6.4944000000000015</v>
      </c>
    </row>
    <row r="73" spans="1:19" x14ac:dyDescent="0.35">
      <c r="A73" s="40" t="s">
        <v>142</v>
      </c>
      <c r="B73" s="15" t="s">
        <v>97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7">
        <f>IFERROR(Rev_Forecast!H75*45%,0)</f>
        <v>1.3078125</v>
      </c>
      <c r="I73" s="17">
        <f>IFERROR(Rev_Forecast!I75*45%,0)</f>
        <v>3.5775000000000001</v>
      </c>
      <c r="J73" s="17">
        <f>IFERROR(Rev_Forecast!J75*45%,0)</f>
        <v>4.05</v>
      </c>
      <c r="K73" s="17">
        <f>IFERROR(Rev_Forecast!K75*45%,0)</f>
        <v>3.15</v>
      </c>
      <c r="L73" s="17">
        <f>IFERROR(Rev_Forecast!L75*45%,0)</f>
        <v>3.15</v>
      </c>
      <c r="M73" s="17">
        <f>IFERROR(Rev_Forecast!M75*45%,0)</f>
        <v>2.7</v>
      </c>
      <c r="N73" s="17">
        <f>IFERROR(Rev_Forecast!N75*45%,0)</f>
        <v>1.8</v>
      </c>
      <c r="O73" s="17">
        <f>IFERROR(Rev_Forecast!O75*45%,0)</f>
        <v>1.8</v>
      </c>
      <c r="P73" s="17">
        <f>IFERROR(Rev_Forecast!P75*45%,0)</f>
        <v>1.8</v>
      </c>
      <c r="Q73" s="17">
        <f>IFERROR(Rev_Forecast!Q75*45%,0)</f>
        <v>2.25</v>
      </c>
      <c r="R73" s="17">
        <f>IFERROR(Rev_Forecast!R75*45%,0)</f>
        <v>2.25</v>
      </c>
      <c r="S73" s="17">
        <f>IFERROR(Rev_Forecast!S75*45%,0)</f>
        <v>2.25</v>
      </c>
    </row>
    <row r="74" spans="1:19" x14ac:dyDescent="0.35">
      <c r="A74" s="40" t="s">
        <v>142</v>
      </c>
      <c r="B74" s="15" t="s">
        <v>98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7">
        <f>IFERROR(Rev_Forecast!H76*45%,0)</f>
        <v>0</v>
      </c>
      <c r="I74" s="17">
        <f>IFERROR(Rev_Forecast!I76*45%,0)</f>
        <v>0</v>
      </c>
      <c r="J74" s="17">
        <f>IFERROR(Rev_Forecast!J76*45%,0)</f>
        <v>0</v>
      </c>
      <c r="K74" s="17">
        <f>IFERROR(Rev_Forecast!K76*45%,0)</f>
        <v>0</v>
      </c>
      <c r="L74" s="17">
        <f>IFERROR(Rev_Forecast!L76*45%,0)</f>
        <v>0</v>
      </c>
      <c r="M74" s="17">
        <f>IFERROR(Rev_Forecast!M76*45%,0)</f>
        <v>0</v>
      </c>
      <c r="N74" s="17">
        <f>IFERROR(Rev_Forecast!N76*45%,0)</f>
        <v>0</v>
      </c>
      <c r="O74" s="17">
        <f>IFERROR(Rev_Forecast!O76*45%,0)</f>
        <v>0</v>
      </c>
      <c r="P74" s="17">
        <f>IFERROR(Rev_Forecast!P76*45%,0)</f>
        <v>0</v>
      </c>
      <c r="Q74" s="17">
        <f>IFERROR(Rev_Forecast!Q76*45%,0)</f>
        <v>0</v>
      </c>
      <c r="R74" s="17">
        <f>IFERROR(Rev_Forecast!R76*45%,0)</f>
        <v>0</v>
      </c>
      <c r="S74" s="17">
        <f>IFERROR(Rev_Forecast!S76*45%,0)</f>
        <v>0</v>
      </c>
    </row>
    <row r="75" spans="1:19" x14ac:dyDescent="0.35">
      <c r="A75" s="40" t="s">
        <v>142</v>
      </c>
      <c r="B75" s="15" t="s">
        <v>99</v>
      </c>
      <c r="C75" s="15" t="e">
        <f>VLOOKUP(B75,Mapping!A:B,2,0)</f>
        <v>#N/A</v>
      </c>
      <c r="D75" s="15" t="e">
        <f>VLOOKUP(B75,Mapping!A:C,3,0)</f>
        <v>#N/A</v>
      </c>
      <c r="E75" s="16" t="e">
        <f>VLOOKUP(B75,Mapping!A:D,4,0)</f>
        <v>#N/A</v>
      </c>
      <c r="F75" s="16" t="e">
        <f>VLOOKUP(B75,Mapping!A:E,5,0)</f>
        <v>#N/A</v>
      </c>
      <c r="G75" s="16" t="e">
        <f>VLOOKUP(B75,Mapping!A:F,6,0)</f>
        <v>#N/A</v>
      </c>
      <c r="H75" s="17">
        <f>IFERROR(Rev_Forecast!H77*45%,0)</f>
        <v>3.5600805000000002</v>
      </c>
      <c r="I75" s="17">
        <f>IFERROR(Rev_Forecast!I77*45%,0)</f>
        <v>4.7699999999999996</v>
      </c>
      <c r="J75" s="17">
        <f>IFERROR(Rev_Forecast!J77*45%,0)</f>
        <v>1.7235</v>
      </c>
      <c r="K75" s="17">
        <f>IFERROR(Rev_Forecast!K77*45%,0)</f>
        <v>3.7350000000000003</v>
      </c>
      <c r="L75" s="17">
        <f>IFERROR(Rev_Forecast!L77*45%,0)</f>
        <v>3.7350000000000003</v>
      </c>
      <c r="M75" s="17">
        <f>IFERROR(Rev_Forecast!M77*45%,0)</f>
        <v>3.7350000000000003</v>
      </c>
      <c r="N75" s="17">
        <f>IFERROR(Rev_Forecast!N77*45%,0)</f>
        <v>3.5550000000000002</v>
      </c>
      <c r="O75" s="17">
        <f>IFERROR(Rev_Forecast!O77*45%,0)</f>
        <v>3.5550000000000002</v>
      </c>
      <c r="P75" s="17">
        <f>IFERROR(Rev_Forecast!P77*45%,0)</f>
        <v>3.5550000000000002</v>
      </c>
      <c r="Q75" s="17">
        <f>IFERROR(Rev_Forecast!Q77*45%,0)</f>
        <v>3.2625000000000002</v>
      </c>
      <c r="R75" s="17">
        <f>IFERROR(Rev_Forecast!R77*45%,0)</f>
        <v>3.2625000000000002</v>
      </c>
      <c r="S75" s="17">
        <f>IFERROR(Rev_Forecast!S77*45%,0)</f>
        <v>3.2625000000000002</v>
      </c>
    </row>
    <row r="76" spans="1:19" x14ac:dyDescent="0.35">
      <c r="A76" s="40" t="s">
        <v>142</v>
      </c>
      <c r="B76" s="15" t="s">
        <v>100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7">
        <f>IFERROR(Rev_Forecast!H78*45%,0)</f>
        <v>4.05</v>
      </c>
      <c r="I76" s="17">
        <f>IFERROR(Rev_Forecast!I78*45%,0)</f>
        <v>5.625</v>
      </c>
      <c r="J76" s="17">
        <f>IFERROR(Rev_Forecast!J78*45%,0)</f>
        <v>4.95</v>
      </c>
      <c r="K76" s="17">
        <f>IFERROR(Rev_Forecast!K78*45%,0)</f>
        <v>18.139194</v>
      </c>
      <c r="L76" s="17">
        <f>IFERROR(Rev_Forecast!L78*45%,0)</f>
        <v>18.481193999999999</v>
      </c>
      <c r="M76" s="17">
        <f>IFERROR(Rev_Forecast!M78*45%,0)</f>
        <v>22.159944000000003</v>
      </c>
      <c r="N76" s="17">
        <f>IFERROR(Rev_Forecast!N78*45%,0)</f>
        <v>24.729453000000003</v>
      </c>
      <c r="O76" s="17">
        <f>IFERROR(Rev_Forecast!O78*45%,0)</f>
        <v>18.325494000000003</v>
      </c>
      <c r="P76" s="17">
        <f>IFERROR(Rev_Forecast!P78*45%,0)</f>
        <v>24.227266499999999</v>
      </c>
      <c r="Q76" s="17">
        <f>IFERROR(Rev_Forecast!Q78*45%,0)</f>
        <v>24.119716499999999</v>
      </c>
      <c r="R76" s="17">
        <f>IFERROR(Rev_Forecast!R78*45%,0)</f>
        <v>31.501534500000002</v>
      </c>
      <c r="S76" s="17">
        <f>IFERROR(Rev_Forecast!S78*45%,0)</f>
        <v>31.501534500000002</v>
      </c>
    </row>
  </sheetData>
  <conditionalFormatting sqref="A1:B1 I1:S1 E1:G1">
    <cfRule type="duplicateValues" dxfId="60" priority="1"/>
  </conditionalFormatting>
  <conditionalFormatting sqref="B51:B73 B2:B41">
    <cfRule type="duplicateValues" dxfId="59" priority="4"/>
  </conditionalFormatting>
  <conditionalFormatting sqref="B74:B76 B42:B50">
    <cfRule type="duplicateValues" dxfId="58" priority="5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7A847-7AFA-478E-B40F-70BDF5F6BB72}">
  <sheetPr codeName="Sheet6">
    <tabColor theme="5" tint="0.39997558519241921"/>
  </sheetPr>
  <dimension ref="A1:F79"/>
  <sheetViews>
    <sheetView topLeftCell="A40" workbookViewId="0">
      <selection activeCell="A69" sqref="A69"/>
    </sheetView>
  </sheetViews>
  <sheetFormatPr defaultRowHeight="14.5" x14ac:dyDescent="0.35"/>
  <cols>
    <col min="1" max="1" width="28.1796875" bestFit="1" customWidth="1"/>
    <col min="2" max="2" width="10.7265625" bestFit="1" customWidth="1"/>
    <col min="3" max="3" width="11.7265625" bestFit="1" customWidth="1"/>
    <col min="4" max="4" width="13.453125" bestFit="1" customWidth="1"/>
    <col min="5" max="5" width="16.7265625" bestFit="1" customWidth="1"/>
    <col min="6" max="6" width="17.7265625" bestFit="1" customWidth="1"/>
  </cols>
  <sheetData>
    <row r="1" spans="1:6" x14ac:dyDescent="0.35">
      <c r="A1" s="12" t="s">
        <v>0</v>
      </c>
      <c r="B1" s="12" t="s">
        <v>111</v>
      </c>
      <c r="C1" s="12" t="s">
        <v>1</v>
      </c>
      <c r="D1" s="12" t="s">
        <v>116</v>
      </c>
      <c r="E1" s="12" t="s">
        <v>105</v>
      </c>
      <c r="F1" s="12" t="s">
        <v>106</v>
      </c>
    </row>
    <row r="2" spans="1:6" x14ac:dyDescent="0.35">
      <c r="A2" s="9" t="s">
        <v>2</v>
      </c>
      <c r="B2" s="9" t="s">
        <v>113</v>
      </c>
      <c r="C2" s="9" t="s">
        <v>13</v>
      </c>
      <c r="D2" s="9" t="s">
        <v>101</v>
      </c>
      <c r="E2" s="9" t="s">
        <v>3</v>
      </c>
      <c r="F2" s="9" t="s">
        <v>3</v>
      </c>
    </row>
    <row r="3" spans="1:6" x14ac:dyDescent="0.35">
      <c r="A3" s="9" t="s">
        <v>4</v>
      </c>
      <c r="B3" s="9" t="s">
        <v>113</v>
      </c>
      <c r="C3" s="9" t="s">
        <v>5</v>
      </c>
      <c r="D3" s="9" t="s">
        <v>102</v>
      </c>
      <c r="E3" s="9" t="s">
        <v>6</v>
      </c>
      <c r="F3" s="9" t="s">
        <v>7</v>
      </c>
    </row>
    <row r="4" spans="1:6" x14ac:dyDescent="0.35">
      <c r="A4" s="9" t="s">
        <v>8</v>
      </c>
      <c r="B4" s="9" t="s">
        <v>113</v>
      </c>
      <c r="C4" s="9" t="s">
        <v>5</v>
      </c>
      <c r="D4" s="9" t="s">
        <v>103</v>
      </c>
      <c r="E4" s="9" t="s">
        <v>6</v>
      </c>
      <c r="F4" s="9" t="s">
        <v>9</v>
      </c>
    </row>
    <row r="5" spans="1:6" x14ac:dyDescent="0.35">
      <c r="A5" s="9" t="s">
        <v>10</v>
      </c>
      <c r="B5" s="9" t="s">
        <v>113</v>
      </c>
      <c r="C5" s="9" t="s">
        <v>11</v>
      </c>
      <c r="D5" s="9" t="s">
        <v>11</v>
      </c>
      <c r="E5" s="9" t="s">
        <v>6</v>
      </c>
      <c r="F5" s="9" t="s">
        <v>90</v>
      </c>
    </row>
    <row r="6" spans="1:6" x14ac:dyDescent="0.35">
      <c r="A6" s="9" t="s">
        <v>12</v>
      </c>
      <c r="B6" s="9" t="s">
        <v>113</v>
      </c>
      <c r="C6" s="9" t="s">
        <v>13</v>
      </c>
      <c r="D6" s="9" t="s">
        <v>101</v>
      </c>
      <c r="E6" s="9" t="s">
        <v>14</v>
      </c>
      <c r="F6" s="9" t="s">
        <v>15</v>
      </c>
    </row>
    <row r="7" spans="1:6" x14ac:dyDescent="0.35">
      <c r="A7" s="9" t="s">
        <v>16</v>
      </c>
      <c r="B7" s="9" t="s">
        <v>113</v>
      </c>
      <c r="C7" s="9" t="s">
        <v>5</v>
      </c>
      <c r="D7" s="9" t="s">
        <v>102</v>
      </c>
      <c r="E7" s="9" t="s">
        <v>6</v>
      </c>
      <c r="F7" s="9" t="s">
        <v>7</v>
      </c>
    </row>
    <row r="8" spans="1:6" x14ac:dyDescent="0.35">
      <c r="A8" s="9" t="s">
        <v>17</v>
      </c>
      <c r="B8" s="9" t="s">
        <v>113</v>
      </c>
      <c r="C8" s="9" t="s">
        <v>5</v>
      </c>
      <c r="D8" s="9" t="s">
        <v>103</v>
      </c>
      <c r="E8" s="9" t="s">
        <v>6</v>
      </c>
      <c r="F8" s="9" t="s">
        <v>9</v>
      </c>
    </row>
    <row r="9" spans="1:6" x14ac:dyDescent="0.35">
      <c r="A9" s="9" t="s">
        <v>18</v>
      </c>
      <c r="B9" s="9" t="s">
        <v>113</v>
      </c>
      <c r="C9" s="9" t="s">
        <v>5</v>
      </c>
      <c r="D9" s="9" t="s">
        <v>102</v>
      </c>
      <c r="E9" s="9" t="s">
        <v>6</v>
      </c>
      <c r="F9" s="9" t="s">
        <v>19</v>
      </c>
    </row>
    <row r="10" spans="1:6" x14ac:dyDescent="0.35">
      <c r="A10" s="9" t="s">
        <v>20</v>
      </c>
      <c r="B10" s="9" t="s">
        <v>113</v>
      </c>
      <c r="C10" s="9" t="s">
        <v>5</v>
      </c>
      <c r="D10" s="9" t="s">
        <v>102</v>
      </c>
      <c r="E10" s="9" t="s">
        <v>6</v>
      </c>
      <c r="F10" s="9" t="s">
        <v>19</v>
      </c>
    </row>
    <row r="11" spans="1:6" x14ac:dyDescent="0.35">
      <c r="A11" s="9" t="s">
        <v>21</v>
      </c>
      <c r="B11" s="9" t="s">
        <v>113</v>
      </c>
      <c r="C11" s="9" t="s">
        <v>13</v>
      </c>
      <c r="D11" s="9" t="s">
        <v>101</v>
      </c>
      <c r="E11" s="9" t="s">
        <v>22</v>
      </c>
      <c r="F11" s="9" t="s">
        <v>22</v>
      </c>
    </row>
    <row r="12" spans="1:6" x14ac:dyDescent="0.35">
      <c r="A12" s="9" t="s">
        <v>23</v>
      </c>
      <c r="B12" s="9" t="s">
        <v>113</v>
      </c>
      <c r="C12" s="9" t="s">
        <v>13</v>
      </c>
      <c r="D12" s="9" t="s">
        <v>101</v>
      </c>
      <c r="E12" s="9" t="s">
        <v>6</v>
      </c>
      <c r="F12" s="9" t="s">
        <v>24</v>
      </c>
    </row>
    <row r="13" spans="1:6" x14ac:dyDescent="0.35">
      <c r="A13" s="9" t="s">
        <v>25</v>
      </c>
      <c r="B13" s="9" t="s">
        <v>113</v>
      </c>
      <c r="C13" s="9" t="s">
        <v>5</v>
      </c>
      <c r="D13" s="9" t="s">
        <v>102</v>
      </c>
      <c r="E13" s="9" t="s">
        <v>6</v>
      </c>
      <c r="F13" s="9" t="s">
        <v>19</v>
      </c>
    </row>
    <row r="14" spans="1:6" x14ac:dyDescent="0.35">
      <c r="A14" s="9" t="s">
        <v>26</v>
      </c>
      <c r="B14" s="9" t="s">
        <v>113</v>
      </c>
      <c r="C14" s="9" t="s">
        <v>13</v>
      </c>
      <c r="D14" s="9" t="s">
        <v>104</v>
      </c>
      <c r="E14" s="9" t="s">
        <v>14</v>
      </c>
      <c r="F14" s="9" t="s">
        <v>27</v>
      </c>
    </row>
    <row r="15" spans="1:6" x14ac:dyDescent="0.35">
      <c r="A15" s="9" t="s">
        <v>28</v>
      </c>
      <c r="B15" s="9" t="s">
        <v>113</v>
      </c>
      <c r="C15" s="9" t="s">
        <v>5</v>
      </c>
      <c r="D15" s="9" t="s">
        <v>102</v>
      </c>
      <c r="E15" s="9" t="s">
        <v>6</v>
      </c>
      <c r="F15" s="9" t="s">
        <v>107</v>
      </c>
    </row>
    <row r="16" spans="1:6" x14ac:dyDescent="0.35">
      <c r="A16" s="9" t="s">
        <v>29</v>
      </c>
      <c r="B16" s="9" t="s">
        <v>113</v>
      </c>
      <c r="C16" s="9" t="s">
        <v>13</v>
      </c>
      <c r="D16" s="9" t="s">
        <v>104</v>
      </c>
      <c r="E16" s="9" t="s">
        <v>14</v>
      </c>
      <c r="F16" s="9" t="s">
        <v>27</v>
      </c>
    </row>
    <row r="17" spans="1:6" x14ac:dyDescent="0.35">
      <c r="A17" s="9" t="s">
        <v>30</v>
      </c>
      <c r="B17" s="9" t="s">
        <v>113</v>
      </c>
      <c r="C17" s="9" t="s">
        <v>13</v>
      </c>
      <c r="D17" s="9" t="s">
        <v>101</v>
      </c>
      <c r="E17" s="9" t="s">
        <v>14</v>
      </c>
      <c r="F17" s="9" t="s">
        <v>31</v>
      </c>
    </row>
    <row r="18" spans="1:6" x14ac:dyDescent="0.35">
      <c r="A18" s="9" t="s">
        <v>32</v>
      </c>
      <c r="B18" s="9" t="s">
        <v>113</v>
      </c>
      <c r="C18" s="9" t="s">
        <v>5</v>
      </c>
      <c r="D18" s="9" t="s">
        <v>103</v>
      </c>
      <c r="E18" s="9" t="s">
        <v>6</v>
      </c>
      <c r="F18" s="9" t="s">
        <v>6</v>
      </c>
    </row>
    <row r="19" spans="1:6" x14ac:dyDescent="0.35">
      <c r="A19" s="9" t="s">
        <v>33</v>
      </c>
      <c r="B19" s="9" t="s">
        <v>113</v>
      </c>
      <c r="C19" s="9" t="s">
        <v>5</v>
      </c>
      <c r="D19" s="9" t="s">
        <v>102</v>
      </c>
      <c r="E19" s="9" t="s">
        <v>6</v>
      </c>
      <c r="F19" s="9" t="s">
        <v>19</v>
      </c>
    </row>
    <row r="20" spans="1:6" x14ac:dyDescent="0.35">
      <c r="A20" s="9" t="s">
        <v>34</v>
      </c>
      <c r="B20" s="9" t="s">
        <v>113</v>
      </c>
      <c r="C20" s="9" t="s">
        <v>13</v>
      </c>
      <c r="D20" s="9" t="s">
        <v>101</v>
      </c>
      <c r="E20" s="9" t="s">
        <v>14</v>
      </c>
      <c r="F20" s="9" t="s">
        <v>24</v>
      </c>
    </row>
    <row r="21" spans="1:6" x14ac:dyDescent="0.35">
      <c r="A21" s="9" t="s">
        <v>35</v>
      </c>
      <c r="B21" s="9" t="s">
        <v>113</v>
      </c>
      <c r="C21" s="9" t="s">
        <v>5</v>
      </c>
      <c r="D21" s="9" t="s">
        <v>102</v>
      </c>
      <c r="E21" s="9" t="s">
        <v>6</v>
      </c>
      <c r="F21" s="9" t="s">
        <v>36</v>
      </c>
    </row>
    <row r="22" spans="1:6" x14ac:dyDescent="0.35">
      <c r="A22" s="9" t="s">
        <v>37</v>
      </c>
      <c r="B22" s="9" t="s">
        <v>113</v>
      </c>
      <c r="C22" s="9" t="s">
        <v>13</v>
      </c>
      <c r="D22" s="9" t="s">
        <v>104</v>
      </c>
      <c r="E22" s="9" t="s">
        <v>14</v>
      </c>
      <c r="F22" s="9" t="s">
        <v>31</v>
      </c>
    </row>
    <row r="23" spans="1:6" x14ac:dyDescent="0.35">
      <c r="A23" s="9" t="s">
        <v>38</v>
      </c>
      <c r="B23" s="9" t="s">
        <v>113</v>
      </c>
      <c r="C23" s="9" t="s">
        <v>11</v>
      </c>
      <c r="D23" s="9" t="s">
        <v>11</v>
      </c>
      <c r="E23" s="9" t="s">
        <v>6</v>
      </c>
      <c r="F23" s="9" t="s">
        <v>90</v>
      </c>
    </row>
    <row r="24" spans="1:6" x14ac:dyDescent="0.35">
      <c r="A24" s="9" t="s">
        <v>39</v>
      </c>
      <c r="B24" s="9" t="s">
        <v>113</v>
      </c>
      <c r="C24" s="9" t="s">
        <v>13</v>
      </c>
      <c r="D24" s="9" t="s">
        <v>104</v>
      </c>
      <c r="E24" s="9" t="s">
        <v>14</v>
      </c>
      <c r="F24" s="9" t="s">
        <v>27</v>
      </c>
    </row>
    <row r="25" spans="1:6" x14ac:dyDescent="0.35">
      <c r="A25" s="9" t="s">
        <v>40</v>
      </c>
      <c r="B25" s="9" t="s">
        <v>113</v>
      </c>
      <c r="C25" s="9" t="s">
        <v>5</v>
      </c>
      <c r="D25" s="9" t="s">
        <v>103</v>
      </c>
      <c r="E25" s="9" t="s">
        <v>6</v>
      </c>
      <c r="F25" s="9" t="s">
        <v>9</v>
      </c>
    </row>
    <row r="26" spans="1:6" x14ac:dyDescent="0.35">
      <c r="A26" s="9" t="s">
        <v>41</v>
      </c>
      <c r="B26" s="9" t="s">
        <v>113</v>
      </c>
      <c r="C26" s="9" t="s">
        <v>13</v>
      </c>
      <c r="D26" s="9" t="s">
        <v>104</v>
      </c>
      <c r="E26" s="9" t="s">
        <v>14</v>
      </c>
      <c r="F26" s="9" t="s">
        <v>27</v>
      </c>
    </row>
    <row r="27" spans="1:6" x14ac:dyDescent="0.35">
      <c r="A27" s="9" t="s">
        <v>42</v>
      </c>
      <c r="B27" s="9" t="s">
        <v>113</v>
      </c>
      <c r="C27" s="9" t="s">
        <v>11</v>
      </c>
      <c r="D27" s="9" t="s">
        <v>11</v>
      </c>
      <c r="E27" s="9" t="s">
        <v>6</v>
      </c>
      <c r="F27" s="9" t="s">
        <v>90</v>
      </c>
    </row>
    <row r="28" spans="1:6" x14ac:dyDescent="0.35">
      <c r="A28" s="9" t="s">
        <v>43</v>
      </c>
      <c r="B28" s="9" t="s">
        <v>113</v>
      </c>
      <c r="C28" s="9" t="s">
        <v>5</v>
      </c>
      <c r="D28" s="9" t="s">
        <v>103</v>
      </c>
      <c r="E28" s="9" t="s">
        <v>6</v>
      </c>
      <c r="F28" s="9" t="s">
        <v>9</v>
      </c>
    </row>
    <row r="29" spans="1:6" x14ac:dyDescent="0.35">
      <c r="A29" s="9" t="s">
        <v>44</v>
      </c>
      <c r="B29" s="9" t="s">
        <v>113</v>
      </c>
      <c r="C29" s="9" t="s">
        <v>11</v>
      </c>
      <c r="D29" s="9" t="s">
        <v>11</v>
      </c>
      <c r="E29" s="9" t="s">
        <v>6</v>
      </c>
      <c r="F29" s="9" t="s">
        <v>90</v>
      </c>
    </row>
    <row r="30" spans="1:6" x14ac:dyDescent="0.35">
      <c r="A30" s="9" t="s">
        <v>45</v>
      </c>
      <c r="B30" s="9" t="s">
        <v>113</v>
      </c>
      <c r="C30" s="9" t="s">
        <v>13</v>
      </c>
      <c r="D30" s="9" t="s">
        <v>104</v>
      </c>
      <c r="E30" s="9" t="s">
        <v>14</v>
      </c>
      <c r="F30" s="9" t="s">
        <v>27</v>
      </c>
    </row>
    <row r="31" spans="1:6" x14ac:dyDescent="0.35">
      <c r="A31" s="9" t="s">
        <v>46</v>
      </c>
      <c r="B31" s="9" t="s">
        <v>113</v>
      </c>
      <c r="C31" s="9" t="s">
        <v>5</v>
      </c>
      <c r="D31" s="9" t="s">
        <v>102</v>
      </c>
      <c r="E31" s="9" t="s">
        <v>6</v>
      </c>
      <c r="F31" s="9" t="s">
        <v>19</v>
      </c>
    </row>
    <row r="32" spans="1:6" x14ac:dyDescent="0.35">
      <c r="A32" s="9" t="s">
        <v>47</v>
      </c>
      <c r="B32" s="9" t="s">
        <v>113</v>
      </c>
      <c r="C32" s="9" t="s">
        <v>5</v>
      </c>
      <c r="D32" s="9" t="s">
        <v>102</v>
      </c>
      <c r="E32" s="9" t="s">
        <v>6</v>
      </c>
      <c r="F32" s="9" t="s">
        <v>19</v>
      </c>
    </row>
    <row r="33" spans="1:6" x14ac:dyDescent="0.35">
      <c r="A33" s="9" t="s">
        <v>48</v>
      </c>
      <c r="B33" s="9" t="s">
        <v>113</v>
      </c>
      <c r="C33" s="9" t="s">
        <v>5</v>
      </c>
      <c r="D33" s="9" t="s">
        <v>102</v>
      </c>
      <c r="E33" s="9" t="s">
        <v>6</v>
      </c>
      <c r="F33" s="9" t="s">
        <v>19</v>
      </c>
    </row>
    <row r="34" spans="1:6" x14ac:dyDescent="0.35">
      <c r="A34" s="9" t="s">
        <v>49</v>
      </c>
      <c r="B34" s="9" t="s">
        <v>113</v>
      </c>
      <c r="C34" s="9" t="s">
        <v>11</v>
      </c>
      <c r="D34" s="9" t="s">
        <v>11</v>
      </c>
      <c r="E34" s="9" t="s">
        <v>6</v>
      </c>
      <c r="F34" s="9" t="s">
        <v>90</v>
      </c>
    </row>
    <row r="35" spans="1:6" x14ac:dyDescent="0.35">
      <c r="A35" s="9" t="s">
        <v>50</v>
      </c>
      <c r="B35" s="9" t="s">
        <v>113</v>
      </c>
      <c r="C35" s="9" t="s">
        <v>11</v>
      </c>
      <c r="D35" s="9" t="s">
        <v>11</v>
      </c>
      <c r="E35" s="9" t="s">
        <v>6</v>
      </c>
      <c r="F35" s="9" t="s">
        <v>90</v>
      </c>
    </row>
    <row r="36" spans="1:6" x14ac:dyDescent="0.35">
      <c r="A36" s="9" t="s">
        <v>51</v>
      </c>
      <c r="B36" s="9" t="s">
        <v>113</v>
      </c>
      <c r="C36" s="9" t="s">
        <v>5</v>
      </c>
      <c r="D36" s="9" t="s">
        <v>102</v>
      </c>
      <c r="E36" s="9" t="s">
        <v>6</v>
      </c>
      <c r="F36" s="9" t="s">
        <v>19</v>
      </c>
    </row>
    <row r="37" spans="1:6" x14ac:dyDescent="0.35">
      <c r="A37" s="9" t="s">
        <v>52</v>
      </c>
      <c r="B37" s="9" t="s">
        <v>113</v>
      </c>
      <c r="C37" s="9" t="s">
        <v>5</v>
      </c>
      <c r="D37" s="9" t="s">
        <v>103</v>
      </c>
      <c r="E37" s="9" t="s">
        <v>6</v>
      </c>
      <c r="F37" s="9" t="s">
        <v>9</v>
      </c>
    </row>
    <row r="38" spans="1:6" x14ac:dyDescent="0.35">
      <c r="A38" s="9" t="s">
        <v>53</v>
      </c>
      <c r="B38" s="9" t="s">
        <v>113</v>
      </c>
      <c r="C38" s="9" t="s">
        <v>5</v>
      </c>
      <c r="D38" s="9" t="s">
        <v>102</v>
      </c>
      <c r="E38" s="9" t="s">
        <v>6</v>
      </c>
      <c r="F38" s="9" t="s">
        <v>54</v>
      </c>
    </row>
    <row r="39" spans="1:6" x14ac:dyDescent="0.35">
      <c r="A39" s="9" t="s">
        <v>55</v>
      </c>
      <c r="B39" s="9" t="s">
        <v>113</v>
      </c>
      <c r="C39" s="9" t="s">
        <v>13</v>
      </c>
      <c r="D39" s="9" t="s">
        <v>104</v>
      </c>
      <c r="E39" s="9" t="s">
        <v>14</v>
      </c>
      <c r="F39" s="9" t="s">
        <v>27</v>
      </c>
    </row>
    <row r="40" spans="1:6" x14ac:dyDescent="0.35">
      <c r="A40" s="9" t="s">
        <v>56</v>
      </c>
      <c r="B40" s="9" t="s">
        <v>113</v>
      </c>
      <c r="C40" s="9" t="s">
        <v>11</v>
      </c>
      <c r="D40" s="9" t="s">
        <v>11</v>
      </c>
      <c r="E40" s="9" t="s">
        <v>6</v>
      </c>
      <c r="F40" s="9" t="s">
        <v>90</v>
      </c>
    </row>
    <row r="41" spans="1:6" x14ac:dyDescent="0.35">
      <c r="A41" s="9" t="s">
        <v>57</v>
      </c>
      <c r="B41" s="9" t="s">
        <v>113</v>
      </c>
      <c r="C41" s="9" t="s">
        <v>13</v>
      </c>
      <c r="D41" s="9" t="s">
        <v>104</v>
      </c>
      <c r="E41" s="9" t="s">
        <v>14</v>
      </c>
      <c r="F41" s="9" t="s">
        <v>27</v>
      </c>
    </row>
    <row r="42" spans="1:6" x14ac:dyDescent="0.35">
      <c r="A42" s="9" t="s">
        <v>58</v>
      </c>
      <c r="B42" s="9" t="s">
        <v>113</v>
      </c>
      <c r="C42" s="9" t="s">
        <v>5</v>
      </c>
      <c r="D42" s="9" t="s">
        <v>102</v>
      </c>
      <c r="E42" s="9" t="s">
        <v>6</v>
      </c>
      <c r="F42" s="9" t="s">
        <v>59</v>
      </c>
    </row>
    <row r="43" spans="1:6" x14ac:dyDescent="0.35">
      <c r="A43" s="9" t="s">
        <v>60</v>
      </c>
      <c r="B43" s="9" t="s">
        <v>113</v>
      </c>
      <c r="C43" s="9" t="s">
        <v>5</v>
      </c>
      <c r="D43" s="9" t="s">
        <v>103</v>
      </c>
      <c r="E43" s="9" t="s">
        <v>6</v>
      </c>
      <c r="F43" s="9" t="s">
        <v>9</v>
      </c>
    </row>
    <row r="44" spans="1:6" x14ac:dyDescent="0.35">
      <c r="A44" s="9" t="s">
        <v>61</v>
      </c>
      <c r="B44" s="9" t="s">
        <v>113</v>
      </c>
      <c r="C44" s="9" t="s">
        <v>5</v>
      </c>
      <c r="D44" s="9" t="s">
        <v>102</v>
      </c>
      <c r="E44" s="9" t="s">
        <v>6</v>
      </c>
      <c r="F44" s="9" t="s">
        <v>59</v>
      </c>
    </row>
    <row r="45" spans="1:6" x14ac:dyDescent="0.35">
      <c r="A45" s="9" t="s">
        <v>62</v>
      </c>
      <c r="B45" s="9" t="s">
        <v>113</v>
      </c>
      <c r="C45" s="9" t="s">
        <v>13</v>
      </c>
      <c r="D45" s="9" t="s">
        <v>104</v>
      </c>
      <c r="E45" s="9" t="s">
        <v>14</v>
      </c>
      <c r="F45" s="9" t="s">
        <v>31</v>
      </c>
    </row>
    <row r="46" spans="1:6" x14ac:dyDescent="0.35">
      <c r="A46" s="9" t="s">
        <v>63</v>
      </c>
      <c r="B46" s="9" t="s">
        <v>113</v>
      </c>
      <c r="C46" s="9" t="s">
        <v>5</v>
      </c>
      <c r="D46" s="9" t="s">
        <v>102</v>
      </c>
      <c r="E46" s="9" t="s">
        <v>6</v>
      </c>
      <c r="F46" s="9" t="s">
        <v>59</v>
      </c>
    </row>
    <row r="47" spans="1:6" x14ac:dyDescent="0.35">
      <c r="A47" s="9" t="s">
        <v>64</v>
      </c>
      <c r="B47" s="9" t="s">
        <v>113</v>
      </c>
      <c r="C47" s="9" t="s">
        <v>13</v>
      </c>
      <c r="D47" s="9" t="s">
        <v>104</v>
      </c>
      <c r="E47" s="9" t="s">
        <v>14</v>
      </c>
      <c r="F47" s="9" t="s">
        <v>14</v>
      </c>
    </row>
    <row r="48" spans="1:6" x14ac:dyDescent="0.35">
      <c r="A48" s="9" t="s">
        <v>65</v>
      </c>
      <c r="B48" s="9" t="s">
        <v>113</v>
      </c>
      <c r="C48" s="9" t="s">
        <v>13</v>
      </c>
      <c r="D48" s="9" t="s">
        <v>104</v>
      </c>
      <c r="E48" s="9" t="s">
        <v>14</v>
      </c>
      <c r="F48" s="9" t="s">
        <v>14</v>
      </c>
    </row>
    <row r="49" spans="1:6" x14ac:dyDescent="0.35">
      <c r="A49" s="9" t="s">
        <v>66</v>
      </c>
      <c r="B49" s="9" t="s">
        <v>113</v>
      </c>
      <c r="C49" s="9" t="s">
        <v>13</v>
      </c>
      <c r="D49" s="9" t="s">
        <v>104</v>
      </c>
      <c r="E49" s="9" t="s">
        <v>14</v>
      </c>
      <c r="F49" s="9" t="s">
        <v>67</v>
      </c>
    </row>
    <row r="50" spans="1:6" x14ac:dyDescent="0.35">
      <c r="A50" s="9" t="s">
        <v>68</v>
      </c>
      <c r="B50" s="9" t="s">
        <v>113</v>
      </c>
      <c r="C50" s="9" t="s">
        <v>5</v>
      </c>
      <c r="D50" s="9" t="s">
        <v>102</v>
      </c>
      <c r="E50" s="9" t="s">
        <v>6</v>
      </c>
      <c r="F50" s="9" t="s">
        <v>59</v>
      </c>
    </row>
    <row r="51" spans="1:6" x14ac:dyDescent="0.35">
      <c r="A51" s="9" t="s">
        <v>69</v>
      </c>
      <c r="B51" s="9" t="s">
        <v>112</v>
      </c>
      <c r="C51" s="9" t="s">
        <v>13</v>
      </c>
      <c r="D51" s="9" t="s">
        <v>101</v>
      </c>
      <c r="E51" s="9" t="s">
        <v>3</v>
      </c>
      <c r="F51" s="9" t="s">
        <v>70</v>
      </c>
    </row>
    <row r="52" spans="1:6" x14ac:dyDescent="0.35">
      <c r="A52" s="9" t="s">
        <v>71</v>
      </c>
      <c r="B52" s="9" t="s">
        <v>112</v>
      </c>
      <c r="C52" s="9" t="s">
        <v>13</v>
      </c>
      <c r="D52" s="9" t="s">
        <v>104</v>
      </c>
      <c r="E52" s="9" t="s">
        <v>14</v>
      </c>
      <c r="F52" s="9" t="s">
        <v>70</v>
      </c>
    </row>
    <row r="53" spans="1:6" x14ac:dyDescent="0.35">
      <c r="A53" s="9" t="s">
        <v>72</v>
      </c>
      <c r="B53" s="9" t="s">
        <v>112</v>
      </c>
      <c r="C53" s="9" t="s">
        <v>5</v>
      </c>
      <c r="D53" s="9" t="s">
        <v>103</v>
      </c>
      <c r="E53" s="9" t="s">
        <v>6</v>
      </c>
      <c r="F53" s="9" t="s">
        <v>70</v>
      </c>
    </row>
    <row r="54" spans="1:6" x14ac:dyDescent="0.35">
      <c r="A54" s="9" t="s">
        <v>73</v>
      </c>
      <c r="B54" s="9" t="s">
        <v>112</v>
      </c>
      <c r="C54" s="9" t="s">
        <v>5</v>
      </c>
      <c r="D54" s="9" t="s">
        <v>102</v>
      </c>
      <c r="E54" s="9" t="s">
        <v>6</v>
      </c>
      <c r="F54" s="9" t="s">
        <v>70</v>
      </c>
    </row>
    <row r="55" spans="1:6" x14ac:dyDescent="0.35">
      <c r="A55" s="9" t="s">
        <v>74</v>
      </c>
      <c r="B55" s="9" t="s">
        <v>112</v>
      </c>
      <c r="C55" s="9" t="s">
        <v>5</v>
      </c>
      <c r="D55" s="9" t="s">
        <v>102</v>
      </c>
      <c r="E55" s="9" t="s">
        <v>6</v>
      </c>
      <c r="F55" s="9" t="s">
        <v>70</v>
      </c>
    </row>
    <row r="56" spans="1:6" x14ac:dyDescent="0.35">
      <c r="A56" s="9" t="s">
        <v>75</v>
      </c>
      <c r="B56" s="9" t="s">
        <v>112</v>
      </c>
      <c r="C56" s="9" t="s">
        <v>13</v>
      </c>
      <c r="D56" s="9" t="s">
        <v>104</v>
      </c>
      <c r="E56" s="9" t="s">
        <v>14</v>
      </c>
      <c r="F56" s="9" t="s">
        <v>70</v>
      </c>
    </row>
    <row r="57" spans="1:6" x14ac:dyDescent="0.35">
      <c r="A57" s="9" t="s">
        <v>76</v>
      </c>
      <c r="B57" s="9" t="s">
        <v>112</v>
      </c>
      <c r="C57" s="9" t="s">
        <v>13</v>
      </c>
      <c r="D57" s="9" t="s">
        <v>104</v>
      </c>
      <c r="E57" s="9" t="s">
        <v>14</v>
      </c>
      <c r="F57" s="9" t="s">
        <v>70</v>
      </c>
    </row>
    <row r="58" spans="1:6" x14ac:dyDescent="0.35">
      <c r="A58" s="9" t="s">
        <v>77</v>
      </c>
      <c r="B58" s="9" t="s">
        <v>112</v>
      </c>
      <c r="C58" s="9" t="s">
        <v>11</v>
      </c>
      <c r="D58" s="9" t="s">
        <v>11</v>
      </c>
      <c r="E58" s="9" t="s">
        <v>6</v>
      </c>
      <c r="F58" s="9" t="s">
        <v>70</v>
      </c>
    </row>
    <row r="59" spans="1:6" x14ac:dyDescent="0.35">
      <c r="A59" s="9" t="s">
        <v>78</v>
      </c>
      <c r="B59" s="9" t="s">
        <v>112</v>
      </c>
      <c r="C59" s="9" t="s">
        <v>5</v>
      </c>
      <c r="D59" s="9" t="s">
        <v>102</v>
      </c>
      <c r="E59" s="9" t="s">
        <v>6</v>
      </c>
      <c r="F59" s="9" t="s">
        <v>70</v>
      </c>
    </row>
    <row r="60" spans="1:6" x14ac:dyDescent="0.35">
      <c r="A60" s="9" t="s">
        <v>79</v>
      </c>
      <c r="B60" s="9" t="s">
        <v>112</v>
      </c>
      <c r="C60" s="9" t="s">
        <v>5</v>
      </c>
      <c r="D60" s="9" t="s">
        <v>103</v>
      </c>
      <c r="E60" s="9" t="s">
        <v>6</v>
      </c>
      <c r="F60" s="9" t="s">
        <v>70</v>
      </c>
    </row>
    <row r="61" spans="1:6" x14ac:dyDescent="0.35">
      <c r="A61" s="9" t="s">
        <v>80</v>
      </c>
      <c r="B61" s="9" t="s">
        <v>112</v>
      </c>
      <c r="C61" s="9" t="s">
        <v>11</v>
      </c>
      <c r="D61" s="9" t="s">
        <v>11</v>
      </c>
      <c r="E61" s="9" t="s">
        <v>6</v>
      </c>
      <c r="F61" s="9" t="s">
        <v>70</v>
      </c>
    </row>
    <row r="62" spans="1:6" x14ac:dyDescent="0.35">
      <c r="A62" s="9" t="s">
        <v>81</v>
      </c>
      <c r="B62" s="9" t="s">
        <v>112</v>
      </c>
      <c r="C62" s="9" t="s">
        <v>11</v>
      </c>
      <c r="D62" s="9" t="s">
        <v>11</v>
      </c>
      <c r="E62" s="9" t="s">
        <v>6</v>
      </c>
      <c r="F62" s="9" t="s">
        <v>70</v>
      </c>
    </row>
    <row r="63" spans="1:6" x14ac:dyDescent="0.35">
      <c r="A63" s="9" t="s">
        <v>82</v>
      </c>
      <c r="B63" s="9" t="s">
        <v>112</v>
      </c>
      <c r="C63" s="9" t="s">
        <v>5</v>
      </c>
      <c r="D63" s="9" t="s">
        <v>102</v>
      </c>
      <c r="E63" s="9" t="s">
        <v>6</v>
      </c>
      <c r="F63" s="9" t="s">
        <v>70</v>
      </c>
    </row>
    <row r="64" spans="1:6" x14ac:dyDescent="0.35">
      <c r="A64" s="9" t="s">
        <v>83</v>
      </c>
      <c r="B64" s="9" t="s">
        <v>112</v>
      </c>
      <c r="C64" s="9" t="s">
        <v>11</v>
      </c>
      <c r="D64" s="9" t="s">
        <v>11</v>
      </c>
      <c r="E64" s="9" t="s">
        <v>6</v>
      </c>
      <c r="F64" s="9" t="s">
        <v>70</v>
      </c>
    </row>
    <row r="65" spans="1:6" x14ac:dyDescent="0.35">
      <c r="A65" s="9" t="s">
        <v>84</v>
      </c>
      <c r="B65" s="9" t="s">
        <v>113</v>
      </c>
      <c r="C65" s="9" t="s">
        <v>13</v>
      </c>
      <c r="D65" s="9" t="s">
        <v>101</v>
      </c>
      <c r="E65" s="9" t="s">
        <v>85</v>
      </c>
      <c r="F65" s="9" t="s">
        <v>85</v>
      </c>
    </row>
    <row r="66" spans="1:6" x14ac:dyDescent="0.35">
      <c r="A66" s="9" t="s">
        <v>86</v>
      </c>
      <c r="B66" s="9" t="s">
        <v>113</v>
      </c>
      <c r="C66" s="9" t="s">
        <v>87</v>
      </c>
      <c r="D66" s="9" t="s">
        <v>87</v>
      </c>
      <c r="E66" s="9" t="s">
        <v>88</v>
      </c>
      <c r="F66" s="9" t="s">
        <v>88</v>
      </c>
    </row>
    <row r="67" spans="1:6" x14ac:dyDescent="0.35">
      <c r="A67" s="9" t="s">
        <v>89</v>
      </c>
      <c r="B67" s="9" t="s">
        <v>113</v>
      </c>
      <c r="C67" s="9" t="s">
        <v>11</v>
      </c>
      <c r="D67" s="9" t="s">
        <v>11</v>
      </c>
      <c r="E67" s="9" t="s">
        <v>6</v>
      </c>
      <c r="F67" s="9" t="s">
        <v>90</v>
      </c>
    </row>
    <row r="68" spans="1:6" x14ac:dyDescent="0.35">
      <c r="A68" s="9" t="s">
        <v>91</v>
      </c>
      <c r="B68" s="9" t="s">
        <v>113</v>
      </c>
      <c r="C68" s="9" t="s">
        <v>11</v>
      </c>
      <c r="D68" s="9" t="s">
        <v>11</v>
      </c>
      <c r="E68" s="9" t="s">
        <v>6</v>
      </c>
      <c r="F68" s="9" t="s">
        <v>90</v>
      </c>
    </row>
    <row r="69" spans="1:6" x14ac:dyDescent="0.35">
      <c r="A69" s="9" t="s">
        <v>131</v>
      </c>
      <c r="B69" s="9" t="s">
        <v>113</v>
      </c>
      <c r="C69" s="9" t="s">
        <v>5</v>
      </c>
      <c r="D69" s="9" t="s">
        <v>102</v>
      </c>
      <c r="E69" s="9" t="s">
        <v>6</v>
      </c>
      <c r="F69" s="9" t="s">
        <v>6</v>
      </c>
    </row>
    <row r="70" spans="1:6" x14ac:dyDescent="0.35">
      <c r="A70" s="9" t="s">
        <v>93</v>
      </c>
      <c r="B70" s="9" t="s">
        <v>113</v>
      </c>
      <c r="C70" s="9" t="s">
        <v>5</v>
      </c>
      <c r="D70" s="9" t="s">
        <v>102</v>
      </c>
      <c r="E70" s="9" t="s">
        <v>6</v>
      </c>
      <c r="F70" s="9" t="s">
        <v>19</v>
      </c>
    </row>
    <row r="71" spans="1:6" x14ac:dyDescent="0.35">
      <c r="A71" s="9" t="s">
        <v>94</v>
      </c>
      <c r="B71" s="9" t="s">
        <v>113</v>
      </c>
      <c r="C71" s="9" t="s">
        <v>5</v>
      </c>
      <c r="D71" s="9" t="s">
        <v>102</v>
      </c>
      <c r="E71" s="9" t="s">
        <v>6</v>
      </c>
      <c r="F71" s="9" t="s">
        <v>90</v>
      </c>
    </row>
    <row r="72" spans="1:6" x14ac:dyDescent="0.35">
      <c r="A72" s="9" t="s">
        <v>95</v>
      </c>
      <c r="B72" s="9" t="s">
        <v>113</v>
      </c>
      <c r="C72" s="9" t="s">
        <v>13</v>
      </c>
      <c r="D72" s="9" t="s">
        <v>104</v>
      </c>
      <c r="E72" s="9" t="s">
        <v>14</v>
      </c>
      <c r="F72" s="9" t="s">
        <v>96</v>
      </c>
    </row>
    <row r="73" spans="1:6" x14ac:dyDescent="0.35">
      <c r="A73" s="9" t="s">
        <v>97</v>
      </c>
      <c r="B73" s="9" t="s">
        <v>113</v>
      </c>
      <c r="C73" s="9" t="s">
        <v>13</v>
      </c>
      <c r="D73" s="9" t="s">
        <v>104</v>
      </c>
      <c r="E73" s="9" t="s">
        <v>14</v>
      </c>
      <c r="F73" s="9" t="s">
        <v>24</v>
      </c>
    </row>
    <row r="74" spans="1:6" x14ac:dyDescent="0.35">
      <c r="A74" s="9" t="s">
        <v>98</v>
      </c>
      <c r="B74" s="9" t="s">
        <v>113</v>
      </c>
      <c r="C74" s="9" t="s">
        <v>5</v>
      </c>
      <c r="D74" s="9" t="s">
        <v>102</v>
      </c>
      <c r="E74" s="9" t="s">
        <v>6</v>
      </c>
      <c r="F74" s="9" t="s">
        <v>6</v>
      </c>
    </row>
    <row r="75" spans="1:6" x14ac:dyDescent="0.35">
      <c r="A75" s="9" t="s">
        <v>130</v>
      </c>
      <c r="B75" s="9" t="s">
        <v>113</v>
      </c>
      <c r="C75" s="9" t="s">
        <v>5</v>
      </c>
      <c r="D75" s="9" t="s">
        <v>102</v>
      </c>
      <c r="E75" s="9" t="s">
        <v>6</v>
      </c>
      <c r="F75" s="9" t="s">
        <v>6</v>
      </c>
    </row>
    <row r="76" spans="1:6" x14ac:dyDescent="0.35">
      <c r="A76" s="9" t="s">
        <v>100</v>
      </c>
      <c r="B76" s="9" t="s">
        <v>113</v>
      </c>
      <c r="C76" s="9" t="s">
        <v>5</v>
      </c>
      <c r="D76" s="9" t="s">
        <v>102</v>
      </c>
      <c r="E76" s="9" t="s">
        <v>6</v>
      </c>
      <c r="F76" s="9" t="s">
        <v>6</v>
      </c>
    </row>
    <row r="77" spans="1:6" x14ac:dyDescent="0.35">
      <c r="A77" s="9" t="s">
        <v>108</v>
      </c>
      <c r="B77" s="9" t="s">
        <v>113</v>
      </c>
      <c r="C77" t="s">
        <v>11</v>
      </c>
      <c r="D77" s="9" t="s">
        <v>11</v>
      </c>
      <c r="E77" s="9" t="s">
        <v>6</v>
      </c>
      <c r="F77" s="9" t="s">
        <v>6</v>
      </c>
    </row>
    <row r="78" spans="1:6" x14ac:dyDescent="0.35">
      <c r="A78" s="9" t="s">
        <v>109</v>
      </c>
      <c r="B78" s="9" t="s">
        <v>113</v>
      </c>
      <c r="C78" t="s">
        <v>5</v>
      </c>
      <c r="D78" s="9" t="s">
        <v>102</v>
      </c>
      <c r="E78" s="9" t="s">
        <v>6</v>
      </c>
      <c r="F78" s="9" t="s">
        <v>6</v>
      </c>
    </row>
    <row r="79" spans="1:6" x14ac:dyDescent="0.35">
      <c r="A79" s="9" t="s">
        <v>110</v>
      </c>
      <c r="B79" s="9" t="s">
        <v>113</v>
      </c>
      <c r="C79" t="s">
        <v>5</v>
      </c>
      <c r="D79" s="9" t="s">
        <v>102</v>
      </c>
      <c r="E79" s="9" t="s">
        <v>6</v>
      </c>
      <c r="F79" s="9" t="s">
        <v>6</v>
      </c>
    </row>
  </sheetData>
  <conditionalFormatting sqref="A1:A41 A51:A73">
    <cfRule type="duplicateValues" dxfId="57" priority="4"/>
  </conditionalFormatting>
  <conditionalFormatting sqref="A42:A50 A74:A79">
    <cfRule type="duplicateValues" dxfId="56" priority="5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60626-9EEC-4A35-A38F-BC36571F06F1}">
  <sheetPr codeName="Sheet8">
    <tabColor rgb="FF92D050"/>
  </sheetPr>
  <dimension ref="A1:T87"/>
  <sheetViews>
    <sheetView topLeftCell="C1" workbookViewId="0">
      <pane ySplit="1" topLeftCell="A40" activePane="bottomLeft" state="frozenSplit"/>
      <selection activeCell="R1" sqref="R1"/>
      <selection pane="bottomLeft" activeCell="I43" sqref="I43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customWidth="1"/>
    <col min="4" max="4" width="10.1796875" customWidth="1"/>
    <col min="5" max="5" width="10.81640625" customWidth="1"/>
    <col min="6" max="6" width="12.1796875" customWidth="1"/>
    <col min="7" max="7" width="13.1796875" customWidth="1"/>
    <col min="8" max="8" width="6.81640625" bestFit="1" customWidth="1"/>
    <col min="9" max="9" width="7.453125" bestFit="1" customWidth="1"/>
    <col min="10" max="10" width="6.7265625" bestFit="1" customWidth="1"/>
    <col min="11" max="11" width="6.1796875" bestFit="1" customWidth="1"/>
    <col min="12" max="12" width="7.1796875" bestFit="1" customWidth="1"/>
    <col min="13" max="13" width="7" bestFit="1" customWidth="1"/>
    <col min="14" max="14" width="6.7265625" bestFit="1" customWidth="1"/>
    <col min="15" max="15" width="7.26953125" bestFit="1" customWidth="1"/>
    <col min="16" max="16" width="10.1796875" bestFit="1" customWidth="1"/>
    <col min="17" max="19" width="7.81640625" bestFit="1" customWidth="1"/>
  </cols>
  <sheetData>
    <row r="1" spans="1:20" x14ac:dyDescent="0.35">
      <c r="A1" s="25" t="str">
        <f>Revenue_Budget!A2</f>
        <v>FY</v>
      </c>
      <c r="B1" s="25" t="str">
        <f>Revenue_Budget!B2</f>
        <v>Project</v>
      </c>
      <c r="C1" s="25" t="str">
        <f>Revenue_Budget!C2</f>
        <v>Vertical</v>
      </c>
      <c r="D1" s="25" t="str">
        <f>Revenue_Budget!D2</f>
        <v>Region</v>
      </c>
      <c r="E1" s="25" t="str">
        <f>Revenue_Budget!E2</f>
        <v>Sub Region</v>
      </c>
      <c r="F1" s="25" t="str">
        <f>Revenue_Budget!F2</f>
        <v>Region Head</v>
      </c>
      <c r="G1" s="36" t="str">
        <f>Revenue_Budget!G2</f>
        <v>Practice Head</v>
      </c>
      <c r="H1" s="26">
        <f>Revenue_Budget!H2</f>
        <v>46113</v>
      </c>
      <c r="I1" s="26">
        <f>Revenue_Budget!I2</f>
        <v>46143</v>
      </c>
      <c r="J1" s="26">
        <f>Revenue_Budget!J2</f>
        <v>46174</v>
      </c>
      <c r="K1" s="26">
        <f>Revenue_Budget!K2</f>
        <v>46204</v>
      </c>
      <c r="L1" s="26">
        <f>Revenue_Budget!L2</f>
        <v>46235</v>
      </c>
      <c r="M1" s="26">
        <f>Revenue_Budget!M2</f>
        <v>46266</v>
      </c>
      <c r="N1" s="26">
        <f>Revenue_Budget!N2</f>
        <v>46296</v>
      </c>
      <c r="O1" s="26">
        <f>Revenue_Budget!O2</f>
        <v>46327</v>
      </c>
      <c r="P1" s="26">
        <f>Revenue_Budget!P2</f>
        <v>46357</v>
      </c>
      <c r="Q1" s="26">
        <f>Revenue_Budget!Q2</f>
        <v>46388</v>
      </c>
      <c r="R1" s="26">
        <f>Revenue_Budget!R2</f>
        <v>46419</v>
      </c>
      <c r="S1" s="38">
        <f>Revenue_Budget!S2</f>
        <v>46447</v>
      </c>
      <c r="T1" t="s">
        <v>135</v>
      </c>
    </row>
    <row r="2" spans="1:20" x14ac:dyDescent="0.35">
      <c r="A2" s="1" t="s">
        <v>115</v>
      </c>
      <c r="B2" s="35" t="s">
        <v>2</v>
      </c>
      <c r="C2" s="1" t="str">
        <f>VLOOKUP(B2,Mapping!A:B,2,0)</f>
        <v>Lateral</v>
      </c>
      <c r="D2" s="1" t="str">
        <f>VLOOKUP(B2,Mapping!A:C,3,0)</f>
        <v>South</v>
      </c>
      <c r="E2" s="1" t="str">
        <f>VLOOKUP(B2,Mapping!A:D,4,0)</f>
        <v>South 1</v>
      </c>
      <c r="F2" s="1" t="str">
        <f>VLOOKUP(B2,Mapping!A:E,5,0)</f>
        <v>Bapi</v>
      </c>
      <c r="G2" s="37" t="str">
        <f>VLOOKUP(B2,Mapping!A:F,6,0)</f>
        <v>Bapi</v>
      </c>
      <c r="H2" s="29"/>
      <c r="I2" s="29"/>
      <c r="J2" s="29"/>
      <c r="K2" s="29"/>
      <c r="L2" s="29"/>
      <c r="M2" s="29"/>
      <c r="N2" s="29"/>
      <c r="O2" s="29"/>
      <c r="P2" s="33"/>
      <c r="Q2" s="27"/>
      <c r="R2" s="27"/>
      <c r="S2" s="39"/>
      <c r="T2" s="5">
        <f>SUM(H2:S2)</f>
        <v>0</v>
      </c>
    </row>
    <row r="3" spans="1:20" x14ac:dyDescent="0.35">
      <c r="A3" s="1" t="s">
        <v>115</v>
      </c>
      <c r="B3" s="35" t="s">
        <v>4</v>
      </c>
      <c r="C3" s="1" t="str">
        <f>VLOOKUP(B3,Mapping!A:B,2,0)</f>
        <v>Lateral</v>
      </c>
      <c r="D3" s="1" t="str">
        <f>VLOOKUP(B3,Mapping!A:C,3,0)</f>
        <v>West</v>
      </c>
      <c r="E3" s="1" t="str">
        <f>VLOOKUP(B3,Mapping!A:D,4,0)</f>
        <v>West 1</v>
      </c>
      <c r="F3" s="1" t="str">
        <f>VLOOKUP(B3,Mapping!A:E,5,0)</f>
        <v>Anjli</v>
      </c>
      <c r="G3" s="37" t="str">
        <f>VLOOKUP(B3,Mapping!A:F,6,0)</f>
        <v>Usha</v>
      </c>
      <c r="H3" s="29"/>
      <c r="I3" s="29"/>
      <c r="J3" s="29"/>
      <c r="K3" s="29"/>
      <c r="L3" s="29"/>
      <c r="M3" s="29"/>
      <c r="N3" s="29"/>
      <c r="O3" s="29"/>
      <c r="P3" s="33"/>
      <c r="Q3" s="27"/>
      <c r="R3" s="27"/>
      <c r="S3" s="39"/>
      <c r="T3" s="5">
        <f t="shared" ref="T3:T66" si="0">SUM(H3:S3)</f>
        <v>0</v>
      </c>
    </row>
    <row r="4" spans="1:20" x14ac:dyDescent="0.35">
      <c r="A4" s="1" t="s">
        <v>115</v>
      </c>
      <c r="B4" s="35" t="s">
        <v>8</v>
      </c>
      <c r="C4" s="1" t="str">
        <f>VLOOKUP(B4,Mapping!A:B,2,0)</f>
        <v>Lateral</v>
      </c>
      <c r="D4" s="1" t="str">
        <f>VLOOKUP(B4,Mapping!A:C,3,0)</f>
        <v>West</v>
      </c>
      <c r="E4" s="1" t="str">
        <f>VLOOKUP(B4,Mapping!A:D,4,0)</f>
        <v>West 2</v>
      </c>
      <c r="F4" s="1" t="str">
        <f>VLOOKUP(B4,Mapping!A:E,5,0)</f>
        <v>Anjli</v>
      </c>
      <c r="G4" s="37" t="str">
        <f>VLOOKUP(B4,Mapping!A:F,6,0)</f>
        <v>Shweta</v>
      </c>
      <c r="H4" s="29"/>
      <c r="I4" s="29"/>
      <c r="J4" s="29"/>
      <c r="K4" s="29"/>
      <c r="L4" s="29"/>
      <c r="M4" s="29"/>
      <c r="N4" s="29"/>
      <c r="O4" s="29"/>
      <c r="P4" s="34"/>
      <c r="Q4" s="27"/>
      <c r="R4" s="27"/>
      <c r="S4" s="39"/>
      <c r="T4" s="5">
        <f t="shared" si="0"/>
        <v>0</v>
      </c>
    </row>
    <row r="5" spans="1:20" x14ac:dyDescent="0.35">
      <c r="A5" s="1" t="s">
        <v>115</v>
      </c>
      <c r="B5" s="35" t="s">
        <v>10</v>
      </c>
      <c r="C5" s="1" t="str">
        <f>VLOOKUP(B5,Mapping!A:B,2,0)</f>
        <v>Lateral</v>
      </c>
      <c r="D5" s="1" t="str">
        <f>VLOOKUP(B5,Mapping!A:C,3,0)</f>
        <v>North</v>
      </c>
      <c r="E5" s="1" t="str">
        <f>VLOOKUP(B5,Mapping!A:D,4,0)</f>
        <v>North</v>
      </c>
      <c r="F5" s="1" t="str">
        <f>VLOOKUP(B5,Mapping!A:E,5,0)</f>
        <v>Anjli</v>
      </c>
      <c r="G5" s="37" t="str">
        <f>VLOOKUP(B5,Mapping!A:F,6,0)</f>
        <v>Archana</v>
      </c>
      <c r="H5" s="29"/>
      <c r="I5" s="29"/>
      <c r="J5" s="29"/>
      <c r="K5" s="29"/>
      <c r="L5" s="29"/>
      <c r="M5" s="29"/>
      <c r="N5" s="29"/>
      <c r="O5" s="29"/>
      <c r="P5" s="33"/>
      <c r="Q5" s="27"/>
      <c r="R5" s="27"/>
      <c r="S5" s="39"/>
      <c r="T5" s="5">
        <f t="shared" si="0"/>
        <v>0</v>
      </c>
    </row>
    <row r="6" spans="1:20" x14ac:dyDescent="0.35">
      <c r="A6" s="1" t="s">
        <v>115</v>
      </c>
      <c r="B6" s="35" t="s">
        <v>12</v>
      </c>
      <c r="C6" s="1" t="str">
        <f>VLOOKUP(B6,Mapping!A:B,2,0)</f>
        <v>Lateral</v>
      </c>
      <c r="D6" s="1" t="str">
        <f>VLOOKUP(B6,Mapping!A:C,3,0)</f>
        <v>South</v>
      </c>
      <c r="E6" s="1" t="str">
        <f>VLOOKUP(B6,Mapping!A:D,4,0)</f>
        <v>South 1</v>
      </c>
      <c r="F6" s="1" t="str">
        <f>VLOOKUP(B6,Mapping!A:E,5,0)</f>
        <v>Sulabh</v>
      </c>
      <c r="G6" s="37" t="str">
        <f>VLOOKUP(B6,Mapping!A:F,6,0)</f>
        <v>Kunal</v>
      </c>
      <c r="H6" s="29"/>
      <c r="I6" s="29"/>
      <c r="J6" s="29"/>
      <c r="K6" s="29"/>
      <c r="L6" s="29"/>
      <c r="M6" s="29"/>
      <c r="N6" s="29"/>
      <c r="O6" s="29"/>
      <c r="P6" s="33"/>
      <c r="Q6" s="27"/>
      <c r="R6" s="27"/>
      <c r="S6" s="39"/>
      <c r="T6" s="5">
        <f t="shared" si="0"/>
        <v>0</v>
      </c>
    </row>
    <row r="7" spans="1:20" x14ac:dyDescent="0.35">
      <c r="A7" s="1" t="s">
        <v>115</v>
      </c>
      <c r="B7" s="35" t="s">
        <v>16</v>
      </c>
      <c r="C7" s="1" t="str">
        <f>VLOOKUP(B7,Mapping!A:B,2,0)</f>
        <v>Lateral</v>
      </c>
      <c r="D7" s="1" t="str">
        <f>VLOOKUP(B7,Mapping!A:C,3,0)</f>
        <v>West</v>
      </c>
      <c r="E7" s="1" t="str">
        <f>VLOOKUP(B7,Mapping!A:D,4,0)</f>
        <v>West 1</v>
      </c>
      <c r="F7" s="1" t="str">
        <f>VLOOKUP(B7,Mapping!A:E,5,0)</f>
        <v>Anjli</v>
      </c>
      <c r="G7" s="37" t="str">
        <f>VLOOKUP(B7,Mapping!A:F,6,0)</f>
        <v>Usha</v>
      </c>
      <c r="H7" s="29"/>
      <c r="I7" s="29"/>
      <c r="J7" s="29"/>
      <c r="K7" s="29"/>
      <c r="L7" s="29"/>
      <c r="M7" s="29"/>
      <c r="N7" s="29"/>
      <c r="O7" s="29"/>
      <c r="P7" s="33"/>
      <c r="Q7" s="27"/>
      <c r="R7" s="27"/>
      <c r="S7" s="39"/>
      <c r="T7" s="5">
        <f t="shared" si="0"/>
        <v>0</v>
      </c>
    </row>
    <row r="8" spans="1:20" x14ac:dyDescent="0.35">
      <c r="A8" s="1" t="s">
        <v>115</v>
      </c>
      <c r="B8" s="35" t="s">
        <v>17</v>
      </c>
      <c r="C8" s="1" t="str">
        <f>VLOOKUP(B8,Mapping!A:B,2,0)</f>
        <v>Lateral</v>
      </c>
      <c r="D8" s="1" t="str">
        <f>VLOOKUP(B8,Mapping!A:C,3,0)</f>
        <v>West</v>
      </c>
      <c r="E8" s="1" t="str">
        <f>VLOOKUP(B8,Mapping!A:D,4,0)</f>
        <v>West 2</v>
      </c>
      <c r="F8" s="1" t="str">
        <f>VLOOKUP(B8,Mapping!A:E,5,0)</f>
        <v>Anjli</v>
      </c>
      <c r="G8" s="37" t="str">
        <f>VLOOKUP(B8,Mapping!A:F,6,0)</f>
        <v>Shweta</v>
      </c>
      <c r="H8" s="29"/>
      <c r="I8" s="29"/>
      <c r="J8" s="29"/>
      <c r="K8" s="29"/>
      <c r="L8" s="29"/>
      <c r="M8" s="29"/>
      <c r="N8" s="29"/>
      <c r="O8" s="29"/>
      <c r="P8" s="33"/>
      <c r="Q8" s="27"/>
      <c r="R8" s="27"/>
      <c r="S8" s="39"/>
      <c r="T8" s="5">
        <f t="shared" si="0"/>
        <v>0</v>
      </c>
    </row>
    <row r="9" spans="1:20" x14ac:dyDescent="0.35">
      <c r="A9" s="1" t="s">
        <v>115</v>
      </c>
      <c r="B9" s="35" t="s">
        <v>18</v>
      </c>
      <c r="C9" s="1" t="str">
        <f>VLOOKUP(B9,Mapping!A:B,2,0)</f>
        <v>Lateral</v>
      </c>
      <c r="D9" s="1" t="str">
        <f>VLOOKUP(B9,Mapping!A:C,3,0)</f>
        <v>West</v>
      </c>
      <c r="E9" s="1" t="str">
        <f>VLOOKUP(B9,Mapping!A:D,4,0)</f>
        <v>West 1</v>
      </c>
      <c r="F9" s="1" t="str">
        <f>VLOOKUP(B9,Mapping!A:E,5,0)</f>
        <v>Anjli</v>
      </c>
      <c r="G9" s="37" t="str">
        <f>VLOOKUP(B9,Mapping!A:F,6,0)</f>
        <v>Geetu</v>
      </c>
      <c r="H9" s="29"/>
      <c r="I9" s="29"/>
      <c r="J9" s="29"/>
      <c r="K9" s="29"/>
      <c r="L9" s="29"/>
      <c r="M9" s="29"/>
      <c r="N9" s="29"/>
      <c r="O9" s="29"/>
      <c r="P9" s="33"/>
      <c r="Q9" s="27"/>
      <c r="R9" s="27"/>
      <c r="S9" s="39"/>
      <c r="T9" s="5">
        <f t="shared" si="0"/>
        <v>0</v>
      </c>
    </row>
    <row r="10" spans="1:20" x14ac:dyDescent="0.35">
      <c r="A10" s="1" t="s">
        <v>115</v>
      </c>
      <c r="B10" s="35" t="s">
        <v>20</v>
      </c>
      <c r="C10" s="1" t="str">
        <f>VLOOKUP(B10,Mapping!A:B,2,0)</f>
        <v>Lateral</v>
      </c>
      <c r="D10" s="1" t="str">
        <f>VLOOKUP(B10,Mapping!A:C,3,0)</f>
        <v>West</v>
      </c>
      <c r="E10" s="1" t="str">
        <f>VLOOKUP(B10,Mapping!A:D,4,0)</f>
        <v>West 1</v>
      </c>
      <c r="F10" s="1" t="str">
        <f>VLOOKUP(B10,Mapping!A:E,5,0)</f>
        <v>Anjli</v>
      </c>
      <c r="G10" s="37" t="str">
        <f>VLOOKUP(B10,Mapping!A:F,6,0)</f>
        <v>Geetu</v>
      </c>
      <c r="H10" s="29"/>
      <c r="I10" s="29"/>
      <c r="J10" s="29"/>
      <c r="K10" s="29"/>
      <c r="L10" s="29"/>
      <c r="M10" s="29"/>
      <c r="N10" s="29"/>
      <c r="O10" s="29"/>
      <c r="P10" s="33"/>
      <c r="Q10" s="27"/>
      <c r="R10" s="27"/>
      <c r="S10" s="39"/>
      <c r="T10" s="5">
        <f t="shared" si="0"/>
        <v>0</v>
      </c>
    </row>
    <row r="11" spans="1:20" x14ac:dyDescent="0.35">
      <c r="A11" s="1" t="s">
        <v>115</v>
      </c>
      <c r="B11" s="35" t="s">
        <v>21</v>
      </c>
      <c r="C11" s="1" t="str">
        <f>VLOOKUP(B11,Mapping!A:B,2,0)</f>
        <v>Lateral</v>
      </c>
      <c r="D11" s="1" t="str">
        <f>VLOOKUP(B11,Mapping!A:C,3,0)</f>
        <v>South</v>
      </c>
      <c r="E11" s="1" t="str">
        <f>VLOOKUP(B11,Mapping!A:D,4,0)</f>
        <v>South 1</v>
      </c>
      <c r="F11" s="1" t="str">
        <f>VLOOKUP(B11,Mapping!A:E,5,0)</f>
        <v>Mahak</v>
      </c>
      <c r="G11" s="37" t="str">
        <f>VLOOKUP(B11,Mapping!A:F,6,0)</f>
        <v>Mahak</v>
      </c>
      <c r="H11" s="29"/>
      <c r="I11" s="29"/>
      <c r="J11" s="29"/>
      <c r="K11" s="29"/>
      <c r="L11" s="29"/>
      <c r="M11" s="29"/>
      <c r="N11" s="29"/>
      <c r="O11" s="29"/>
      <c r="P11" s="33"/>
      <c r="Q11" s="27"/>
      <c r="R11" s="27"/>
      <c r="S11" s="39"/>
      <c r="T11" s="5">
        <f t="shared" si="0"/>
        <v>0</v>
      </c>
    </row>
    <row r="12" spans="1:20" x14ac:dyDescent="0.35">
      <c r="A12" s="1" t="s">
        <v>115</v>
      </c>
      <c r="B12" s="35" t="s">
        <v>23</v>
      </c>
      <c r="C12" s="1" t="str">
        <f>VLOOKUP(B12,Mapping!A:B,2,0)</f>
        <v>Lateral</v>
      </c>
      <c r="D12" s="1" t="str">
        <f>VLOOKUP(B12,Mapping!A:C,3,0)</f>
        <v>South</v>
      </c>
      <c r="E12" s="1" t="str">
        <f>VLOOKUP(B12,Mapping!A:D,4,0)</f>
        <v>South 1</v>
      </c>
      <c r="F12" s="1" t="str">
        <f>VLOOKUP(B12,Mapping!A:E,5,0)</f>
        <v>Anjli</v>
      </c>
      <c r="G12" s="37" t="str">
        <f>VLOOKUP(B12,Mapping!A:F,6,0)</f>
        <v>Satya</v>
      </c>
      <c r="H12" s="29"/>
      <c r="I12" s="29"/>
      <c r="J12" s="29"/>
      <c r="K12" s="29"/>
      <c r="L12" s="29"/>
      <c r="M12" s="29"/>
      <c r="N12" s="29"/>
      <c r="O12" s="29"/>
      <c r="P12" s="33"/>
      <c r="Q12" s="27"/>
      <c r="R12" s="27"/>
      <c r="S12" s="39"/>
      <c r="T12" s="5">
        <f t="shared" si="0"/>
        <v>0</v>
      </c>
    </row>
    <row r="13" spans="1:20" x14ac:dyDescent="0.35">
      <c r="A13" s="1" t="s">
        <v>115</v>
      </c>
      <c r="B13" s="35" t="s">
        <v>25</v>
      </c>
      <c r="C13" s="1" t="str">
        <f>VLOOKUP(B13,Mapping!A:B,2,0)</f>
        <v>Lateral</v>
      </c>
      <c r="D13" s="1" t="str">
        <f>VLOOKUP(B13,Mapping!A:C,3,0)</f>
        <v>West</v>
      </c>
      <c r="E13" s="1" t="str">
        <f>VLOOKUP(B13,Mapping!A:D,4,0)</f>
        <v>West 1</v>
      </c>
      <c r="F13" s="1" t="str">
        <f>VLOOKUP(B13,Mapping!A:E,5,0)</f>
        <v>Anjli</v>
      </c>
      <c r="G13" s="37" t="str">
        <f>VLOOKUP(B13,Mapping!A:F,6,0)</f>
        <v>Geetu</v>
      </c>
      <c r="H13" s="29"/>
      <c r="I13" s="29"/>
      <c r="J13" s="29"/>
      <c r="K13" s="29"/>
      <c r="L13" s="29"/>
      <c r="M13" s="29"/>
      <c r="N13" s="29"/>
      <c r="O13" s="29"/>
      <c r="P13" s="33"/>
      <c r="Q13" s="27"/>
      <c r="R13" s="27"/>
      <c r="S13" s="39"/>
      <c r="T13" s="5">
        <f t="shared" si="0"/>
        <v>0</v>
      </c>
    </row>
    <row r="14" spans="1:20" x14ac:dyDescent="0.35">
      <c r="A14" s="1" t="s">
        <v>115</v>
      </c>
      <c r="B14" s="35" t="s">
        <v>26</v>
      </c>
      <c r="C14" s="1" t="str">
        <f>VLOOKUP(B14,Mapping!A:B,2,0)</f>
        <v>Lateral</v>
      </c>
      <c r="D14" s="1" t="str">
        <f>VLOOKUP(B14,Mapping!A:C,3,0)</f>
        <v>South</v>
      </c>
      <c r="E14" s="1" t="str">
        <f>VLOOKUP(B14,Mapping!A:D,4,0)</f>
        <v>South 2</v>
      </c>
      <c r="F14" s="1" t="str">
        <f>VLOOKUP(B14,Mapping!A:E,5,0)</f>
        <v>Sulabh</v>
      </c>
      <c r="G14" s="37" t="str">
        <f>VLOOKUP(B14,Mapping!A:F,6,0)</f>
        <v>Krishna</v>
      </c>
      <c r="H14" s="29"/>
      <c r="I14" s="29"/>
      <c r="J14" s="29"/>
      <c r="K14" s="29"/>
      <c r="L14" s="29"/>
      <c r="M14" s="29"/>
      <c r="N14" s="29"/>
      <c r="O14" s="29"/>
      <c r="P14" s="33"/>
      <c r="Q14" s="27"/>
      <c r="R14" s="27"/>
      <c r="S14" s="39"/>
      <c r="T14" s="5">
        <f t="shared" si="0"/>
        <v>0</v>
      </c>
    </row>
    <row r="15" spans="1:20" x14ac:dyDescent="0.35">
      <c r="A15" s="1" t="s">
        <v>115</v>
      </c>
      <c r="B15" s="35" t="s">
        <v>28</v>
      </c>
      <c r="C15" s="1" t="str">
        <f>VLOOKUP(B15,Mapping!A:B,2,0)</f>
        <v>Lateral</v>
      </c>
      <c r="D15" s="1" t="str">
        <f>VLOOKUP(B15,Mapping!A:C,3,0)</f>
        <v>West</v>
      </c>
      <c r="E15" s="1" t="str">
        <f>VLOOKUP(B15,Mapping!A:D,4,0)</f>
        <v>West 1</v>
      </c>
      <c r="F15" s="1" t="str">
        <f>VLOOKUP(B15,Mapping!A:E,5,0)</f>
        <v>Anjli</v>
      </c>
      <c r="G15" s="37" t="str">
        <f>VLOOKUP(B15,Mapping!A:F,6,0)</f>
        <v>Dhriti</v>
      </c>
      <c r="H15" s="29"/>
      <c r="I15" s="29"/>
      <c r="J15" s="29"/>
      <c r="K15" s="29"/>
      <c r="L15" s="29"/>
      <c r="M15" s="29"/>
      <c r="N15" s="29"/>
      <c r="O15" s="29"/>
      <c r="P15" s="33"/>
      <c r="Q15" s="27"/>
      <c r="R15" s="27"/>
      <c r="S15" s="39"/>
      <c r="T15" s="5">
        <f t="shared" si="0"/>
        <v>0</v>
      </c>
    </row>
    <row r="16" spans="1:20" x14ac:dyDescent="0.35">
      <c r="A16" s="1" t="s">
        <v>115</v>
      </c>
      <c r="B16" s="1" t="s">
        <v>29</v>
      </c>
      <c r="C16" s="1" t="str">
        <f>VLOOKUP(B16,Mapping!A:B,2,0)</f>
        <v>Lateral</v>
      </c>
      <c r="D16" s="1" t="str">
        <f>VLOOKUP(B16,Mapping!A:C,3,0)</f>
        <v>South</v>
      </c>
      <c r="E16" s="1" t="str">
        <f>VLOOKUP(B16,Mapping!A:D,4,0)</f>
        <v>South 2</v>
      </c>
      <c r="F16" s="1" t="str">
        <f>VLOOKUP(B16,Mapping!A:E,5,0)</f>
        <v>Sulabh</v>
      </c>
      <c r="G16" s="37" t="str">
        <f>VLOOKUP(B16,Mapping!A:F,6,0)</f>
        <v>Krishna</v>
      </c>
      <c r="H16" s="29"/>
      <c r="I16" s="29"/>
      <c r="J16" s="29"/>
      <c r="K16" s="29"/>
      <c r="L16" s="29"/>
      <c r="M16" s="29"/>
      <c r="N16" s="29"/>
      <c r="O16" s="29"/>
      <c r="P16" s="33"/>
      <c r="Q16" s="27"/>
      <c r="R16" s="27"/>
      <c r="S16" s="39"/>
      <c r="T16" s="5">
        <f t="shared" si="0"/>
        <v>0</v>
      </c>
    </row>
    <row r="17" spans="1:20" x14ac:dyDescent="0.35">
      <c r="A17" s="1" t="s">
        <v>115</v>
      </c>
      <c r="B17" s="35" t="s">
        <v>30</v>
      </c>
      <c r="C17" s="1" t="str">
        <f>VLOOKUP(B17,Mapping!A:B,2,0)</f>
        <v>Lateral</v>
      </c>
      <c r="D17" s="1" t="str">
        <f>VLOOKUP(B17,Mapping!A:C,3,0)</f>
        <v>South</v>
      </c>
      <c r="E17" s="1" t="str">
        <f>VLOOKUP(B17,Mapping!A:D,4,0)</f>
        <v>South 1</v>
      </c>
      <c r="F17" s="1" t="str">
        <f>VLOOKUP(B17,Mapping!A:E,5,0)</f>
        <v>Sulabh</v>
      </c>
      <c r="G17" s="37" t="str">
        <f>VLOOKUP(B17,Mapping!A:F,6,0)</f>
        <v>Subu</v>
      </c>
      <c r="H17" s="29"/>
      <c r="I17" s="29"/>
      <c r="J17" s="29"/>
      <c r="K17" s="29"/>
      <c r="L17" s="29"/>
      <c r="M17" s="29"/>
      <c r="N17" s="29"/>
      <c r="O17" s="29"/>
      <c r="P17" s="33"/>
      <c r="Q17" s="27"/>
      <c r="R17" s="27"/>
      <c r="S17" s="39"/>
      <c r="T17" s="5">
        <f t="shared" si="0"/>
        <v>0</v>
      </c>
    </row>
    <row r="18" spans="1:20" x14ac:dyDescent="0.35">
      <c r="A18" s="1" t="s">
        <v>115</v>
      </c>
      <c r="B18" s="1" t="s">
        <v>32</v>
      </c>
      <c r="C18" s="1" t="str">
        <f>VLOOKUP(B18,Mapping!A:B,2,0)</f>
        <v>Lateral</v>
      </c>
      <c r="D18" s="1" t="str">
        <f>VLOOKUP(B18,Mapping!A:C,3,0)</f>
        <v>West</v>
      </c>
      <c r="E18" s="1" t="str">
        <f>VLOOKUP(B18,Mapping!A:D,4,0)</f>
        <v>West 2</v>
      </c>
      <c r="F18" s="1" t="str">
        <f>VLOOKUP(B18,Mapping!A:E,5,0)</f>
        <v>Anjli</v>
      </c>
      <c r="G18" s="37" t="str">
        <f>VLOOKUP(B18,Mapping!A:F,6,0)</f>
        <v>Anjli</v>
      </c>
      <c r="H18" s="29"/>
      <c r="I18" s="29"/>
      <c r="J18" s="29"/>
      <c r="K18" s="29"/>
      <c r="L18" s="29"/>
      <c r="M18" s="29"/>
      <c r="N18" s="29"/>
      <c r="O18" s="29"/>
      <c r="P18" s="33"/>
      <c r="Q18" s="27"/>
      <c r="R18" s="27"/>
      <c r="S18" s="39"/>
      <c r="T18" s="5">
        <f t="shared" si="0"/>
        <v>0</v>
      </c>
    </row>
    <row r="19" spans="1:20" x14ac:dyDescent="0.35">
      <c r="A19" s="1" t="s">
        <v>115</v>
      </c>
      <c r="B19" s="35" t="s">
        <v>33</v>
      </c>
      <c r="C19" s="1" t="str">
        <f>VLOOKUP(B19,Mapping!A:B,2,0)</f>
        <v>Lateral</v>
      </c>
      <c r="D19" s="1" t="str">
        <f>VLOOKUP(B19,Mapping!A:C,3,0)</f>
        <v>West</v>
      </c>
      <c r="E19" s="1" t="str">
        <f>VLOOKUP(B19,Mapping!A:D,4,0)</f>
        <v>West 1</v>
      </c>
      <c r="F19" s="1" t="str">
        <f>VLOOKUP(B19,Mapping!A:E,5,0)</f>
        <v>Anjli</v>
      </c>
      <c r="G19" s="37" t="str">
        <f>VLOOKUP(B19,Mapping!A:F,6,0)</f>
        <v>Geetu</v>
      </c>
      <c r="H19" s="29"/>
      <c r="I19" s="29"/>
      <c r="J19" s="29"/>
      <c r="K19" s="29"/>
      <c r="L19" s="29"/>
      <c r="M19" s="29"/>
      <c r="N19" s="29"/>
      <c r="O19" s="29"/>
      <c r="P19" s="33"/>
      <c r="Q19" s="27"/>
      <c r="R19" s="27"/>
      <c r="S19" s="39"/>
      <c r="T19" s="5">
        <f t="shared" si="0"/>
        <v>0</v>
      </c>
    </row>
    <row r="20" spans="1:20" x14ac:dyDescent="0.35">
      <c r="A20" s="1" t="s">
        <v>115</v>
      </c>
      <c r="B20" s="35" t="s">
        <v>34</v>
      </c>
      <c r="C20" s="1" t="str">
        <f>VLOOKUP(B20,Mapping!A:B,2,0)</f>
        <v>Lateral</v>
      </c>
      <c r="D20" s="1" t="str">
        <f>VLOOKUP(B20,Mapping!A:C,3,0)</f>
        <v>South</v>
      </c>
      <c r="E20" s="1" t="str">
        <f>VLOOKUP(B20,Mapping!A:D,4,0)</f>
        <v>South 1</v>
      </c>
      <c r="F20" s="1" t="str">
        <f>VLOOKUP(B20,Mapping!A:E,5,0)</f>
        <v>Sulabh</v>
      </c>
      <c r="G20" s="37" t="str">
        <f>VLOOKUP(B20,Mapping!A:F,6,0)</f>
        <v>Satya</v>
      </c>
      <c r="H20" s="29"/>
      <c r="I20" s="29"/>
      <c r="J20" s="29"/>
      <c r="K20" s="29"/>
      <c r="L20" s="29"/>
      <c r="M20" s="29"/>
      <c r="N20" s="29"/>
      <c r="O20" s="29"/>
      <c r="P20" s="33"/>
      <c r="Q20" s="27"/>
      <c r="R20" s="27"/>
      <c r="S20" s="39"/>
      <c r="T20" s="5">
        <f t="shared" si="0"/>
        <v>0</v>
      </c>
    </row>
    <row r="21" spans="1:20" x14ac:dyDescent="0.35">
      <c r="A21" s="1" t="s">
        <v>115</v>
      </c>
      <c r="B21" s="35" t="s">
        <v>35</v>
      </c>
      <c r="C21" s="1" t="str">
        <f>VLOOKUP(B21,Mapping!A:B,2,0)</f>
        <v>Lateral</v>
      </c>
      <c r="D21" s="1" t="str">
        <f>VLOOKUP(B21,Mapping!A:C,3,0)</f>
        <v>West</v>
      </c>
      <c r="E21" s="1" t="str">
        <f>VLOOKUP(B21,Mapping!A:D,4,0)</f>
        <v>West 1</v>
      </c>
      <c r="F21" s="1" t="str">
        <f>VLOOKUP(B21,Mapping!A:E,5,0)</f>
        <v>Anjli</v>
      </c>
      <c r="G21" s="37" t="str">
        <f>VLOOKUP(B21,Mapping!A:F,6,0)</f>
        <v>Alifia</v>
      </c>
      <c r="H21" s="29"/>
      <c r="I21" s="29"/>
      <c r="J21" s="29"/>
      <c r="K21" s="29"/>
      <c r="L21" s="29"/>
      <c r="M21" s="29"/>
      <c r="N21" s="29"/>
      <c r="O21" s="29"/>
      <c r="P21" s="33"/>
      <c r="Q21" s="27"/>
      <c r="R21" s="27"/>
      <c r="S21" s="39"/>
      <c r="T21" s="5">
        <f t="shared" si="0"/>
        <v>0</v>
      </c>
    </row>
    <row r="22" spans="1:20" x14ac:dyDescent="0.35">
      <c r="A22" s="1" t="s">
        <v>115</v>
      </c>
      <c r="B22" s="35" t="s">
        <v>37</v>
      </c>
      <c r="C22" s="1" t="str">
        <f>VLOOKUP(B22,Mapping!A:B,2,0)</f>
        <v>Lateral</v>
      </c>
      <c r="D22" s="1" t="str">
        <f>VLOOKUP(B22,Mapping!A:C,3,0)</f>
        <v>South</v>
      </c>
      <c r="E22" s="1" t="str">
        <f>VLOOKUP(B22,Mapping!A:D,4,0)</f>
        <v>South 2</v>
      </c>
      <c r="F22" s="1" t="str">
        <f>VLOOKUP(B22,Mapping!A:E,5,0)</f>
        <v>Sulabh</v>
      </c>
      <c r="G22" s="37" t="str">
        <f>VLOOKUP(B22,Mapping!A:F,6,0)</f>
        <v>Subu</v>
      </c>
      <c r="H22" s="29"/>
      <c r="I22" s="29"/>
      <c r="J22" s="29"/>
      <c r="K22" s="29"/>
      <c r="L22" s="29"/>
      <c r="M22" s="29"/>
      <c r="N22" s="29"/>
      <c r="O22" s="29"/>
      <c r="P22" s="33"/>
      <c r="Q22" s="27"/>
      <c r="R22" s="27"/>
      <c r="S22" s="39"/>
      <c r="T22" s="5">
        <f t="shared" si="0"/>
        <v>0</v>
      </c>
    </row>
    <row r="23" spans="1:20" x14ac:dyDescent="0.35">
      <c r="A23" s="1" t="s">
        <v>115</v>
      </c>
      <c r="B23" s="35" t="s">
        <v>38</v>
      </c>
      <c r="C23" s="1" t="str">
        <f>VLOOKUP(B23,Mapping!A:B,2,0)</f>
        <v>Lateral</v>
      </c>
      <c r="D23" s="1" t="str">
        <f>VLOOKUP(B23,Mapping!A:C,3,0)</f>
        <v>North</v>
      </c>
      <c r="E23" s="1" t="str">
        <f>VLOOKUP(B23,Mapping!A:D,4,0)</f>
        <v>North</v>
      </c>
      <c r="F23" s="1" t="str">
        <f>VLOOKUP(B23,Mapping!A:E,5,0)</f>
        <v>Anjli</v>
      </c>
      <c r="G23" s="37" t="str">
        <f>VLOOKUP(B23,Mapping!A:F,6,0)</f>
        <v>Archana</v>
      </c>
      <c r="H23" s="29"/>
      <c r="I23" s="29"/>
      <c r="J23" s="29"/>
      <c r="K23" s="29"/>
      <c r="L23" s="29"/>
      <c r="M23" s="29"/>
      <c r="N23" s="29"/>
      <c r="O23" s="29"/>
      <c r="P23" s="33"/>
      <c r="Q23" s="27"/>
      <c r="R23" s="27"/>
      <c r="S23" s="39"/>
      <c r="T23" s="5">
        <f t="shared" si="0"/>
        <v>0</v>
      </c>
    </row>
    <row r="24" spans="1:20" x14ac:dyDescent="0.35">
      <c r="A24" s="1" t="s">
        <v>115</v>
      </c>
      <c r="B24" s="1" t="s">
        <v>39</v>
      </c>
      <c r="C24" s="1" t="str">
        <f>VLOOKUP(B24,Mapping!A:B,2,0)</f>
        <v>Lateral</v>
      </c>
      <c r="D24" s="1" t="str">
        <f>VLOOKUP(B24,Mapping!A:C,3,0)</f>
        <v>South</v>
      </c>
      <c r="E24" s="1" t="str">
        <f>VLOOKUP(B24,Mapping!A:D,4,0)</f>
        <v>South 2</v>
      </c>
      <c r="F24" s="1" t="str">
        <f>VLOOKUP(B24,Mapping!A:E,5,0)</f>
        <v>Sulabh</v>
      </c>
      <c r="G24" s="37" t="str">
        <f>VLOOKUP(B24,Mapping!A:F,6,0)</f>
        <v>Krishna</v>
      </c>
      <c r="H24" s="29"/>
      <c r="I24" s="29"/>
      <c r="J24" s="29"/>
      <c r="K24" s="29"/>
      <c r="L24" s="29"/>
      <c r="M24" s="29"/>
      <c r="N24" s="29"/>
      <c r="O24" s="29"/>
      <c r="P24" s="33"/>
      <c r="Q24" s="27"/>
      <c r="R24" s="27"/>
      <c r="S24" s="39"/>
      <c r="T24" s="5">
        <f t="shared" si="0"/>
        <v>0</v>
      </c>
    </row>
    <row r="25" spans="1:20" x14ac:dyDescent="0.35">
      <c r="A25" s="1" t="s">
        <v>115</v>
      </c>
      <c r="B25" s="35" t="s">
        <v>40</v>
      </c>
      <c r="C25" s="1" t="str">
        <f>VLOOKUP(B25,Mapping!A:B,2,0)</f>
        <v>Lateral</v>
      </c>
      <c r="D25" s="1" t="str">
        <f>VLOOKUP(B25,Mapping!A:C,3,0)</f>
        <v>West</v>
      </c>
      <c r="E25" s="1" t="str">
        <f>VLOOKUP(B25,Mapping!A:D,4,0)</f>
        <v>West 2</v>
      </c>
      <c r="F25" s="1" t="str">
        <f>VLOOKUP(B25,Mapping!A:E,5,0)</f>
        <v>Anjli</v>
      </c>
      <c r="G25" s="37" t="str">
        <f>VLOOKUP(B25,Mapping!A:F,6,0)</f>
        <v>Shweta</v>
      </c>
      <c r="H25" s="29"/>
      <c r="I25" s="29"/>
      <c r="J25" s="29"/>
      <c r="K25" s="29"/>
      <c r="L25" s="29"/>
      <c r="M25" s="29"/>
      <c r="N25" s="29"/>
      <c r="O25" s="29"/>
      <c r="P25" s="33"/>
      <c r="Q25" s="27"/>
      <c r="R25" s="27"/>
      <c r="S25" s="39"/>
      <c r="T25" s="5">
        <f t="shared" si="0"/>
        <v>0</v>
      </c>
    </row>
    <row r="26" spans="1:20" x14ac:dyDescent="0.35">
      <c r="A26" s="1" t="s">
        <v>115</v>
      </c>
      <c r="B26" s="35" t="s">
        <v>41</v>
      </c>
      <c r="C26" s="1" t="str">
        <f>VLOOKUP(B26,Mapping!A:B,2,0)</f>
        <v>Lateral</v>
      </c>
      <c r="D26" s="1" t="str">
        <f>VLOOKUP(B26,Mapping!A:C,3,0)</f>
        <v>South</v>
      </c>
      <c r="E26" s="1" t="str">
        <f>VLOOKUP(B26,Mapping!A:D,4,0)</f>
        <v>South 2</v>
      </c>
      <c r="F26" s="1" t="str">
        <f>VLOOKUP(B26,Mapping!A:E,5,0)</f>
        <v>Sulabh</v>
      </c>
      <c r="G26" s="37" t="str">
        <f>VLOOKUP(B26,Mapping!A:F,6,0)</f>
        <v>Krishna</v>
      </c>
      <c r="H26" s="29"/>
      <c r="I26" s="29"/>
      <c r="J26" s="29"/>
      <c r="K26" s="29"/>
      <c r="L26" s="29"/>
      <c r="M26" s="29"/>
      <c r="N26" s="29"/>
      <c r="O26" s="29"/>
      <c r="P26" s="33"/>
      <c r="Q26" s="27"/>
      <c r="R26" s="27"/>
      <c r="S26" s="39"/>
      <c r="T26" s="5">
        <f t="shared" si="0"/>
        <v>0</v>
      </c>
    </row>
    <row r="27" spans="1:20" x14ac:dyDescent="0.35">
      <c r="A27" s="1" t="s">
        <v>115</v>
      </c>
      <c r="B27" s="35" t="s">
        <v>42</v>
      </c>
      <c r="C27" s="1" t="str">
        <f>VLOOKUP(B27,Mapping!A:B,2,0)</f>
        <v>Lateral</v>
      </c>
      <c r="D27" s="1" t="str">
        <f>VLOOKUP(B27,Mapping!A:C,3,0)</f>
        <v>North</v>
      </c>
      <c r="E27" s="1" t="str">
        <f>VLOOKUP(B27,Mapping!A:D,4,0)</f>
        <v>North</v>
      </c>
      <c r="F27" s="1" t="str">
        <f>VLOOKUP(B27,Mapping!A:E,5,0)</f>
        <v>Anjli</v>
      </c>
      <c r="G27" s="37" t="str">
        <f>VLOOKUP(B27,Mapping!A:F,6,0)</f>
        <v>Archana</v>
      </c>
      <c r="H27" s="29"/>
      <c r="I27" s="29"/>
      <c r="J27" s="29"/>
      <c r="K27" s="29"/>
      <c r="L27" s="29"/>
      <c r="M27" s="29"/>
      <c r="N27" s="29"/>
      <c r="O27" s="29"/>
      <c r="P27" s="33"/>
      <c r="Q27" s="27"/>
      <c r="R27" s="27"/>
      <c r="S27" s="39"/>
      <c r="T27" s="5">
        <f t="shared" si="0"/>
        <v>0</v>
      </c>
    </row>
    <row r="28" spans="1:20" x14ac:dyDescent="0.35">
      <c r="A28" s="1" t="s">
        <v>115</v>
      </c>
      <c r="B28" s="35" t="s">
        <v>43</v>
      </c>
      <c r="C28" s="1" t="str">
        <f>VLOOKUP(B28,Mapping!A:B,2,0)</f>
        <v>Lateral</v>
      </c>
      <c r="D28" s="1" t="str">
        <f>VLOOKUP(B28,Mapping!A:C,3,0)</f>
        <v>West</v>
      </c>
      <c r="E28" s="1" t="str">
        <f>VLOOKUP(B28,Mapping!A:D,4,0)</f>
        <v>West 2</v>
      </c>
      <c r="F28" s="1" t="str">
        <f>VLOOKUP(B28,Mapping!A:E,5,0)</f>
        <v>Anjli</v>
      </c>
      <c r="G28" s="37" t="str">
        <f>VLOOKUP(B28,Mapping!A:F,6,0)</f>
        <v>Shweta</v>
      </c>
      <c r="H28" s="29"/>
      <c r="I28" s="29"/>
      <c r="J28" s="29"/>
      <c r="K28" s="29"/>
      <c r="L28" s="29"/>
      <c r="M28" s="29"/>
      <c r="N28" s="29"/>
      <c r="O28" s="29"/>
      <c r="P28" s="33"/>
      <c r="Q28" s="27"/>
      <c r="R28" s="27"/>
      <c r="S28" s="39"/>
      <c r="T28" s="5">
        <f t="shared" si="0"/>
        <v>0</v>
      </c>
    </row>
    <row r="29" spans="1:20" x14ac:dyDescent="0.35">
      <c r="A29" s="1" t="s">
        <v>115</v>
      </c>
      <c r="B29" s="35" t="s">
        <v>44</v>
      </c>
      <c r="C29" s="1" t="str">
        <f>VLOOKUP(B29,Mapping!A:B,2,0)</f>
        <v>Lateral</v>
      </c>
      <c r="D29" s="1" t="str">
        <f>VLOOKUP(B29,Mapping!A:C,3,0)</f>
        <v>North</v>
      </c>
      <c r="E29" s="1" t="str">
        <f>VLOOKUP(B29,Mapping!A:D,4,0)</f>
        <v>North</v>
      </c>
      <c r="F29" s="1" t="str">
        <f>VLOOKUP(B29,Mapping!A:E,5,0)</f>
        <v>Anjli</v>
      </c>
      <c r="G29" s="37" t="str">
        <f>VLOOKUP(B29,Mapping!A:F,6,0)</f>
        <v>Archana</v>
      </c>
      <c r="H29" s="29"/>
      <c r="I29" s="29"/>
      <c r="J29" s="29"/>
      <c r="K29" s="29"/>
      <c r="L29" s="29"/>
      <c r="M29" s="29"/>
      <c r="N29" s="29"/>
      <c r="O29" s="29"/>
      <c r="P29" s="33"/>
      <c r="Q29" s="27"/>
      <c r="R29" s="27"/>
      <c r="S29" s="39"/>
      <c r="T29" s="5">
        <f t="shared" si="0"/>
        <v>0</v>
      </c>
    </row>
    <row r="30" spans="1:20" x14ac:dyDescent="0.35">
      <c r="A30" s="1" t="s">
        <v>115</v>
      </c>
      <c r="B30" s="35" t="s">
        <v>45</v>
      </c>
      <c r="C30" s="1" t="str">
        <f>VLOOKUP(B30,Mapping!A:B,2,0)</f>
        <v>Lateral</v>
      </c>
      <c r="D30" s="1" t="str">
        <f>VLOOKUP(B30,Mapping!A:C,3,0)</f>
        <v>South</v>
      </c>
      <c r="E30" s="1" t="str">
        <f>VLOOKUP(B30,Mapping!A:D,4,0)</f>
        <v>South 2</v>
      </c>
      <c r="F30" s="1" t="str">
        <f>VLOOKUP(B30,Mapping!A:E,5,0)</f>
        <v>Sulabh</v>
      </c>
      <c r="G30" s="37" t="str">
        <f>VLOOKUP(B30,Mapping!A:F,6,0)</f>
        <v>Krishna</v>
      </c>
      <c r="H30" s="29"/>
      <c r="I30" s="29"/>
      <c r="J30" s="29"/>
      <c r="K30" s="29"/>
      <c r="L30" s="29"/>
      <c r="M30" s="29"/>
      <c r="N30" s="29"/>
      <c r="O30" s="29"/>
      <c r="P30" s="33"/>
      <c r="Q30" s="27"/>
      <c r="R30" s="27"/>
      <c r="S30" s="39"/>
      <c r="T30" s="5">
        <f t="shared" si="0"/>
        <v>0</v>
      </c>
    </row>
    <row r="31" spans="1:20" x14ac:dyDescent="0.35">
      <c r="A31" s="1" t="s">
        <v>115</v>
      </c>
      <c r="B31" s="35" t="s">
        <v>46</v>
      </c>
      <c r="C31" s="1" t="str">
        <f>VLOOKUP(B31,Mapping!A:B,2,0)</f>
        <v>Lateral</v>
      </c>
      <c r="D31" s="1" t="str">
        <f>VLOOKUP(B31,Mapping!A:C,3,0)</f>
        <v>West</v>
      </c>
      <c r="E31" s="1" t="str">
        <f>VLOOKUP(B31,Mapping!A:D,4,0)</f>
        <v>West 1</v>
      </c>
      <c r="F31" s="1" t="str">
        <f>VLOOKUP(B31,Mapping!A:E,5,0)</f>
        <v>Anjli</v>
      </c>
      <c r="G31" s="37" t="str">
        <f>VLOOKUP(B31,Mapping!A:F,6,0)</f>
        <v>Geetu</v>
      </c>
      <c r="H31" s="29"/>
      <c r="I31" s="29"/>
      <c r="J31" s="29"/>
      <c r="K31" s="29"/>
      <c r="L31" s="29"/>
      <c r="M31" s="29"/>
      <c r="N31" s="29"/>
      <c r="O31" s="29"/>
      <c r="P31" s="33"/>
      <c r="Q31" s="27"/>
      <c r="R31" s="27"/>
      <c r="S31" s="39"/>
      <c r="T31" s="5">
        <f t="shared" si="0"/>
        <v>0</v>
      </c>
    </row>
    <row r="32" spans="1:20" x14ac:dyDescent="0.35">
      <c r="A32" s="1" t="s">
        <v>115</v>
      </c>
      <c r="B32" s="35" t="s">
        <v>47</v>
      </c>
      <c r="C32" s="1" t="str">
        <f>VLOOKUP(B32,Mapping!A:B,2,0)</f>
        <v>Lateral</v>
      </c>
      <c r="D32" s="1" t="str">
        <f>VLOOKUP(B32,Mapping!A:C,3,0)</f>
        <v>West</v>
      </c>
      <c r="E32" s="1" t="str">
        <f>VLOOKUP(B32,Mapping!A:D,4,0)</f>
        <v>West 1</v>
      </c>
      <c r="F32" s="1" t="str">
        <f>VLOOKUP(B32,Mapping!A:E,5,0)</f>
        <v>Anjli</v>
      </c>
      <c r="G32" s="37" t="str">
        <f>VLOOKUP(B32,Mapping!A:F,6,0)</f>
        <v>Geetu</v>
      </c>
      <c r="H32" s="29"/>
      <c r="I32" s="29"/>
      <c r="J32" s="29"/>
      <c r="K32" s="29"/>
      <c r="L32" s="29"/>
      <c r="M32" s="29"/>
      <c r="N32" s="29"/>
      <c r="O32" s="29"/>
      <c r="P32" s="33"/>
      <c r="Q32" s="27"/>
      <c r="R32" s="27"/>
      <c r="S32" s="39"/>
      <c r="T32" s="5">
        <f t="shared" si="0"/>
        <v>0</v>
      </c>
    </row>
    <row r="33" spans="1:20" x14ac:dyDescent="0.35">
      <c r="A33" s="1" t="s">
        <v>115</v>
      </c>
      <c r="B33" s="35" t="s">
        <v>48</v>
      </c>
      <c r="C33" s="1" t="str">
        <f>VLOOKUP(B33,Mapping!A:B,2,0)</f>
        <v>Lateral</v>
      </c>
      <c r="D33" s="1" t="str">
        <f>VLOOKUP(B33,Mapping!A:C,3,0)</f>
        <v>West</v>
      </c>
      <c r="E33" s="1" t="str">
        <f>VLOOKUP(B33,Mapping!A:D,4,0)</f>
        <v>West 1</v>
      </c>
      <c r="F33" s="1" t="str">
        <f>VLOOKUP(B33,Mapping!A:E,5,0)</f>
        <v>Anjli</v>
      </c>
      <c r="G33" s="37" t="str">
        <f>VLOOKUP(B33,Mapping!A:F,6,0)</f>
        <v>Geetu</v>
      </c>
      <c r="H33" s="29"/>
      <c r="I33" s="29"/>
      <c r="J33" s="29"/>
      <c r="K33" s="29"/>
      <c r="L33" s="29"/>
      <c r="M33" s="29"/>
      <c r="N33" s="29"/>
      <c r="O33" s="29"/>
      <c r="P33" s="33"/>
      <c r="Q33" s="27"/>
      <c r="R33" s="27"/>
      <c r="S33" s="39"/>
      <c r="T33" s="5">
        <f t="shared" si="0"/>
        <v>0</v>
      </c>
    </row>
    <row r="34" spans="1:20" x14ac:dyDescent="0.35">
      <c r="A34" s="1" t="s">
        <v>115</v>
      </c>
      <c r="B34" s="35" t="s">
        <v>49</v>
      </c>
      <c r="C34" s="1" t="str">
        <f>VLOOKUP(B34,Mapping!A:B,2,0)</f>
        <v>Lateral</v>
      </c>
      <c r="D34" s="1" t="str">
        <f>VLOOKUP(B34,Mapping!A:C,3,0)</f>
        <v>North</v>
      </c>
      <c r="E34" s="1" t="str">
        <f>VLOOKUP(B34,Mapping!A:D,4,0)</f>
        <v>North</v>
      </c>
      <c r="F34" s="1" t="str">
        <f>VLOOKUP(B34,Mapping!A:E,5,0)</f>
        <v>Anjli</v>
      </c>
      <c r="G34" s="37" t="str">
        <f>VLOOKUP(B34,Mapping!A:F,6,0)</f>
        <v>Archana</v>
      </c>
      <c r="H34" s="29"/>
      <c r="I34" s="29"/>
      <c r="J34" s="29"/>
      <c r="K34" s="29"/>
      <c r="L34" s="29"/>
      <c r="M34" s="29"/>
      <c r="N34" s="29"/>
      <c r="O34" s="29"/>
      <c r="P34" s="33"/>
      <c r="Q34" s="27"/>
      <c r="R34" s="27"/>
      <c r="S34" s="39"/>
      <c r="T34" s="5">
        <f t="shared" si="0"/>
        <v>0</v>
      </c>
    </row>
    <row r="35" spans="1:20" x14ac:dyDescent="0.35">
      <c r="A35" s="1" t="s">
        <v>115</v>
      </c>
      <c r="B35" s="35" t="s">
        <v>50</v>
      </c>
      <c r="C35" s="1" t="str">
        <f>VLOOKUP(B35,Mapping!A:B,2,0)</f>
        <v>Lateral</v>
      </c>
      <c r="D35" s="1" t="str">
        <f>VLOOKUP(B35,Mapping!A:C,3,0)</f>
        <v>North</v>
      </c>
      <c r="E35" s="1" t="str">
        <f>VLOOKUP(B35,Mapping!A:D,4,0)</f>
        <v>North</v>
      </c>
      <c r="F35" s="1" t="str">
        <f>VLOOKUP(B35,Mapping!A:E,5,0)</f>
        <v>Anjli</v>
      </c>
      <c r="G35" s="37" t="str">
        <f>VLOOKUP(B35,Mapping!A:F,6,0)</f>
        <v>Archana</v>
      </c>
      <c r="H35" s="29"/>
      <c r="I35" s="29"/>
      <c r="J35" s="29"/>
      <c r="K35" s="29"/>
      <c r="L35" s="29"/>
      <c r="M35" s="29"/>
      <c r="N35" s="29"/>
      <c r="O35" s="29"/>
      <c r="P35" s="33"/>
      <c r="Q35" s="27"/>
      <c r="R35" s="27"/>
      <c r="S35" s="39"/>
      <c r="T35" s="5">
        <f t="shared" si="0"/>
        <v>0</v>
      </c>
    </row>
    <row r="36" spans="1:20" x14ac:dyDescent="0.35">
      <c r="A36" s="1" t="s">
        <v>115</v>
      </c>
      <c r="B36" s="35" t="s">
        <v>51</v>
      </c>
      <c r="C36" s="1" t="str">
        <f>VLOOKUP(B36,Mapping!A:B,2,0)</f>
        <v>Lateral</v>
      </c>
      <c r="D36" s="1" t="str">
        <f>VLOOKUP(B36,Mapping!A:C,3,0)</f>
        <v>West</v>
      </c>
      <c r="E36" s="1" t="str">
        <f>VLOOKUP(B36,Mapping!A:D,4,0)</f>
        <v>West 1</v>
      </c>
      <c r="F36" s="1" t="str">
        <f>VLOOKUP(B36,Mapping!A:E,5,0)</f>
        <v>Anjli</v>
      </c>
      <c r="G36" s="37" t="str">
        <f>VLOOKUP(B36,Mapping!A:F,6,0)</f>
        <v>Geetu</v>
      </c>
      <c r="H36" s="29"/>
      <c r="I36" s="29"/>
      <c r="J36" s="29"/>
      <c r="K36" s="29"/>
      <c r="L36" s="29"/>
      <c r="M36" s="29"/>
      <c r="N36" s="29"/>
      <c r="O36" s="29"/>
      <c r="P36" s="33"/>
      <c r="Q36" s="27"/>
      <c r="R36" s="27"/>
      <c r="S36" s="39"/>
      <c r="T36" s="5">
        <f t="shared" si="0"/>
        <v>0</v>
      </c>
    </row>
    <row r="37" spans="1:20" x14ac:dyDescent="0.35">
      <c r="A37" s="1" t="s">
        <v>115</v>
      </c>
      <c r="B37" s="35" t="s">
        <v>52</v>
      </c>
      <c r="C37" s="1" t="str">
        <f>VLOOKUP(B37,Mapping!A:B,2,0)</f>
        <v>Lateral</v>
      </c>
      <c r="D37" s="1" t="str">
        <f>VLOOKUP(B37,Mapping!A:C,3,0)</f>
        <v>West</v>
      </c>
      <c r="E37" s="1" t="str">
        <f>VLOOKUP(B37,Mapping!A:D,4,0)</f>
        <v>West 2</v>
      </c>
      <c r="F37" s="1" t="str">
        <f>VLOOKUP(B37,Mapping!A:E,5,0)</f>
        <v>Anjli</v>
      </c>
      <c r="G37" s="37" t="str">
        <f>VLOOKUP(B37,Mapping!A:F,6,0)</f>
        <v>Shweta</v>
      </c>
      <c r="H37" s="29"/>
      <c r="I37" s="29"/>
      <c r="J37" s="29"/>
      <c r="K37" s="29"/>
      <c r="L37" s="29"/>
      <c r="M37" s="29"/>
      <c r="N37" s="29"/>
      <c r="O37" s="29"/>
      <c r="P37" s="33"/>
      <c r="Q37" s="27"/>
      <c r="R37" s="27"/>
      <c r="S37" s="39"/>
      <c r="T37" s="5">
        <f t="shared" si="0"/>
        <v>0</v>
      </c>
    </row>
    <row r="38" spans="1:20" x14ac:dyDescent="0.35">
      <c r="A38" s="1" t="s">
        <v>115</v>
      </c>
      <c r="B38" s="35" t="s">
        <v>53</v>
      </c>
      <c r="C38" s="1" t="str">
        <f>VLOOKUP(B38,Mapping!A:B,2,0)</f>
        <v>Lateral</v>
      </c>
      <c r="D38" s="1" t="str">
        <f>VLOOKUP(B38,Mapping!A:C,3,0)</f>
        <v>West</v>
      </c>
      <c r="E38" s="1" t="str">
        <f>VLOOKUP(B38,Mapping!A:D,4,0)</f>
        <v>West 1</v>
      </c>
      <c r="F38" s="1" t="str">
        <f>VLOOKUP(B38,Mapping!A:E,5,0)</f>
        <v>Anjli</v>
      </c>
      <c r="G38" s="37" t="str">
        <f>VLOOKUP(B38,Mapping!A:F,6,0)</f>
        <v>Ankit</v>
      </c>
      <c r="H38" s="29"/>
      <c r="I38" s="29"/>
      <c r="J38" s="29"/>
      <c r="K38" s="29"/>
      <c r="L38" s="29"/>
      <c r="M38" s="29"/>
      <c r="N38" s="29"/>
      <c r="O38" s="29"/>
      <c r="P38" s="33"/>
      <c r="Q38" s="27"/>
      <c r="R38" s="27"/>
      <c r="S38" s="39"/>
      <c r="T38" s="5">
        <f t="shared" si="0"/>
        <v>0</v>
      </c>
    </row>
    <row r="39" spans="1:20" x14ac:dyDescent="0.35">
      <c r="A39" s="1" t="s">
        <v>115</v>
      </c>
      <c r="B39" s="35" t="s">
        <v>55</v>
      </c>
      <c r="C39" s="1" t="str">
        <f>VLOOKUP(B39,Mapping!A:B,2,0)</f>
        <v>Lateral</v>
      </c>
      <c r="D39" s="1" t="str">
        <f>VLOOKUP(B39,Mapping!A:C,3,0)</f>
        <v>South</v>
      </c>
      <c r="E39" s="1" t="str">
        <f>VLOOKUP(B39,Mapping!A:D,4,0)</f>
        <v>South 2</v>
      </c>
      <c r="F39" s="1" t="str">
        <f>VLOOKUP(B39,Mapping!A:E,5,0)</f>
        <v>Sulabh</v>
      </c>
      <c r="G39" s="37" t="str">
        <f>VLOOKUP(B39,Mapping!A:F,6,0)</f>
        <v>Krishna</v>
      </c>
      <c r="H39" s="29"/>
      <c r="I39" s="29"/>
      <c r="J39" s="29"/>
      <c r="K39" s="29"/>
      <c r="L39" s="29"/>
      <c r="M39" s="29"/>
      <c r="N39" s="29"/>
      <c r="O39" s="29"/>
      <c r="P39" s="33"/>
      <c r="Q39" s="27"/>
      <c r="R39" s="27"/>
      <c r="S39" s="39"/>
      <c r="T39" s="5">
        <f t="shared" si="0"/>
        <v>0</v>
      </c>
    </row>
    <row r="40" spans="1:20" x14ac:dyDescent="0.35">
      <c r="A40" s="1" t="s">
        <v>115</v>
      </c>
      <c r="B40" s="35" t="s">
        <v>56</v>
      </c>
      <c r="C40" s="1" t="str">
        <f>VLOOKUP(B40,Mapping!A:B,2,0)</f>
        <v>Lateral</v>
      </c>
      <c r="D40" s="1" t="str">
        <f>VLOOKUP(B40,Mapping!A:C,3,0)</f>
        <v>North</v>
      </c>
      <c r="E40" s="1" t="str">
        <f>VLOOKUP(B40,Mapping!A:D,4,0)</f>
        <v>North</v>
      </c>
      <c r="F40" s="1" t="str">
        <f>VLOOKUP(B40,Mapping!A:E,5,0)</f>
        <v>Anjli</v>
      </c>
      <c r="G40" s="37" t="str">
        <f>VLOOKUP(B40,Mapping!A:F,6,0)</f>
        <v>Archana</v>
      </c>
      <c r="H40" s="29"/>
      <c r="I40" s="29"/>
      <c r="J40" s="29"/>
      <c r="K40" s="29"/>
      <c r="L40" s="29"/>
      <c r="M40" s="29"/>
      <c r="N40" s="29"/>
      <c r="O40" s="29"/>
      <c r="P40" s="33"/>
      <c r="Q40" s="27"/>
      <c r="R40" s="27"/>
      <c r="S40" s="39"/>
      <c r="T40" s="5">
        <f t="shared" si="0"/>
        <v>0</v>
      </c>
    </row>
    <row r="41" spans="1:20" x14ac:dyDescent="0.35">
      <c r="A41" s="1" t="s">
        <v>115</v>
      </c>
      <c r="B41" s="35" t="s">
        <v>57</v>
      </c>
      <c r="C41" s="1" t="str">
        <f>VLOOKUP(B41,Mapping!A:B,2,0)</f>
        <v>Lateral</v>
      </c>
      <c r="D41" s="1" t="str">
        <f>VLOOKUP(B41,Mapping!A:C,3,0)</f>
        <v>South</v>
      </c>
      <c r="E41" s="1" t="str">
        <f>VLOOKUP(B41,Mapping!A:D,4,0)</f>
        <v>South 2</v>
      </c>
      <c r="F41" s="1" t="str">
        <f>VLOOKUP(B41,Mapping!A:E,5,0)</f>
        <v>Sulabh</v>
      </c>
      <c r="G41" s="37" t="str">
        <f>VLOOKUP(B41,Mapping!A:F,6,0)</f>
        <v>Krishna</v>
      </c>
      <c r="H41" s="29"/>
      <c r="I41" s="29"/>
      <c r="J41" s="29"/>
      <c r="K41" s="29"/>
      <c r="L41" s="29"/>
      <c r="M41" s="29"/>
      <c r="N41" s="29"/>
      <c r="O41" s="29"/>
      <c r="P41" s="33"/>
      <c r="Q41" s="27"/>
      <c r="R41" s="27"/>
      <c r="S41" s="39"/>
      <c r="T41" s="5">
        <f t="shared" si="0"/>
        <v>0</v>
      </c>
    </row>
    <row r="42" spans="1:20" x14ac:dyDescent="0.35">
      <c r="A42" s="1" t="s">
        <v>115</v>
      </c>
      <c r="B42" s="1" t="s">
        <v>58</v>
      </c>
      <c r="C42" s="1" t="str">
        <f>VLOOKUP(B42,Mapping!A:B,2,0)</f>
        <v>Lateral</v>
      </c>
      <c r="D42" s="1" t="str">
        <f>VLOOKUP(B42,Mapping!A:C,3,0)</f>
        <v>West</v>
      </c>
      <c r="E42" s="1" t="str">
        <f>VLOOKUP(B42,Mapping!A:D,4,0)</f>
        <v>West 1</v>
      </c>
      <c r="F42" s="1" t="str">
        <f>VLOOKUP(B42,Mapping!A:E,5,0)</f>
        <v>Anjli</v>
      </c>
      <c r="G42" s="37" t="str">
        <f>VLOOKUP(B42,Mapping!A:F,6,0)</f>
        <v>Elton</v>
      </c>
      <c r="H42" s="29"/>
      <c r="I42" s="29"/>
      <c r="J42" s="29"/>
      <c r="K42" s="29"/>
      <c r="L42" s="29"/>
      <c r="M42" s="29"/>
      <c r="N42" s="29"/>
      <c r="O42" s="29"/>
      <c r="P42" s="33"/>
      <c r="Q42" s="27"/>
      <c r="R42" s="27"/>
      <c r="S42" s="39"/>
      <c r="T42" s="5">
        <f t="shared" si="0"/>
        <v>0</v>
      </c>
    </row>
    <row r="43" spans="1:20" x14ac:dyDescent="0.35">
      <c r="A43" s="1" t="s">
        <v>115</v>
      </c>
      <c r="B43" s="1" t="s">
        <v>60</v>
      </c>
      <c r="C43" s="1" t="str">
        <f>VLOOKUP(B43,Mapping!A:B,2,0)</f>
        <v>Lateral</v>
      </c>
      <c r="D43" s="1" t="str">
        <f>VLOOKUP(B43,Mapping!A:C,3,0)</f>
        <v>West</v>
      </c>
      <c r="E43" s="1" t="str">
        <f>VLOOKUP(B43,Mapping!A:D,4,0)</f>
        <v>West 2</v>
      </c>
      <c r="F43" s="1" t="str">
        <f>VLOOKUP(B43,Mapping!A:E,5,0)</f>
        <v>Anjli</v>
      </c>
      <c r="G43" s="37" t="str">
        <f>VLOOKUP(B43,Mapping!A:F,6,0)</f>
        <v>Shweta</v>
      </c>
      <c r="H43" s="29"/>
      <c r="I43" s="29"/>
      <c r="J43" s="29"/>
      <c r="K43" s="29"/>
      <c r="L43" s="29"/>
      <c r="M43" s="29"/>
      <c r="N43" s="29"/>
      <c r="O43" s="29"/>
      <c r="P43" s="33"/>
      <c r="Q43" s="27"/>
      <c r="R43" s="27"/>
      <c r="S43" s="39"/>
      <c r="T43" s="5">
        <f t="shared" si="0"/>
        <v>0</v>
      </c>
    </row>
    <row r="44" spans="1:20" x14ac:dyDescent="0.35">
      <c r="A44" s="1" t="s">
        <v>115</v>
      </c>
      <c r="B44" s="1" t="s">
        <v>61</v>
      </c>
      <c r="C44" s="1" t="str">
        <f>VLOOKUP(B44,Mapping!A:B,2,0)</f>
        <v>Lateral</v>
      </c>
      <c r="D44" s="1" t="str">
        <f>VLOOKUP(B44,Mapping!A:C,3,0)</f>
        <v>West</v>
      </c>
      <c r="E44" s="1" t="str">
        <f>VLOOKUP(B44,Mapping!A:D,4,0)</f>
        <v>West 1</v>
      </c>
      <c r="F44" s="1" t="str">
        <f>VLOOKUP(B44,Mapping!A:E,5,0)</f>
        <v>Anjli</v>
      </c>
      <c r="G44" s="37" t="str">
        <f>VLOOKUP(B44,Mapping!A:F,6,0)</f>
        <v>Elton</v>
      </c>
      <c r="H44" s="29"/>
      <c r="I44" s="29"/>
      <c r="J44" s="29"/>
      <c r="K44" s="29"/>
      <c r="L44" s="29"/>
      <c r="M44" s="29"/>
      <c r="N44" s="29"/>
      <c r="O44" s="29"/>
      <c r="P44" s="33"/>
      <c r="Q44" s="27"/>
      <c r="R44" s="27"/>
      <c r="S44" s="39"/>
      <c r="T44" s="5">
        <f t="shared" si="0"/>
        <v>0</v>
      </c>
    </row>
    <row r="45" spans="1:20" x14ac:dyDescent="0.35">
      <c r="A45" s="1" t="s">
        <v>115</v>
      </c>
      <c r="B45" s="35" t="s">
        <v>62</v>
      </c>
      <c r="C45" s="1" t="str">
        <f>VLOOKUP(B45,Mapping!A:B,2,0)</f>
        <v>Lateral</v>
      </c>
      <c r="D45" s="1" t="str">
        <f>VLOOKUP(B45,Mapping!A:C,3,0)</f>
        <v>South</v>
      </c>
      <c r="E45" s="1" t="str">
        <f>VLOOKUP(B45,Mapping!A:D,4,0)</f>
        <v>South 2</v>
      </c>
      <c r="F45" s="1" t="str">
        <f>VLOOKUP(B45,Mapping!A:E,5,0)</f>
        <v>Sulabh</v>
      </c>
      <c r="G45" s="37" t="str">
        <f>VLOOKUP(B45,Mapping!A:F,6,0)</f>
        <v>Subu</v>
      </c>
      <c r="H45" s="29"/>
      <c r="I45" s="29"/>
      <c r="J45" s="29"/>
      <c r="K45" s="29"/>
      <c r="L45" s="29"/>
      <c r="M45" s="29"/>
      <c r="N45" s="29"/>
      <c r="O45" s="29"/>
      <c r="P45" s="34"/>
      <c r="Q45" s="27"/>
      <c r="R45" s="27"/>
      <c r="S45" s="39"/>
      <c r="T45" s="5">
        <f t="shared" si="0"/>
        <v>0</v>
      </c>
    </row>
    <row r="46" spans="1:20" x14ac:dyDescent="0.35">
      <c r="A46" s="1" t="s">
        <v>115</v>
      </c>
      <c r="B46" s="1" t="s">
        <v>63</v>
      </c>
      <c r="C46" s="1" t="str">
        <f>VLOOKUP(B46,Mapping!A:B,2,0)</f>
        <v>Lateral</v>
      </c>
      <c r="D46" s="1" t="str">
        <f>VLOOKUP(B46,Mapping!A:C,3,0)</f>
        <v>West</v>
      </c>
      <c r="E46" s="1" t="str">
        <f>VLOOKUP(B46,Mapping!A:D,4,0)</f>
        <v>West 1</v>
      </c>
      <c r="F46" s="1" t="str">
        <f>VLOOKUP(B46,Mapping!A:E,5,0)</f>
        <v>Anjli</v>
      </c>
      <c r="G46" s="37" t="str">
        <f>VLOOKUP(B46,Mapping!A:F,6,0)</f>
        <v>Elton</v>
      </c>
      <c r="H46" s="29"/>
      <c r="I46" s="29"/>
      <c r="J46" s="29"/>
      <c r="K46" s="29"/>
      <c r="L46" s="29"/>
      <c r="M46" s="29"/>
      <c r="N46" s="29"/>
      <c r="O46" s="29"/>
      <c r="P46" s="33"/>
      <c r="Q46" s="27"/>
      <c r="R46" s="27"/>
      <c r="S46" s="39"/>
      <c r="T46" s="5">
        <f t="shared" si="0"/>
        <v>0</v>
      </c>
    </row>
    <row r="47" spans="1:20" x14ac:dyDescent="0.35">
      <c r="A47" s="1" t="s">
        <v>115</v>
      </c>
      <c r="B47" s="1" t="s">
        <v>64</v>
      </c>
      <c r="C47" s="1" t="str">
        <f>VLOOKUP(B47,Mapping!A:B,2,0)</f>
        <v>Lateral</v>
      </c>
      <c r="D47" s="1" t="str">
        <f>VLOOKUP(B47,Mapping!A:C,3,0)</f>
        <v>South</v>
      </c>
      <c r="E47" s="1" t="str">
        <f>VLOOKUP(B47,Mapping!A:D,4,0)</f>
        <v>South 2</v>
      </c>
      <c r="F47" s="1" t="str">
        <f>VLOOKUP(B47,Mapping!A:E,5,0)</f>
        <v>Sulabh</v>
      </c>
      <c r="G47" s="37" t="str">
        <f>VLOOKUP(B47,Mapping!A:F,6,0)</f>
        <v>Sulabh</v>
      </c>
      <c r="H47" s="29"/>
      <c r="I47" s="29"/>
      <c r="J47" s="29"/>
      <c r="K47" s="29"/>
      <c r="L47" s="29"/>
      <c r="M47" s="29"/>
      <c r="N47" s="29"/>
      <c r="O47" s="29"/>
      <c r="P47" s="33"/>
      <c r="Q47" s="27"/>
      <c r="R47" s="27"/>
      <c r="S47" s="39"/>
      <c r="T47" s="5">
        <f t="shared" si="0"/>
        <v>0</v>
      </c>
    </row>
    <row r="48" spans="1:20" x14ac:dyDescent="0.35">
      <c r="A48" s="1" t="s">
        <v>115</v>
      </c>
      <c r="B48" s="1" t="s">
        <v>65</v>
      </c>
      <c r="C48" s="1" t="str">
        <f>VLOOKUP(B48,Mapping!A:B,2,0)</f>
        <v>Lateral</v>
      </c>
      <c r="D48" s="1" t="str">
        <f>VLOOKUP(B48,Mapping!A:C,3,0)</f>
        <v>South</v>
      </c>
      <c r="E48" s="1" t="str">
        <f>VLOOKUP(B48,Mapping!A:D,4,0)</f>
        <v>South 2</v>
      </c>
      <c r="F48" s="1" t="str">
        <f>VLOOKUP(B48,Mapping!A:E,5,0)</f>
        <v>Sulabh</v>
      </c>
      <c r="G48" s="37" t="str">
        <f>VLOOKUP(B48,Mapping!A:F,6,0)</f>
        <v>Sulabh</v>
      </c>
      <c r="H48" s="29"/>
      <c r="I48" s="29"/>
      <c r="J48" s="29"/>
      <c r="K48" s="29"/>
      <c r="L48" s="29"/>
      <c r="M48" s="29"/>
      <c r="N48" s="29"/>
      <c r="O48" s="29"/>
      <c r="P48" s="33"/>
      <c r="Q48" s="27"/>
      <c r="R48" s="27"/>
      <c r="S48" s="39"/>
      <c r="T48" s="5">
        <f t="shared" si="0"/>
        <v>0</v>
      </c>
    </row>
    <row r="49" spans="1:20" x14ac:dyDescent="0.35">
      <c r="A49" s="1" t="s">
        <v>115</v>
      </c>
      <c r="B49" s="1" t="s">
        <v>66</v>
      </c>
      <c r="C49" s="1" t="str">
        <f>VLOOKUP(B49,Mapping!A:B,2,0)</f>
        <v>Lateral</v>
      </c>
      <c r="D49" s="1" t="str">
        <f>VLOOKUP(B49,Mapping!A:C,3,0)</f>
        <v>South</v>
      </c>
      <c r="E49" s="1" t="str">
        <f>VLOOKUP(B49,Mapping!A:D,4,0)</f>
        <v>South 2</v>
      </c>
      <c r="F49" s="1" t="str">
        <f>VLOOKUP(B49,Mapping!A:E,5,0)</f>
        <v>Sulabh</v>
      </c>
      <c r="G49" s="37" t="str">
        <f>VLOOKUP(B49,Mapping!A:F,6,0)</f>
        <v>Abhilash</v>
      </c>
      <c r="H49" s="29"/>
      <c r="I49" s="29"/>
      <c r="J49" s="29"/>
      <c r="K49" s="29"/>
      <c r="L49" s="29"/>
      <c r="M49" s="29"/>
      <c r="N49" s="29"/>
      <c r="O49" s="29"/>
      <c r="P49" s="33"/>
      <c r="Q49" s="27"/>
      <c r="R49" s="27"/>
      <c r="S49" s="39"/>
      <c r="T49" s="5">
        <f t="shared" si="0"/>
        <v>0</v>
      </c>
    </row>
    <row r="50" spans="1:20" x14ac:dyDescent="0.35">
      <c r="A50" s="1" t="s">
        <v>115</v>
      </c>
      <c r="B50" s="1" t="s">
        <v>68</v>
      </c>
      <c r="C50" s="1" t="str">
        <f>VLOOKUP(B50,Mapping!A:B,2,0)</f>
        <v>Lateral</v>
      </c>
      <c r="D50" s="1" t="str">
        <f>VLOOKUP(B50,Mapping!A:C,3,0)</f>
        <v>West</v>
      </c>
      <c r="E50" s="1" t="str">
        <f>VLOOKUP(B50,Mapping!A:D,4,0)</f>
        <v>West 1</v>
      </c>
      <c r="F50" s="1" t="str">
        <f>VLOOKUP(B50,Mapping!A:E,5,0)</f>
        <v>Anjli</v>
      </c>
      <c r="G50" s="37" t="str">
        <f>VLOOKUP(B50,Mapping!A:F,6,0)</f>
        <v>Elton</v>
      </c>
      <c r="H50" s="29"/>
      <c r="I50" s="29"/>
      <c r="J50" s="29"/>
      <c r="K50" s="29"/>
      <c r="L50" s="29"/>
      <c r="M50" s="29"/>
      <c r="N50" s="29"/>
      <c r="O50" s="29"/>
      <c r="P50" s="33"/>
      <c r="Q50" s="27"/>
      <c r="R50" s="27"/>
      <c r="S50" s="39"/>
      <c r="T50" s="5">
        <f t="shared" si="0"/>
        <v>0</v>
      </c>
    </row>
    <row r="51" spans="1:20" x14ac:dyDescent="0.35">
      <c r="A51" s="1" t="s">
        <v>115</v>
      </c>
      <c r="B51" s="35" t="s">
        <v>69</v>
      </c>
      <c r="C51" s="1" t="str">
        <f>VLOOKUP(B51,Mapping!A:B,2,0)</f>
        <v>Leadership</v>
      </c>
      <c r="D51" s="1" t="str">
        <f>VLOOKUP(B51,Mapping!A:C,3,0)</f>
        <v>South</v>
      </c>
      <c r="E51" s="1" t="str">
        <f>VLOOKUP(B51,Mapping!A:D,4,0)</f>
        <v>South 1</v>
      </c>
      <c r="F51" s="1" t="str">
        <f>VLOOKUP(B51,Mapping!A:E,5,0)</f>
        <v>Bapi</v>
      </c>
      <c r="G51" s="37" t="str">
        <f>VLOOKUP(B51,Mapping!A:F,6,0)</f>
        <v>Parul</v>
      </c>
      <c r="H51" s="29"/>
      <c r="I51" s="29"/>
      <c r="J51" s="29"/>
      <c r="K51" s="29"/>
      <c r="L51" s="29"/>
      <c r="M51" s="29"/>
      <c r="N51" s="29"/>
      <c r="O51" s="29"/>
      <c r="P51" s="33"/>
      <c r="Q51" s="27"/>
      <c r="R51" s="27"/>
      <c r="S51" s="39"/>
      <c r="T51" s="5">
        <f t="shared" si="0"/>
        <v>0</v>
      </c>
    </row>
    <row r="52" spans="1:20" x14ac:dyDescent="0.35">
      <c r="A52" s="1" t="s">
        <v>115</v>
      </c>
      <c r="B52" s="35" t="s">
        <v>71</v>
      </c>
      <c r="C52" s="1" t="str">
        <f>VLOOKUP(B52,Mapping!A:B,2,0)</f>
        <v>Leadership</v>
      </c>
      <c r="D52" s="1" t="str">
        <f>VLOOKUP(B52,Mapping!A:C,3,0)</f>
        <v>South</v>
      </c>
      <c r="E52" s="1" t="str">
        <f>VLOOKUP(B52,Mapping!A:D,4,0)</f>
        <v>South 2</v>
      </c>
      <c r="F52" s="1" t="str">
        <f>VLOOKUP(B52,Mapping!A:E,5,0)</f>
        <v>Sulabh</v>
      </c>
      <c r="G52" s="37" t="str">
        <f>VLOOKUP(B52,Mapping!A:F,6,0)</f>
        <v>Parul</v>
      </c>
      <c r="H52" s="29"/>
      <c r="I52" s="29"/>
      <c r="J52" s="29"/>
      <c r="K52" s="29"/>
      <c r="L52" s="29"/>
      <c r="M52" s="29"/>
      <c r="N52" s="29"/>
      <c r="O52" s="29"/>
      <c r="P52" s="33"/>
      <c r="Q52" s="27"/>
      <c r="R52" s="27"/>
      <c r="S52" s="39"/>
      <c r="T52" s="5">
        <f t="shared" si="0"/>
        <v>0</v>
      </c>
    </row>
    <row r="53" spans="1:20" x14ac:dyDescent="0.35">
      <c r="A53" s="1" t="s">
        <v>115</v>
      </c>
      <c r="B53" s="35" t="s">
        <v>72</v>
      </c>
      <c r="C53" s="1" t="str">
        <f>VLOOKUP(B53,Mapping!A:B,2,0)</f>
        <v>Leadership</v>
      </c>
      <c r="D53" s="1" t="str">
        <f>VLOOKUP(B53,Mapping!A:C,3,0)</f>
        <v>West</v>
      </c>
      <c r="E53" s="1" t="str">
        <f>VLOOKUP(B53,Mapping!A:D,4,0)</f>
        <v>West 2</v>
      </c>
      <c r="F53" s="1" t="str">
        <f>VLOOKUP(B53,Mapping!A:E,5,0)</f>
        <v>Anjli</v>
      </c>
      <c r="G53" s="37" t="str">
        <f>VLOOKUP(B53,Mapping!A:F,6,0)</f>
        <v>Parul</v>
      </c>
      <c r="H53" s="29"/>
      <c r="I53" s="29"/>
      <c r="J53" s="29"/>
      <c r="K53" s="29"/>
      <c r="L53" s="29"/>
      <c r="M53" s="29"/>
      <c r="N53" s="29"/>
      <c r="O53" s="29"/>
      <c r="P53" s="33"/>
      <c r="Q53" s="27"/>
      <c r="R53" s="27"/>
      <c r="S53" s="39"/>
      <c r="T53" s="5">
        <f t="shared" si="0"/>
        <v>0</v>
      </c>
    </row>
    <row r="54" spans="1:20" x14ac:dyDescent="0.35">
      <c r="A54" s="1" t="s">
        <v>115</v>
      </c>
      <c r="B54" s="35" t="s">
        <v>73</v>
      </c>
      <c r="C54" s="1" t="str">
        <f>VLOOKUP(B54,Mapping!A:B,2,0)</f>
        <v>Leadership</v>
      </c>
      <c r="D54" s="1" t="str">
        <f>VLOOKUP(B54,Mapping!A:C,3,0)</f>
        <v>West</v>
      </c>
      <c r="E54" s="1" t="str">
        <f>VLOOKUP(B54,Mapping!A:D,4,0)</f>
        <v>West 1</v>
      </c>
      <c r="F54" s="1" t="str">
        <f>VLOOKUP(B54,Mapping!A:E,5,0)</f>
        <v>Anjli</v>
      </c>
      <c r="G54" s="37" t="str">
        <f>VLOOKUP(B54,Mapping!A:F,6,0)</f>
        <v>Parul</v>
      </c>
      <c r="H54" s="29"/>
      <c r="I54" s="29"/>
      <c r="J54" s="29"/>
      <c r="K54" s="29"/>
      <c r="L54" s="29"/>
      <c r="M54" s="29"/>
      <c r="N54" s="29"/>
      <c r="O54" s="29"/>
      <c r="P54" s="33"/>
      <c r="Q54" s="27"/>
      <c r="R54" s="27"/>
      <c r="S54" s="39"/>
      <c r="T54" s="5">
        <f t="shared" si="0"/>
        <v>0</v>
      </c>
    </row>
    <row r="55" spans="1:20" x14ac:dyDescent="0.35">
      <c r="A55" s="1" t="s">
        <v>115</v>
      </c>
      <c r="B55" s="35" t="s">
        <v>74</v>
      </c>
      <c r="C55" s="1" t="str">
        <f>VLOOKUP(B55,Mapping!A:B,2,0)</f>
        <v>Leadership</v>
      </c>
      <c r="D55" s="1" t="str">
        <f>VLOOKUP(B55,Mapping!A:C,3,0)</f>
        <v>West</v>
      </c>
      <c r="E55" s="1" t="str">
        <f>VLOOKUP(B55,Mapping!A:D,4,0)</f>
        <v>West 1</v>
      </c>
      <c r="F55" s="1" t="str">
        <f>VLOOKUP(B55,Mapping!A:E,5,0)</f>
        <v>Anjli</v>
      </c>
      <c r="G55" s="37" t="str">
        <f>VLOOKUP(B55,Mapping!A:F,6,0)</f>
        <v>Parul</v>
      </c>
      <c r="H55" s="29"/>
      <c r="I55" s="29"/>
      <c r="J55" s="29"/>
      <c r="K55" s="29"/>
      <c r="L55" s="29"/>
      <c r="M55" s="29"/>
      <c r="N55" s="29"/>
      <c r="O55" s="29"/>
      <c r="P55" s="33"/>
      <c r="Q55" s="27"/>
      <c r="R55" s="27"/>
      <c r="S55" s="39"/>
      <c r="T55" s="5">
        <f t="shared" si="0"/>
        <v>0</v>
      </c>
    </row>
    <row r="56" spans="1:20" x14ac:dyDescent="0.35">
      <c r="A56" s="1" t="s">
        <v>115</v>
      </c>
      <c r="B56" s="1" t="s">
        <v>75</v>
      </c>
      <c r="C56" s="1" t="str">
        <f>VLOOKUP(B56,Mapping!A:B,2,0)</f>
        <v>Leadership</v>
      </c>
      <c r="D56" s="1" t="str">
        <f>VLOOKUP(B56,Mapping!A:C,3,0)</f>
        <v>South</v>
      </c>
      <c r="E56" s="1" t="str">
        <f>VLOOKUP(B56,Mapping!A:D,4,0)</f>
        <v>South 2</v>
      </c>
      <c r="F56" s="1" t="str">
        <f>VLOOKUP(B56,Mapping!A:E,5,0)</f>
        <v>Sulabh</v>
      </c>
      <c r="G56" s="37" t="str">
        <f>VLOOKUP(B56,Mapping!A:F,6,0)</f>
        <v>Parul</v>
      </c>
      <c r="H56" s="29"/>
      <c r="I56" s="29"/>
      <c r="J56" s="29"/>
      <c r="K56" s="29"/>
      <c r="L56" s="29"/>
      <c r="M56" s="29"/>
      <c r="N56" s="29"/>
      <c r="O56" s="29"/>
      <c r="P56" s="33"/>
      <c r="Q56" s="27"/>
      <c r="R56" s="27"/>
      <c r="S56" s="39"/>
      <c r="T56" s="5">
        <f t="shared" si="0"/>
        <v>0</v>
      </c>
    </row>
    <row r="57" spans="1:20" x14ac:dyDescent="0.35">
      <c r="A57" s="1" t="s">
        <v>115</v>
      </c>
      <c r="B57" s="35" t="s">
        <v>76</v>
      </c>
      <c r="C57" s="1" t="str">
        <f>VLOOKUP(B57,Mapping!A:B,2,0)</f>
        <v>Leadership</v>
      </c>
      <c r="D57" s="1" t="str">
        <f>VLOOKUP(B57,Mapping!A:C,3,0)</f>
        <v>South</v>
      </c>
      <c r="E57" s="1" t="str">
        <f>VLOOKUP(B57,Mapping!A:D,4,0)</f>
        <v>South 2</v>
      </c>
      <c r="F57" s="1" t="str">
        <f>VLOOKUP(B57,Mapping!A:E,5,0)</f>
        <v>Sulabh</v>
      </c>
      <c r="G57" s="37" t="str">
        <f>VLOOKUP(B57,Mapping!A:F,6,0)</f>
        <v>Parul</v>
      </c>
      <c r="H57" s="29"/>
      <c r="I57" s="29"/>
      <c r="J57" s="29"/>
      <c r="K57" s="29"/>
      <c r="L57" s="29"/>
      <c r="M57" s="29"/>
      <c r="N57" s="29"/>
      <c r="O57" s="29"/>
      <c r="P57" s="33"/>
      <c r="Q57" s="27"/>
      <c r="R57" s="27"/>
      <c r="S57" s="39"/>
      <c r="T57" s="5">
        <f t="shared" si="0"/>
        <v>0</v>
      </c>
    </row>
    <row r="58" spans="1:20" x14ac:dyDescent="0.35">
      <c r="A58" s="1" t="s">
        <v>115</v>
      </c>
      <c r="B58" s="1" t="s">
        <v>77</v>
      </c>
      <c r="C58" s="1" t="str">
        <f>VLOOKUP(B58,Mapping!A:B,2,0)</f>
        <v>Leadership</v>
      </c>
      <c r="D58" s="1" t="str">
        <f>VLOOKUP(B58,Mapping!A:C,3,0)</f>
        <v>North</v>
      </c>
      <c r="E58" s="1" t="str">
        <f>VLOOKUP(B58,Mapping!A:D,4,0)</f>
        <v>North</v>
      </c>
      <c r="F58" s="1" t="str">
        <f>VLOOKUP(B58,Mapping!A:E,5,0)</f>
        <v>Anjli</v>
      </c>
      <c r="G58" s="37" t="str">
        <f>VLOOKUP(B58,Mapping!A:F,6,0)</f>
        <v>Parul</v>
      </c>
      <c r="H58" s="29"/>
      <c r="I58" s="29"/>
      <c r="J58" s="29"/>
      <c r="K58" s="29"/>
      <c r="L58" s="29"/>
      <c r="M58" s="29"/>
      <c r="N58" s="29"/>
      <c r="O58" s="29"/>
      <c r="P58" s="33"/>
      <c r="Q58" s="27"/>
      <c r="R58" s="27"/>
      <c r="S58" s="39"/>
      <c r="T58" s="5">
        <f t="shared" si="0"/>
        <v>0</v>
      </c>
    </row>
    <row r="59" spans="1:20" x14ac:dyDescent="0.35">
      <c r="A59" s="1" t="s">
        <v>115</v>
      </c>
      <c r="B59" s="35" t="s">
        <v>78</v>
      </c>
      <c r="C59" s="1" t="str">
        <f>VLOOKUP(B59,Mapping!A:B,2,0)</f>
        <v>Leadership</v>
      </c>
      <c r="D59" s="1" t="str">
        <f>VLOOKUP(B59,Mapping!A:C,3,0)</f>
        <v>West</v>
      </c>
      <c r="E59" s="1" t="str">
        <f>VLOOKUP(B59,Mapping!A:D,4,0)</f>
        <v>West 1</v>
      </c>
      <c r="F59" s="1" t="str">
        <f>VLOOKUP(B59,Mapping!A:E,5,0)</f>
        <v>Anjli</v>
      </c>
      <c r="G59" s="37" t="str">
        <f>VLOOKUP(B59,Mapping!A:F,6,0)</f>
        <v>Parul</v>
      </c>
      <c r="H59" s="29"/>
      <c r="I59" s="29"/>
      <c r="J59" s="29"/>
      <c r="K59" s="29"/>
      <c r="L59" s="29"/>
      <c r="M59" s="29"/>
      <c r="N59" s="29"/>
      <c r="O59" s="29"/>
      <c r="P59" s="33"/>
      <c r="Q59" s="27"/>
      <c r="R59" s="27"/>
      <c r="S59" s="39"/>
      <c r="T59" s="5">
        <f t="shared" si="0"/>
        <v>0</v>
      </c>
    </row>
    <row r="60" spans="1:20" x14ac:dyDescent="0.35">
      <c r="A60" s="1" t="s">
        <v>115</v>
      </c>
      <c r="B60" s="35" t="s">
        <v>79</v>
      </c>
      <c r="C60" s="1" t="str">
        <f>VLOOKUP(B60,Mapping!A:B,2,0)</f>
        <v>Leadership</v>
      </c>
      <c r="D60" s="1" t="str">
        <f>VLOOKUP(B60,Mapping!A:C,3,0)</f>
        <v>West</v>
      </c>
      <c r="E60" s="1" t="str">
        <f>VLOOKUP(B60,Mapping!A:D,4,0)</f>
        <v>West 2</v>
      </c>
      <c r="F60" s="1" t="str">
        <f>VLOOKUP(B60,Mapping!A:E,5,0)</f>
        <v>Anjli</v>
      </c>
      <c r="G60" s="37" t="str">
        <f>VLOOKUP(B60,Mapping!A:F,6,0)</f>
        <v>Parul</v>
      </c>
      <c r="H60" s="29"/>
      <c r="I60" s="29"/>
      <c r="J60" s="29"/>
      <c r="K60" s="29"/>
      <c r="L60" s="29"/>
      <c r="M60" s="29"/>
      <c r="N60" s="29"/>
      <c r="O60" s="29"/>
      <c r="P60" s="33"/>
      <c r="Q60" s="27"/>
      <c r="R60" s="27"/>
      <c r="S60" s="39"/>
      <c r="T60" s="5">
        <f t="shared" si="0"/>
        <v>0</v>
      </c>
    </row>
    <row r="61" spans="1:20" x14ac:dyDescent="0.35">
      <c r="A61" s="1" t="s">
        <v>115</v>
      </c>
      <c r="B61" s="1" t="s">
        <v>80</v>
      </c>
      <c r="C61" s="1" t="str">
        <f>VLOOKUP(B61,Mapping!A:B,2,0)</f>
        <v>Leadership</v>
      </c>
      <c r="D61" s="1" t="str">
        <f>VLOOKUP(B61,Mapping!A:C,3,0)</f>
        <v>North</v>
      </c>
      <c r="E61" s="1" t="str">
        <f>VLOOKUP(B61,Mapping!A:D,4,0)</f>
        <v>North</v>
      </c>
      <c r="F61" s="1" t="str">
        <f>VLOOKUP(B61,Mapping!A:E,5,0)</f>
        <v>Anjli</v>
      </c>
      <c r="G61" s="37" t="str">
        <f>VLOOKUP(B61,Mapping!A:F,6,0)</f>
        <v>Parul</v>
      </c>
      <c r="H61" s="29"/>
      <c r="I61" s="29"/>
      <c r="J61" s="29"/>
      <c r="K61" s="29"/>
      <c r="L61" s="29"/>
      <c r="M61" s="29"/>
      <c r="N61" s="29"/>
      <c r="O61" s="29"/>
      <c r="P61" s="33"/>
      <c r="Q61" s="27"/>
      <c r="R61" s="27"/>
      <c r="S61" s="39"/>
      <c r="T61" s="5">
        <f t="shared" si="0"/>
        <v>0</v>
      </c>
    </row>
    <row r="62" spans="1:20" x14ac:dyDescent="0.35">
      <c r="A62" s="1" t="s">
        <v>115</v>
      </c>
      <c r="B62" s="1" t="s">
        <v>81</v>
      </c>
      <c r="C62" s="1" t="str">
        <f>VLOOKUP(B62,Mapping!A:B,2,0)</f>
        <v>Leadership</v>
      </c>
      <c r="D62" s="1" t="str">
        <f>VLOOKUP(B62,Mapping!A:C,3,0)</f>
        <v>North</v>
      </c>
      <c r="E62" s="1" t="str">
        <f>VLOOKUP(B62,Mapping!A:D,4,0)</f>
        <v>North</v>
      </c>
      <c r="F62" s="1" t="str">
        <f>VLOOKUP(B62,Mapping!A:E,5,0)</f>
        <v>Anjli</v>
      </c>
      <c r="G62" s="37" t="str">
        <f>VLOOKUP(B62,Mapping!A:F,6,0)</f>
        <v>Parul</v>
      </c>
      <c r="H62" s="29"/>
      <c r="I62" s="29"/>
      <c r="J62" s="29"/>
      <c r="K62" s="29"/>
      <c r="L62" s="29"/>
      <c r="M62" s="29"/>
      <c r="N62" s="29"/>
      <c r="O62" s="29"/>
      <c r="P62" s="33"/>
      <c r="Q62" s="27"/>
      <c r="R62" s="27"/>
      <c r="S62" s="39"/>
      <c r="T62" s="5">
        <f t="shared" si="0"/>
        <v>0</v>
      </c>
    </row>
    <row r="63" spans="1:20" x14ac:dyDescent="0.35">
      <c r="A63" s="1" t="s">
        <v>115</v>
      </c>
      <c r="B63" s="35" t="s">
        <v>82</v>
      </c>
      <c r="C63" s="1" t="str">
        <f>VLOOKUP(B63,Mapping!A:B,2,0)</f>
        <v>Leadership</v>
      </c>
      <c r="D63" s="1" t="str">
        <f>VLOOKUP(B63,Mapping!A:C,3,0)</f>
        <v>West</v>
      </c>
      <c r="E63" s="1" t="str">
        <f>VLOOKUP(B63,Mapping!A:D,4,0)</f>
        <v>West 1</v>
      </c>
      <c r="F63" s="1" t="str">
        <f>VLOOKUP(B63,Mapping!A:E,5,0)</f>
        <v>Anjli</v>
      </c>
      <c r="G63" s="37" t="str">
        <f>VLOOKUP(B63,Mapping!A:F,6,0)</f>
        <v>Parul</v>
      </c>
      <c r="H63" s="29"/>
      <c r="I63" s="29"/>
      <c r="J63" s="29"/>
      <c r="K63" s="29"/>
      <c r="L63" s="29"/>
      <c r="M63" s="29"/>
      <c r="N63" s="29"/>
      <c r="O63" s="29"/>
      <c r="P63" s="33"/>
      <c r="Q63" s="27"/>
      <c r="R63" s="27"/>
      <c r="S63" s="39"/>
      <c r="T63" s="5">
        <f t="shared" si="0"/>
        <v>0</v>
      </c>
    </row>
    <row r="64" spans="1:20" x14ac:dyDescent="0.35">
      <c r="A64" s="1" t="s">
        <v>115</v>
      </c>
      <c r="B64" s="1" t="s">
        <v>83</v>
      </c>
      <c r="C64" s="1" t="str">
        <f>VLOOKUP(B64,Mapping!A:B,2,0)</f>
        <v>Leadership</v>
      </c>
      <c r="D64" s="1" t="str">
        <f>VLOOKUP(B64,Mapping!A:C,3,0)</f>
        <v>North</v>
      </c>
      <c r="E64" s="1" t="str">
        <f>VLOOKUP(B64,Mapping!A:D,4,0)</f>
        <v>North</v>
      </c>
      <c r="F64" s="1" t="str">
        <f>VLOOKUP(B64,Mapping!A:E,5,0)</f>
        <v>Anjli</v>
      </c>
      <c r="G64" s="37" t="str">
        <f>VLOOKUP(B64,Mapping!A:F,6,0)</f>
        <v>Parul</v>
      </c>
      <c r="H64" s="29"/>
      <c r="I64" s="29"/>
      <c r="J64" s="29"/>
      <c r="K64" s="29"/>
      <c r="L64" s="29"/>
      <c r="M64" s="29"/>
      <c r="N64" s="29"/>
      <c r="O64" s="29"/>
      <c r="P64" s="33"/>
      <c r="Q64" s="27"/>
      <c r="R64" s="27"/>
      <c r="S64" s="39"/>
      <c r="T64" s="5">
        <f t="shared" si="0"/>
        <v>0</v>
      </c>
    </row>
    <row r="65" spans="1:20" x14ac:dyDescent="0.35">
      <c r="A65" s="1" t="s">
        <v>115</v>
      </c>
      <c r="B65" s="35" t="s">
        <v>84</v>
      </c>
      <c r="C65" s="1" t="str">
        <f>VLOOKUP(B65,Mapping!A:B,2,0)</f>
        <v>Lateral</v>
      </c>
      <c r="D65" s="1" t="str">
        <f>VLOOKUP(B65,Mapping!A:C,3,0)</f>
        <v>South</v>
      </c>
      <c r="E65" s="1" t="str">
        <f>VLOOKUP(B65,Mapping!A:D,4,0)</f>
        <v>South 1</v>
      </c>
      <c r="F65" s="1" t="str">
        <f>VLOOKUP(B65,Mapping!A:E,5,0)</f>
        <v>Ashish</v>
      </c>
      <c r="G65" s="37" t="str">
        <f>VLOOKUP(B65,Mapping!A:F,6,0)</f>
        <v>Ashish</v>
      </c>
      <c r="H65" s="29"/>
      <c r="I65" s="29"/>
      <c r="J65" s="29"/>
      <c r="K65" s="29"/>
      <c r="L65" s="29"/>
      <c r="M65" s="29"/>
      <c r="N65" s="29"/>
      <c r="O65" s="29"/>
      <c r="P65" s="33"/>
      <c r="Q65" s="27"/>
      <c r="R65" s="27"/>
      <c r="S65" s="39"/>
      <c r="T65" s="5">
        <f t="shared" si="0"/>
        <v>0</v>
      </c>
    </row>
    <row r="66" spans="1:20" x14ac:dyDescent="0.35">
      <c r="A66" s="1" t="s">
        <v>115</v>
      </c>
      <c r="B66" s="1" t="s">
        <v>86</v>
      </c>
      <c r="C66" s="1" t="str">
        <f>VLOOKUP(B66,Mapping!A:B,2,0)</f>
        <v>Lateral</v>
      </c>
      <c r="D66" s="1" t="str">
        <f>VLOOKUP(B66,Mapping!A:C,3,0)</f>
        <v>New Sales</v>
      </c>
      <c r="E66" s="1" t="str">
        <f>VLOOKUP(B66,Mapping!A:D,4,0)</f>
        <v>New Sales</v>
      </c>
      <c r="F66" s="1" t="str">
        <f>VLOOKUP(B66,Mapping!A:E,5,0)</f>
        <v>Nizar</v>
      </c>
      <c r="G66" s="37" t="str">
        <f>VLOOKUP(B66,Mapping!A:F,6,0)</f>
        <v>Nizar</v>
      </c>
      <c r="H66" s="29"/>
      <c r="I66" s="29"/>
      <c r="J66" s="29"/>
      <c r="K66" s="29"/>
      <c r="L66" s="29"/>
      <c r="M66" s="29"/>
      <c r="N66" s="29"/>
      <c r="O66" s="29"/>
      <c r="P66" s="33"/>
      <c r="Q66" s="27"/>
      <c r="R66" s="27"/>
      <c r="S66" s="39"/>
      <c r="T66" s="5">
        <f t="shared" si="0"/>
        <v>0</v>
      </c>
    </row>
    <row r="67" spans="1:20" x14ac:dyDescent="0.35">
      <c r="A67" s="1" t="s">
        <v>115</v>
      </c>
      <c r="B67" s="35" t="s">
        <v>89</v>
      </c>
      <c r="C67" s="1" t="str">
        <f>VLOOKUP(B67,Mapping!A:B,2,0)</f>
        <v>Lateral</v>
      </c>
      <c r="D67" s="1" t="str">
        <f>VLOOKUP(B67,Mapping!A:C,3,0)</f>
        <v>North</v>
      </c>
      <c r="E67" s="1" t="str">
        <f>VLOOKUP(B67,Mapping!A:D,4,0)</f>
        <v>North</v>
      </c>
      <c r="F67" s="1" t="str">
        <f>VLOOKUP(B67,Mapping!A:E,5,0)</f>
        <v>Anjli</v>
      </c>
      <c r="G67" s="37" t="str">
        <f>VLOOKUP(B67,Mapping!A:F,6,0)</f>
        <v>Archana</v>
      </c>
      <c r="H67" s="29"/>
      <c r="I67" s="29"/>
      <c r="J67" s="29"/>
      <c r="K67" s="29"/>
      <c r="L67" s="29"/>
      <c r="M67" s="29"/>
      <c r="N67" s="29"/>
      <c r="O67" s="29"/>
      <c r="P67" s="33"/>
      <c r="Q67" s="27"/>
      <c r="R67" s="27"/>
      <c r="S67" s="39"/>
      <c r="T67" s="5">
        <f t="shared" ref="T67:T87" si="1">SUM(H67:S67)</f>
        <v>0</v>
      </c>
    </row>
    <row r="68" spans="1:20" x14ac:dyDescent="0.35">
      <c r="A68" s="1" t="s">
        <v>115</v>
      </c>
      <c r="B68" s="35" t="s">
        <v>91</v>
      </c>
      <c r="C68" s="1" t="str">
        <f>VLOOKUP(B68,Mapping!A:B,2,0)</f>
        <v>Lateral</v>
      </c>
      <c r="D68" s="1" t="str">
        <f>VLOOKUP(B68,Mapping!A:C,3,0)</f>
        <v>North</v>
      </c>
      <c r="E68" s="1" t="str">
        <f>VLOOKUP(B68,Mapping!A:D,4,0)</f>
        <v>North</v>
      </c>
      <c r="F68" s="1" t="str">
        <f>VLOOKUP(B68,Mapping!A:E,5,0)</f>
        <v>Anjli</v>
      </c>
      <c r="G68" s="37" t="str">
        <f>VLOOKUP(B68,Mapping!A:F,6,0)</f>
        <v>Archana</v>
      </c>
      <c r="H68" s="29"/>
      <c r="I68" s="29"/>
      <c r="J68" s="29"/>
      <c r="K68" s="29"/>
      <c r="L68" s="29"/>
      <c r="M68" s="29"/>
      <c r="N68" s="29"/>
      <c r="O68" s="29"/>
      <c r="P68" s="33"/>
      <c r="Q68" s="27"/>
      <c r="R68" s="27"/>
      <c r="S68" s="39"/>
      <c r="T68" s="5">
        <f t="shared" si="1"/>
        <v>0</v>
      </c>
    </row>
    <row r="69" spans="1:20" x14ac:dyDescent="0.35">
      <c r="A69" s="1" t="s">
        <v>115</v>
      </c>
      <c r="B69" s="1" t="s">
        <v>131</v>
      </c>
      <c r="C69" s="1" t="str">
        <f>VLOOKUP(B69,Mapping!A:B,2,0)</f>
        <v>Lateral</v>
      </c>
      <c r="D69" s="1" t="str">
        <f>VLOOKUP(B69,Mapping!A:C,3,0)</f>
        <v>West</v>
      </c>
      <c r="E69" s="1" t="str">
        <f>VLOOKUP(B69,Mapping!A:D,4,0)</f>
        <v>West 1</v>
      </c>
      <c r="F69" s="1" t="str">
        <f>VLOOKUP(B69,Mapping!A:E,5,0)</f>
        <v>Anjli</v>
      </c>
      <c r="G69" s="37" t="str">
        <f>VLOOKUP(B69,Mapping!A:F,6,0)</f>
        <v>Anjli</v>
      </c>
      <c r="H69" s="29"/>
      <c r="I69" s="29"/>
      <c r="J69" s="29"/>
      <c r="K69" s="29"/>
      <c r="L69" s="29"/>
      <c r="M69" s="29"/>
      <c r="N69" s="29"/>
      <c r="O69" s="29"/>
      <c r="P69" s="33"/>
      <c r="Q69" s="27"/>
      <c r="R69" s="27"/>
      <c r="S69" s="39"/>
      <c r="T69" s="5">
        <f t="shared" si="1"/>
        <v>0</v>
      </c>
    </row>
    <row r="70" spans="1:20" x14ac:dyDescent="0.35">
      <c r="A70" s="1" t="s">
        <v>115</v>
      </c>
      <c r="B70" s="35" t="s">
        <v>93</v>
      </c>
      <c r="C70" s="1" t="str">
        <f>VLOOKUP(B70,Mapping!A:B,2,0)</f>
        <v>Lateral</v>
      </c>
      <c r="D70" s="1" t="str">
        <f>VLOOKUP(B70,Mapping!A:C,3,0)</f>
        <v>West</v>
      </c>
      <c r="E70" s="1" t="str">
        <f>VLOOKUP(B70,Mapping!A:D,4,0)</f>
        <v>West 1</v>
      </c>
      <c r="F70" s="1" t="str">
        <f>VLOOKUP(B70,Mapping!A:E,5,0)</f>
        <v>Anjli</v>
      </c>
      <c r="G70" s="37" t="str">
        <f>VLOOKUP(B70,Mapping!A:F,6,0)</f>
        <v>Geetu</v>
      </c>
      <c r="H70" s="29"/>
      <c r="I70" s="29"/>
      <c r="J70" s="29"/>
      <c r="K70" s="29"/>
      <c r="L70" s="29"/>
      <c r="M70" s="29"/>
      <c r="N70" s="29"/>
      <c r="O70" s="29"/>
      <c r="P70" s="33"/>
      <c r="Q70" s="27"/>
      <c r="R70" s="27"/>
      <c r="S70" s="39"/>
      <c r="T70" s="5">
        <f t="shared" si="1"/>
        <v>0</v>
      </c>
    </row>
    <row r="71" spans="1:20" x14ac:dyDescent="0.35">
      <c r="A71" s="1" t="s">
        <v>115</v>
      </c>
      <c r="B71" s="1" t="s">
        <v>94</v>
      </c>
      <c r="C71" s="1" t="str">
        <f>VLOOKUP(B71,Mapping!A:B,2,0)</f>
        <v>Lateral</v>
      </c>
      <c r="D71" s="1" t="str">
        <f>VLOOKUP(B71,Mapping!A:C,3,0)</f>
        <v>West</v>
      </c>
      <c r="E71" s="1" t="str">
        <f>VLOOKUP(B71,Mapping!A:D,4,0)</f>
        <v>West 1</v>
      </c>
      <c r="F71" s="1" t="str">
        <f>VLOOKUP(B71,Mapping!A:E,5,0)</f>
        <v>Anjli</v>
      </c>
      <c r="G71" s="37" t="str">
        <f>VLOOKUP(B71,Mapping!A:F,6,0)</f>
        <v>Archana</v>
      </c>
      <c r="H71" s="29"/>
      <c r="I71" s="29"/>
      <c r="J71" s="29"/>
      <c r="K71" s="29"/>
      <c r="L71" s="29"/>
      <c r="M71" s="29"/>
      <c r="N71" s="29"/>
      <c r="O71" s="29"/>
      <c r="P71" s="33"/>
      <c r="Q71" s="27"/>
      <c r="R71" s="27"/>
      <c r="S71" s="39"/>
      <c r="T71" s="5">
        <f t="shared" si="1"/>
        <v>0</v>
      </c>
    </row>
    <row r="72" spans="1:20" x14ac:dyDescent="0.35">
      <c r="A72" s="1" t="s">
        <v>115</v>
      </c>
      <c r="B72" s="35" t="s">
        <v>95</v>
      </c>
      <c r="C72" s="1" t="str">
        <f>VLOOKUP(B72,Mapping!A:B,2,0)</f>
        <v>Lateral</v>
      </c>
      <c r="D72" s="1" t="str">
        <f>VLOOKUP(B72,Mapping!A:C,3,0)</f>
        <v>South</v>
      </c>
      <c r="E72" s="1" t="str">
        <f>VLOOKUP(B72,Mapping!A:D,4,0)</f>
        <v>South 2</v>
      </c>
      <c r="F72" s="1" t="str">
        <f>VLOOKUP(B72,Mapping!A:E,5,0)</f>
        <v>Sulabh</v>
      </c>
      <c r="G72" s="37" t="str">
        <f>VLOOKUP(B72,Mapping!A:F,6,0)</f>
        <v>Lekhana</v>
      </c>
      <c r="H72" s="29"/>
      <c r="I72" s="29"/>
      <c r="J72" s="29"/>
      <c r="K72" s="29"/>
      <c r="L72" s="29"/>
      <c r="M72" s="29"/>
      <c r="N72" s="29"/>
      <c r="O72" s="29"/>
      <c r="P72" s="33"/>
      <c r="Q72" s="27"/>
      <c r="R72" s="27"/>
      <c r="S72" s="39"/>
      <c r="T72" s="5">
        <f t="shared" si="1"/>
        <v>0</v>
      </c>
    </row>
    <row r="73" spans="1:20" x14ac:dyDescent="0.35">
      <c r="A73" s="1" t="s">
        <v>115</v>
      </c>
      <c r="B73" s="35" t="s">
        <v>97</v>
      </c>
      <c r="C73" s="1" t="str">
        <f>VLOOKUP(B73,Mapping!A:B,2,0)</f>
        <v>Lateral</v>
      </c>
      <c r="D73" s="1" t="str">
        <f>VLOOKUP(B73,Mapping!A:C,3,0)</f>
        <v>South</v>
      </c>
      <c r="E73" s="1" t="str">
        <f>VLOOKUP(B73,Mapping!A:D,4,0)</f>
        <v>South 2</v>
      </c>
      <c r="F73" s="1" t="str">
        <f>VLOOKUP(B73,Mapping!A:E,5,0)</f>
        <v>Sulabh</v>
      </c>
      <c r="G73" s="37" t="str">
        <f>VLOOKUP(B73,Mapping!A:F,6,0)</f>
        <v>Satya</v>
      </c>
      <c r="H73" s="29"/>
      <c r="I73" s="29"/>
      <c r="J73" s="29"/>
      <c r="K73" s="29"/>
      <c r="L73" s="29"/>
      <c r="M73" s="29"/>
      <c r="N73" s="29"/>
      <c r="O73" s="29"/>
      <c r="P73" s="33"/>
      <c r="Q73" s="27"/>
      <c r="R73" s="27"/>
      <c r="S73" s="39"/>
      <c r="T73" s="5">
        <f t="shared" si="1"/>
        <v>0</v>
      </c>
    </row>
    <row r="74" spans="1:20" x14ac:dyDescent="0.35">
      <c r="A74" s="1" t="s">
        <v>115</v>
      </c>
      <c r="B74" s="1" t="s">
        <v>98</v>
      </c>
      <c r="C74" s="1" t="str">
        <f>VLOOKUP(B74,Mapping!A:B,2,0)</f>
        <v>Lateral</v>
      </c>
      <c r="D74" s="1" t="str">
        <f>VLOOKUP(B74,Mapping!A:C,3,0)</f>
        <v>West</v>
      </c>
      <c r="E74" s="1" t="str">
        <f>VLOOKUP(B74,Mapping!A:D,4,0)</f>
        <v>West 1</v>
      </c>
      <c r="F74" s="1" t="str">
        <f>VLOOKUP(B74,Mapping!A:E,5,0)</f>
        <v>Anjli</v>
      </c>
      <c r="G74" s="37" t="str">
        <f>VLOOKUP(B74,Mapping!A:F,6,0)</f>
        <v>Anjli</v>
      </c>
      <c r="H74" s="29"/>
      <c r="I74" s="29"/>
      <c r="J74" s="29"/>
      <c r="K74" s="29"/>
      <c r="L74" s="29"/>
      <c r="M74" s="29"/>
      <c r="N74" s="29"/>
      <c r="O74" s="29"/>
      <c r="P74" s="33"/>
      <c r="Q74" s="27"/>
      <c r="R74" s="27"/>
      <c r="S74" s="39"/>
      <c r="T74" s="5">
        <f t="shared" si="1"/>
        <v>0</v>
      </c>
    </row>
    <row r="75" spans="1:20" x14ac:dyDescent="0.35">
      <c r="A75" s="1" t="s">
        <v>115</v>
      </c>
      <c r="B75" s="1" t="s">
        <v>130</v>
      </c>
      <c r="C75" s="1" t="str">
        <f>VLOOKUP(B75,Mapping!A:B,2,0)</f>
        <v>Lateral</v>
      </c>
      <c r="D75" s="1" t="str">
        <f>VLOOKUP(B75,Mapping!A:C,3,0)</f>
        <v>West</v>
      </c>
      <c r="E75" s="1" t="str">
        <f>VLOOKUP(B75,Mapping!A:D,4,0)</f>
        <v>West 1</v>
      </c>
      <c r="F75" s="1" t="str">
        <f>VLOOKUP(B75,Mapping!A:E,5,0)</f>
        <v>Anjli</v>
      </c>
      <c r="G75" s="37" t="str">
        <f>VLOOKUP(B75,Mapping!A:F,6,0)</f>
        <v>Anjli</v>
      </c>
      <c r="H75" s="29"/>
      <c r="I75" s="29"/>
      <c r="J75" s="29"/>
      <c r="K75" s="29"/>
      <c r="L75" s="29"/>
      <c r="M75" s="29"/>
      <c r="N75" s="29"/>
      <c r="O75" s="29"/>
      <c r="P75" s="33"/>
      <c r="Q75" s="27"/>
      <c r="R75" s="27"/>
      <c r="S75" s="39"/>
      <c r="T75" s="5">
        <f t="shared" si="1"/>
        <v>0</v>
      </c>
    </row>
    <row r="76" spans="1:20" x14ac:dyDescent="0.35">
      <c r="A76" s="1" t="s">
        <v>115</v>
      </c>
      <c r="B76" s="1" t="s">
        <v>100</v>
      </c>
      <c r="C76" s="1" t="str">
        <f>VLOOKUP(B76,Mapping!A:B,2,0)</f>
        <v>Lateral</v>
      </c>
      <c r="D76" s="1" t="str">
        <f>VLOOKUP(B76,Mapping!A:C,3,0)</f>
        <v>West</v>
      </c>
      <c r="E76" s="1" t="str">
        <f>VLOOKUP(B76,Mapping!A:D,4,0)</f>
        <v>West 1</v>
      </c>
      <c r="F76" s="1" t="str">
        <f>VLOOKUP(B76,Mapping!A:E,5,0)</f>
        <v>Anjli</v>
      </c>
      <c r="G76" s="37" t="str">
        <f>VLOOKUP(B76,Mapping!A:F,6,0)</f>
        <v>Anjli</v>
      </c>
      <c r="H76" s="29"/>
      <c r="I76" s="29"/>
      <c r="J76" s="29"/>
      <c r="K76" s="29"/>
      <c r="L76" s="29"/>
      <c r="M76" s="29"/>
      <c r="N76" s="29"/>
      <c r="O76" s="29"/>
      <c r="P76" s="33"/>
      <c r="Q76" s="27"/>
      <c r="R76" s="27"/>
      <c r="S76" s="39"/>
      <c r="T76" s="5">
        <f t="shared" si="1"/>
        <v>0</v>
      </c>
    </row>
    <row r="77" spans="1:20" x14ac:dyDescent="0.35">
      <c r="A77" s="1" t="s">
        <v>115</v>
      </c>
      <c r="B77" s="1" t="s">
        <v>118</v>
      </c>
      <c r="C77" s="1" t="s">
        <v>127</v>
      </c>
      <c r="D77" s="1" t="s">
        <v>127</v>
      </c>
      <c r="E77" s="1" t="s">
        <v>127</v>
      </c>
      <c r="F77" s="1" t="s">
        <v>129</v>
      </c>
      <c r="G77" s="37" t="s">
        <v>128</v>
      </c>
      <c r="H77" s="1"/>
      <c r="I77" s="1"/>
      <c r="J77" s="1"/>
      <c r="K77" s="1"/>
      <c r="L77" s="1"/>
      <c r="M77" s="1"/>
      <c r="N77" s="1"/>
      <c r="O77" s="1"/>
      <c r="P77" s="33"/>
      <c r="Q77" s="27"/>
      <c r="R77" s="27"/>
      <c r="S77" s="39"/>
      <c r="T77" s="5">
        <f t="shared" si="1"/>
        <v>0</v>
      </c>
    </row>
    <row r="78" spans="1:20" x14ac:dyDescent="0.35">
      <c r="A78" s="1" t="s">
        <v>115</v>
      </c>
      <c r="B78" s="1" t="s">
        <v>119</v>
      </c>
      <c r="C78" s="1" t="s">
        <v>127</v>
      </c>
      <c r="D78" s="1" t="s">
        <v>127</v>
      </c>
      <c r="E78" s="1" t="s">
        <v>127</v>
      </c>
      <c r="F78" s="1" t="s">
        <v>129</v>
      </c>
      <c r="G78" s="37" t="s">
        <v>128</v>
      </c>
      <c r="H78" s="1"/>
      <c r="I78" s="1"/>
      <c r="J78" s="1"/>
      <c r="K78" s="1"/>
      <c r="L78" s="1"/>
      <c r="M78" s="1"/>
      <c r="N78" s="1"/>
      <c r="O78" s="1"/>
      <c r="P78" s="33"/>
      <c r="Q78" s="27"/>
      <c r="R78" s="27"/>
      <c r="S78" s="39"/>
      <c r="T78" s="5">
        <f t="shared" si="1"/>
        <v>0</v>
      </c>
    </row>
    <row r="79" spans="1:20" x14ac:dyDescent="0.35">
      <c r="A79" s="1" t="s">
        <v>115</v>
      </c>
      <c r="B79" s="1" t="s">
        <v>120</v>
      </c>
      <c r="C79" s="1" t="s">
        <v>127</v>
      </c>
      <c r="D79" s="1" t="s">
        <v>127</v>
      </c>
      <c r="E79" s="1" t="s">
        <v>127</v>
      </c>
      <c r="F79" s="1" t="s">
        <v>129</v>
      </c>
      <c r="G79" s="37" t="s">
        <v>128</v>
      </c>
      <c r="H79" s="1"/>
      <c r="I79" s="1"/>
      <c r="J79" s="1"/>
      <c r="K79" s="1"/>
      <c r="L79" s="1"/>
      <c r="M79" s="1"/>
      <c r="N79" s="1"/>
      <c r="O79" s="1"/>
      <c r="P79" s="33"/>
      <c r="Q79" s="27"/>
      <c r="R79" s="27"/>
      <c r="S79" s="39"/>
      <c r="T79" s="5">
        <f t="shared" si="1"/>
        <v>0</v>
      </c>
    </row>
    <row r="80" spans="1:20" x14ac:dyDescent="0.35">
      <c r="A80" s="1" t="s">
        <v>115</v>
      </c>
      <c r="B80" s="1" t="s">
        <v>121</v>
      </c>
      <c r="C80" s="1" t="s">
        <v>127</v>
      </c>
      <c r="D80" s="1" t="s">
        <v>127</v>
      </c>
      <c r="E80" s="1" t="s">
        <v>127</v>
      </c>
      <c r="F80" s="1" t="s">
        <v>129</v>
      </c>
      <c r="G80" s="37" t="s">
        <v>128</v>
      </c>
      <c r="H80" s="1"/>
      <c r="I80" s="1"/>
      <c r="J80" s="1"/>
      <c r="K80" s="1"/>
      <c r="L80" s="1"/>
      <c r="M80" s="1"/>
      <c r="N80" s="1"/>
      <c r="O80" s="1"/>
      <c r="P80" s="33"/>
      <c r="Q80" s="27"/>
      <c r="R80" s="27"/>
      <c r="S80" s="39"/>
      <c r="T80" s="5">
        <f t="shared" si="1"/>
        <v>0</v>
      </c>
    </row>
    <row r="81" spans="1:20" x14ac:dyDescent="0.35">
      <c r="A81" s="1" t="s">
        <v>115</v>
      </c>
      <c r="B81" s="1" t="s">
        <v>122</v>
      </c>
      <c r="C81" s="1" t="s">
        <v>127</v>
      </c>
      <c r="D81" s="1" t="s">
        <v>127</v>
      </c>
      <c r="E81" s="1" t="s">
        <v>127</v>
      </c>
      <c r="F81" s="1" t="s">
        <v>129</v>
      </c>
      <c r="G81" s="37" t="s">
        <v>128</v>
      </c>
      <c r="H81" s="1"/>
      <c r="I81" s="1"/>
      <c r="J81" s="1"/>
      <c r="K81" s="1"/>
      <c r="L81" s="1"/>
      <c r="M81" s="1"/>
      <c r="N81" s="1"/>
      <c r="O81" s="1"/>
      <c r="P81" s="33"/>
      <c r="Q81" s="27"/>
      <c r="R81" s="27"/>
      <c r="S81" s="39"/>
      <c r="T81" s="5">
        <f t="shared" si="1"/>
        <v>0</v>
      </c>
    </row>
    <row r="82" spans="1:20" x14ac:dyDescent="0.35">
      <c r="A82" s="1" t="s">
        <v>115</v>
      </c>
      <c r="B82" s="1" t="s">
        <v>123</v>
      </c>
      <c r="C82" s="1" t="s">
        <v>127</v>
      </c>
      <c r="D82" s="1" t="s">
        <v>127</v>
      </c>
      <c r="E82" s="1" t="s">
        <v>127</v>
      </c>
      <c r="F82" s="1" t="s">
        <v>129</v>
      </c>
      <c r="G82" s="37" t="s">
        <v>128</v>
      </c>
      <c r="H82" s="1"/>
      <c r="I82" s="1"/>
      <c r="J82" s="1"/>
      <c r="K82" s="1"/>
      <c r="L82" s="1"/>
      <c r="M82" s="1"/>
      <c r="N82" s="1"/>
      <c r="O82" s="1"/>
      <c r="P82" s="33"/>
      <c r="Q82" s="27"/>
      <c r="R82" s="27"/>
      <c r="S82" s="39"/>
      <c r="T82" s="5">
        <f t="shared" si="1"/>
        <v>0</v>
      </c>
    </row>
    <row r="83" spans="1:20" x14ac:dyDescent="0.35">
      <c r="A83" s="1" t="s">
        <v>115</v>
      </c>
      <c r="B83" s="1" t="s">
        <v>124</v>
      </c>
      <c r="C83" s="1" t="s">
        <v>127</v>
      </c>
      <c r="D83" s="1" t="s">
        <v>127</v>
      </c>
      <c r="E83" s="1" t="s">
        <v>127</v>
      </c>
      <c r="F83" s="1" t="s">
        <v>129</v>
      </c>
      <c r="G83" s="37" t="s">
        <v>128</v>
      </c>
      <c r="H83" s="1"/>
      <c r="I83" s="1"/>
      <c r="J83" s="1"/>
      <c r="K83" s="1"/>
      <c r="L83" s="1"/>
      <c r="M83" s="1"/>
      <c r="N83" s="1"/>
      <c r="O83" s="1"/>
      <c r="P83" s="33"/>
      <c r="Q83" s="27"/>
      <c r="R83" s="27"/>
      <c r="S83" s="39"/>
      <c r="T83" s="5">
        <f t="shared" si="1"/>
        <v>0</v>
      </c>
    </row>
    <row r="84" spans="1:20" x14ac:dyDescent="0.35">
      <c r="A84" s="1" t="s">
        <v>115</v>
      </c>
      <c r="B84" s="1" t="s">
        <v>125</v>
      </c>
      <c r="C84" s="1" t="s">
        <v>127</v>
      </c>
      <c r="D84" s="1" t="s">
        <v>127</v>
      </c>
      <c r="E84" s="1" t="s">
        <v>127</v>
      </c>
      <c r="F84" s="1" t="s">
        <v>129</v>
      </c>
      <c r="G84" s="37" t="s">
        <v>128</v>
      </c>
      <c r="H84" s="1"/>
      <c r="I84" s="1"/>
      <c r="J84" s="1"/>
      <c r="K84" s="1"/>
      <c r="L84" s="1"/>
      <c r="M84" s="1"/>
      <c r="N84" s="1"/>
      <c r="O84" s="1"/>
      <c r="P84" s="33"/>
      <c r="Q84" s="27"/>
      <c r="R84" s="27"/>
      <c r="S84" s="39"/>
      <c r="T84" s="5">
        <f t="shared" si="1"/>
        <v>0</v>
      </c>
    </row>
    <row r="85" spans="1:20" x14ac:dyDescent="0.35">
      <c r="A85" s="1" t="s">
        <v>115</v>
      </c>
      <c r="B85" s="35" t="s">
        <v>126</v>
      </c>
      <c r="C85" s="1" t="s">
        <v>127</v>
      </c>
      <c r="D85" s="1" t="s">
        <v>127</v>
      </c>
      <c r="E85" s="1" t="s">
        <v>127</v>
      </c>
      <c r="F85" s="1" t="s">
        <v>129</v>
      </c>
      <c r="G85" s="37" t="s">
        <v>128</v>
      </c>
      <c r="H85" s="1"/>
      <c r="I85" s="1"/>
      <c r="J85" s="1"/>
      <c r="K85" s="1"/>
      <c r="L85" s="1"/>
      <c r="M85" s="1"/>
      <c r="N85" s="1"/>
      <c r="O85" s="1"/>
      <c r="P85" s="33"/>
      <c r="Q85" s="27"/>
      <c r="R85" s="27"/>
      <c r="S85" s="39"/>
      <c r="T85" s="5">
        <f t="shared" si="1"/>
        <v>0</v>
      </c>
    </row>
    <row r="86" spans="1:20" x14ac:dyDescent="0.35">
      <c r="A86" s="1" t="s">
        <v>115</v>
      </c>
      <c r="B86" s="1" t="s">
        <v>133</v>
      </c>
      <c r="C86" s="1" t="s">
        <v>113</v>
      </c>
      <c r="D86" s="1" t="s">
        <v>5</v>
      </c>
      <c r="E86" s="1" t="s">
        <v>102</v>
      </c>
      <c r="F86" s="1" t="s">
        <v>6</v>
      </c>
      <c r="G86" s="37" t="s">
        <v>6</v>
      </c>
      <c r="H86" s="1"/>
      <c r="I86" s="1"/>
      <c r="J86" s="1"/>
      <c r="K86" s="1"/>
      <c r="L86" s="1"/>
      <c r="M86" s="1"/>
      <c r="N86" s="1"/>
      <c r="O86" s="1"/>
      <c r="P86" s="33"/>
      <c r="Q86" s="27"/>
      <c r="R86" s="27"/>
      <c r="S86" s="39"/>
      <c r="T86" s="5">
        <f t="shared" si="1"/>
        <v>0</v>
      </c>
    </row>
    <row r="87" spans="1:20" x14ac:dyDescent="0.35">
      <c r="A87" s="1" t="s">
        <v>115</v>
      </c>
      <c r="B87" s="1" t="s">
        <v>134</v>
      </c>
      <c r="C87" s="1" t="s">
        <v>127</v>
      </c>
      <c r="D87" s="1" t="s">
        <v>127</v>
      </c>
      <c r="E87" s="1" t="s">
        <v>127</v>
      </c>
      <c r="F87" s="1" t="s">
        <v>129</v>
      </c>
      <c r="G87" s="37" t="s">
        <v>128</v>
      </c>
      <c r="H87" s="1"/>
      <c r="I87" s="1"/>
      <c r="J87" s="1"/>
      <c r="K87" s="1"/>
      <c r="L87" s="1"/>
      <c r="M87" s="1"/>
      <c r="N87" s="1"/>
      <c r="O87" s="1"/>
      <c r="P87" s="33"/>
      <c r="Q87" s="27"/>
      <c r="R87" s="27"/>
      <c r="S87" s="39"/>
      <c r="T87" s="5">
        <f t="shared" si="1"/>
        <v>0</v>
      </c>
    </row>
  </sheetData>
  <conditionalFormatting sqref="A1:B1 I1:S1 E1:G1">
    <cfRule type="duplicateValues" dxfId="55" priority="89"/>
  </conditionalFormatting>
  <conditionalFormatting sqref="B51:B73 B2:B41">
    <cfRule type="duplicateValues" dxfId="54" priority="4"/>
  </conditionalFormatting>
  <conditionalFormatting sqref="B74:B76 B42:B50">
    <cfRule type="duplicateValues" dxfId="53" priority="5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DC4BF-5C94-45DC-AF61-D97B87039E7F}">
  <sheetPr>
    <tabColor rgb="FF92D050"/>
  </sheetPr>
  <dimension ref="A1:T76"/>
  <sheetViews>
    <sheetView topLeftCell="C1" workbookViewId="0">
      <selection activeCell="H2" sqref="H2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2.1796875" bestFit="1" customWidth="1"/>
    <col min="7" max="7" width="13.1796875" bestFit="1" customWidth="1"/>
    <col min="8" max="8" width="6.81640625" bestFit="1" customWidth="1"/>
    <col min="9" max="9" width="7.453125" bestFit="1" customWidth="1"/>
    <col min="10" max="10" width="6.7265625" bestFit="1" customWidth="1"/>
    <col min="11" max="11" width="6.1796875" bestFit="1" customWidth="1"/>
    <col min="12" max="12" width="7.1796875" bestFit="1" customWidth="1"/>
    <col min="13" max="13" width="7" bestFit="1" customWidth="1"/>
    <col min="14" max="14" width="6.7265625" bestFit="1" customWidth="1"/>
    <col min="15" max="15" width="7.26953125" bestFit="1" customWidth="1"/>
    <col min="16" max="16" width="7" bestFit="1" customWidth="1"/>
    <col min="17" max="17" width="10.7265625" bestFit="1" customWidth="1"/>
    <col min="18" max="18" width="7" bestFit="1" customWidth="1"/>
    <col min="19" max="19" width="7.1796875" bestFit="1" customWidth="1"/>
  </cols>
  <sheetData>
    <row r="1" spans="1:20" x14ac:dyDescent="0.35">
      <c r="A1" s="13" t="str">
        <f>Revenue_Budget!A2</f>
        <v>FY</v>
      </c>
      <c r="B1" s="13" t="str">
        <f>Revenue_Budget!B2</f>
        <v>Project</v>
      </c>
      <c r="C1" s="13" t="str">
        <f>Revenue_Budget!C2</f>
        <v>Vertical</v>
      </c>
      <c r="D1" s="13" t="str">
        <f>Revenue_Budget!D2</f>
        <v>Region</v>
      </c>
      <c r="E1" s="13" t="str">
        <f>Revenue_Budget!E2</f>
        <v>Sub Region</v>
      </c>
      <c r="F1" s="13" t="str">
        <f>Revenue_Budget!F2</f>
        <v>Region Head</v>
      </c>
      <c r="G1" s="13" t="str">
        <f>Revenue_Budget!G2</f>
        <v>Practice Head</v>
      </c>
      <c r="H1" s="14">
        <f>Revenue_Budget!H2</f>
        <v>46113</v>
      </c>
      <c r="I1" s="14">
        <f>Revenue_Budget!I2</f>
        <v>46143</v>
      </c>
      <c r="J1" s="14">
        <f>Revenue_Budget!J2</f>
        <v>46174</v>
      </c>
      <c r="K1" s="14">
        <f>Revenue_Budget!K2</f>
        <v>46204</v>
      </c>
      <c r="L1" s="14">
        <f>Revenue_Budget!L2</f>
        <v>46235</v>
      </c>
      <c r="M1" s="14">
        <f>Revenue_Budget!M2</f>
        <v>46266</v>
      </c>
      <c r="N1" s="14">
        <f>Revenue_Budget!N2</f>
        <v>46296</v>
      </c>
      <c r="O1" s="14">
        <f>Revenue_Budget!O2</f>
        <v>46327</v>
      </c>
      <c r="P1" s="14">
        <f>Revenue_Budget!P2</f>
        <v>46357</v>
      </c>
      <c r="Q1" s="14">
        <f>Revenue_Budget!Q2</f>
        <v>46388</v>
      </c>
      <c r="R1" s="14">
        <f>Revenue_Budget!R2</f>
        <v>46419</v>
      </c>
      <c r="S1" s="14">
        <f>Revenue_Budget!S2</f>
        <v>46447</v>
      </c>
    </row>
    <row r="2" spans="1:20" x14ac:dyDescent="0.35">
      <c r="A2" s="15" t="s">
        <v>115</v>
      </c>
      <c r="B2" s="1" t="s">
        <v>2</v>
      </c>
      <c r="C2" s="15" t="str">
        <f>VLOOKUP(B2,Mapping!A:B,2,0)</f>
        <v>Lateral</v>
      </c>
      <c r="D2" s="15" t="str">
        <f>VLOOKUP(B2,Mapping!A:C,3,0)</f>
        <v>South</v>
      </c>
      <c r="E2" s="15" t="str">
        <f>VLOOKUP(B2,Mapping!A:D,4,0)</f>
        <v>South 1</v>
      </c>
      <c r="F2" s="15" t="str">
        <f>VLOOKUP(B2,Mapping!A:E,5,0)</f>
        <v>Bapi</v>
      </c>
      <c r="G2" s="15" t="str">
        <f>VLOOKUP(B2,Mapping!A:F,6,0)</f>
        <v>Bapi</v>
      </c>
      <c r="H2" s="23"/>
      <c r="I2" s="23"/>
      <c r="J2" s="23"/>
      <c r="K2" s="23"/>
      <c r="L2" s="23"/>
      <c r="M2" s="23"/>
      <c r="N2" s="23"/>
      <c r="O2" s="23"/>
      <c r="P2" s="23"/>
      <c r="Q2" s="24"/>
      <c r="R2" s="24"/>
      <c r="S2" s="24"/>
      <c r="T2" s="4"/>
    </row>
    <row r="3" spans="1:20" x14ac:dyDescent="0.35">
      <c r="A3" s="15" t="s">
        <v>115</v>
      </c>
      <c r="B3" s="1" t="s">
        <v>4</v>
      </c>
      <c r="C3" s="15" t="str">
        <f>VLOOKUP(B3,Mapping!A:B,2,0)</f>
        <v>Lateral</v>
      </c>
      <c r="D3" s="15" t="str">
        <f>VLOOKUP(B3,Mapping!A:C,3,0)</f>
        <v>West</v>
      </c>
      <c r="E3" s="15" t="str">
        <f>VLOOKUP(B3,Mapping!A:D,4,0)</f>
        <v>West 1</v>
      </c>
      <c r="F3" s="15" t="str">
        <f>VLOOKUP(B3,Mapping!A:E,5,0)</f>
        <v>Anjli</v>
      </c>
      <c r="G3" s="15" t="str">
        <f>VLOOKUP(B3,Mapping!A:F,6,0)</f>
        <v>Usha</v>
      </c>
      <c r="H3" s="23"/>
      <c r="I3" s="23"/>
      <c r="J3" s="23"/>
      <c r="K3" s="23"/>
      <c r="L3" s="23"/>
      <c r="M3" s="23"/>
      <c r="N3" s="23"/>
      <c r="O3" s="23"/>
      <c r="P3" s="23"/>
      <c r="Q3" s="24"/>
      <c r="R3" s="24"/>
      <c r="S3" s="24"/>
      <c r="T3" s="4"/>
    </row>
    <row r="4" spans="1:20" x14ac:dyDescent="0.35">
      <c r="A4" s="15" t="s">
        <v>115</v>
      </c>
      <c r="B4" s="1" t="s">
        <v>8</v>
      </c>
      <c r="C4" s="15" t="str">
        <f>VLOOKUP(B4,Mapping!A:B,2,0)</f>
        <v>Lateral</v>
      </c>
      <c r="D4" s="15" t="str">
        <f>VLOOKUP(B4,Mapping!A:C,3,0)</f>
        <v>West</v>
      </c>
      <c r="E4" s="15" t="str">
        <f>VLOOKUP(B4,Mapping!A:D,4,0)</f>
        <v>West 2</v>
      </c>
      <c r="F4" s="15" t="str">
        <f>VLOOKUP(B4,Mapping!A:E,5,0)</f>
        <v>Anjli</v>
      </c>
      <c r="G4" s="15" t="str">
        <f>VLOOKUP(B4,Mapping!A:F,6,0)</f>
        <v>Shweta</v>
      </c>
      <c r="H4" s="23"/>
      <c r="I4" s="23"/>
      <c r="J4" s="23"/>
      <c r="K4" s="23"/>
      <c r="L4" s="23"/>
      <c r="M4" s="23"/>
      <c r="N4" s="23"/>
      <c r="O4" s="23"/>
      <c r="P4" s="23"/>
      <c r="Q4" s="24"/>
      <c r="R4" s="24"/>
      <c r="S4" s="24"/>
      <c r="T4" s="4"/>
    </row>
    <row r="5" spans="1:20" x14ac:dyDescent="0.35">
      <c r="A5" s="15" t="s">
        <v>115</v>
      </c>
      <c r="B5" s="1" t="s">
        <v>10</v>
      </c>
      <c r="C5" s="15" t="str">
        <f>VLOOKUP(B5,Mapping!A:B,2,0)</f>
        <v>Lateral</v>
      </c>
      <c r="D5" s="15" t="str">
        <f>VLOOKUP(B5,Mapping!A:C,3,0)</f>
        <v>North</v>
      </c>
      <c r="E5" s="15" t="str">
        <f>VLOOKUP(B5,Mapping!A:D,4,0)</f>
        <v>North</v>
      </c>
      <c r="F5" s="15" t="str">
        <f>VLOOKUP(B5,Mapping!A:E,5,0)</f>
        <v>Anjli</v>
      </c>
      <c r="G5" s="15" t="str">
        <f>VLOOKUP(B5,Mapping!A:F,6,0)</f>
        <v>Archana</v>
      </c>
      <c r="H5" s="23"/>
      <c r="I5" s="23"/>
      <c r="J5" s="23"/>
      <c r="K5" s="23"/>
      <c r="L5" s="23"/>
      <c r="M5" s="23"/>
      <c r="N5" s="23"/>
      <c r="O5" s="23"/>
      <c r="P5" s="23"/>
      <c r="Q5" s="24"/>
      <c r="R5" s="24"/>
      <c r="S5" s="24"/>
      <c r="T5" s="4"/>
    </row>
    <row r="6" spans="1:20" x14ac:dyDescent="0.35">
      <c r="A6" s="15" t="s">
        <v>115</v>
      </c>
      <c r="B6" s="1" t="s">
        <v>12</v>
      </c>
      <c r="C6" s="15" t="str">
        <f>VLOOKUP(B6,Mapping!A:B,2,0)</f>
        <v>Lateral</v>
      </c>
      <c r="D6" s="15" t="str">
        <f>VLOOKUP(B6,Mapping!A:C,3,0)</f>
        <v>South</v>
      </c>
      <c r="E6" s="15" t="str">
        <f>VLOOKUP(B6,Mapping!A:D,4,0)</f>
        <v>South 1</v>
      </c>
      <c r="F6" s="15" t="str">
        <f>VLOOKUP(B6,Mapping!A:E,5,0)</f>
        <v>Sulabh</v>
      </c>
      <c r="G6" s="15" t="str">
        <f>VLOOKUP(B6,Mapping!A:F,6,0)</f>
        <v>Kunal</v>
      </c>
      <c r="H6" s="23"/>
      <c r="I6" s="23"/>
      <c r="J6" s="23"/>
      <c r="K6" s="23"/>
      <c r="L6" s="23"/>
      <c r="M6" s="23"/>
      <c r="N6" s="23"/>
      <c r="O6" s="23"/>
      <c r="P6" s="23"/>
      <c r="Q6" s="24"/>
      <c r="R6" s="24"/>
      <c r="S6" s="24"/>
      <c r="T6" s="4"/>
    </row>
    <row r="7" spans="1:20" x14ac:dyDescent="0.35">
      <c r="A7" s="15" t="s">
        <v>115</v>
      </c>
      <c r="B7" s="1" t="s">
        <v>16</v>
      </c>
      <c r="C7" s="15" t="str">
        <f>VLOOKUP(B7,Mapping!A:B,2,0)</f>
        <v>Lateral</v>
      </c>
      <c r="D7" s="15" t="str">
        <f>VLOOKUP(B7,Mapping!A:C,3,0)</f>
        <v>West</v>
      </c>
      <c r="E7" s="15" t="str">
        <f>VLOOKUP(B7,Mapping!A:D,4,0)</f>
        <v>West 1</v>
      </c>
      <c r="F7" s="15" t="str">
        <f>VLOOKUP(B7,Mapping!A:E,5,0)</f>
        <v>Anjli</v>
      </c>
      <c r="G7" s="15" t="str">
        <f>VLOOKUP(B7,Mapping!A:F,6,0)</f>
        <v>Usha</v>
      </c>
      <c r="H7" s="23"/>
      <c r="I7" s="23"/>
      <c r="J7" s="23"/>
      <c r="K7" s="23"/>
      <c r="L7" s="23"/>
      <c r="M7" s="23"/>
      <c r="N7" s="23"/>
      <c r="O7" s="23"/>
      <c r="P7" s="23"/>
      <c r="Q7" s="24"/>
      <c r="R7" s="24"/>
      <c r="S7" s="24"/>
      <c r="T7" s="4"/>
    </row>
    <row r="8" spans="1:20" x14ac:dyDescent="0.35">
      <c r="A8" s="15" t="s">
        <v>115</v>
      </c>
      <c r="B8" s="1" t="s">
        <v>17</v>
      </c>
      <c r="C8" s="15" t="str">
        <f>VLOOKUP(B8,Mapping!A:B,2,0)</f>
        <v>Lateral</v>
      </c>
      <c r="D8" s="15" t="str">
        <f>VLOOKUP(B8,Mapping!A:C,3,0)</f>
        <v>West</v>
      </c>
      <c r="E8" s="15" t="str">
        <f>VLOOKUP(B8,Mapping!A:D,4,0)</f>
        <v>West 2</v>
      </c>
      <c r="F8" s="15" t="str">
        <f>VLOOKUP(B8,Mapping!A:E,5,0)</f>
        <v>Anjli</v>
      </c>
      <c r="G8" s="15" t="str">
        <f>VLOOKUP(B8,Mapping!A:F,6,0)</f>
        <v>Shweta</v>
      </c>
      <c r="H8" s="23"/>
      <c r="I8" s="23"/>
      <c r="J8" s="23"/>
      <c r="K8" s="23"/>
      <c r="L8" s="23"/>
      <c r="M8" s="23"/>
      <c r="N8" s="23"/>
      <c r="O8" s="23"/>
      <c r="P8" s="23"/>
      <c r="Q8" s="24"/>
      <c r="R8" s="24"/>
      <c r="S8" s="24"/>
      <c r="T8" s="4"/>
    </row>
    <row r="9" spans="1:20" x14ac:dyDescent="0.35">
      <c r="A9" s="15" t="s">
        <v>115</v>
      </c>
      <c r="B9" s="1" t="s">
        <v>18</v>
      </c>
      <c r="C9" s="15" t="str">
        <f>VLOOKUP(B9,Mapping!A:B,2,0)</f>
        <v>Lateral</v>
      </c>
      <c r="D9" s="15" t="str">
        <f>VLOOKUP(B9,Mapping!A:C,3,0)</f>
        <v>West</v>
      </c>
      <c r="E9" s="15" t="str">
        <f>VLOOKUP(B9,Mapping!A:D,4,0)</f>
        <v>West 1</v>
      </c>
      <c r="F9" s="15" t="str">
        <f>VLOOKUP(B9,Mapping!A:E,5,0)</f>
        <v>Anjli</v>
      </c>
      <c r="G9" s="15" t="str">
        <f>VLOOKUP(B9,Mapping!A:F,6,0)</f>
        <v>Geetu</v>
      </c>
      <c r="H9" s="23"/>
      <c r="I9" s="23"/>
      <c r="J9" s="23"/>
      <c r="K9" s="23"/>
      <c r="L9" s="23"/>
      <c r="M9" s="23"/>
      <c r="N9" s="23"/>
      <c r="O9" s="23"/>
      <c r="P9" s="23"/>
      <c r="Q9" s="24"/>
      <c r="R9" s="24"/>
      <c r="S9" s="24"/>
      <c r="T9" s="4"/>
    </row>
    <row r="10" spans="1:20" x14ac:dyDescent="0.35">
      <c r="A10" s="15" t="s">
        <v>115</v>
      </c>
      <c r="B10" s="1" t="s">
        <v>20</v>
      </c>
      <c r="C10" s="15" t="str">
        <f>VLOOKUP(B10,Mapping!A:B,2,0)</f>
        <v>Lateral</v>
      </c>
      <c r="D10" s="15" t="str">
        <f>VLOOKUP(B10,Mapping!A:C,3,0)</f>
        <v>West</v>
      </c>
      <c r="E10" s="15" t="str">
        <f>VLOOKUP(B10,Mapping!A:D,4,0)</f>
        <v>West 1</v>
      </c>
      <c r="F10" s="15" t="str">
        <f>VLOOKUP(B10,Mapping!A:E,5,0)</f>
        <v>Anjli</v>
      </c>
      <c r="G10" s="15" t="str">
        <f>VLOOKUP(B10,Mapping!A:F,6,0)</f>
        <v>Geetu</v>
      </c>
      <c r="H10" s="23"/>
      <c r="I10" s="23"/>
      <c r="J10" s="23"/>
      <c r="K10" s="23"/>
      <c r="L10" s="23"/>
      <c r="M10" s="23"/>
      <c r="N10" s="23"/>
      <c r="O10" s="23"/>
      <c r="P10" s="23"/>
      <c r="Q10" s="24"/>
      <c r="R10" s="24"/>
      <c r="S10" s="24"/>
      <c r="T10" s="4"/>
    </row>
    <row r="11" spans="1:20" x14ac:dyDescent="0.35">
      <c r="A11" s="15" t="s">
        <v>115</v>
      </c>
      <c r="B11" s="1" t="s">
        <v>21</v>
      </c>
      <c r="C11" s="15" t="str">
        <f>VLOOKUP(B11,Mapping!A:B,2,0)</f>
        <v>Lateral</v>
      </c>
      <c r="D11" s="15" t="str">
        <f>VLOOKUP(B11,Mapping!A:C,3,0)</f>
        <v>South</v>
      </c>
      <c r="E11" s="15" t="str">
        <f>VLOOKUP(B11,Mapping!A:D,4,0)</f>
        <v>South 1</v>
      </c>
      <c r="F11" s="15" t="str">
        <f>VLOOKUP(B11,Mapping!A:E,5,0)</f>
        <v>Mahak</v>
      </c>
      <c r="G11" s="15" t="str">
        <f>VLOOKUP(B11,Mapping!A:F,6,0)</f>
        <v>Mahak</v>
      </c>
      <c r="H11" s="23"/>
      <c r="I11" s="23"/>
      <c r="J11" s="23"/>
      <c r="K11" s="23"/>
      <c r="L11" s="23"/>
      <c r="M11" s="23"/>
      <c r="N11" s="23"/>
      <c r="O11" s="23"/>
      <c r="P11" s="23"/>
      <c r="Q11" s="24"/>
      <c r="R11" s="24"/>
      <c r="S11" s="24"/>
      <c r="T11" s="4"/>
    </row>
    <row r="12" spans="1:20" x14ac:dyDescent="0.35">
      <c r="A12" s="15" t="s">
        <v>115</v>
      </c>
      <c r="B12" s="1" t="s">
        <v>23</v>
      </c>
      <c r="C12" s="15" t="str">
        <f>VLOOKUP(B12,Mapping!A:B,2,0)</f>
        <v>Lateral</v>
      </c>
      <c r="D12" s="15" t="str">
        <f>VLOOKUP(B12,Mapping!A:C,3,0)</f>
        <v>South</v>
      </c>
      <c r="E12" s="15" t="str">
        <f>VLOOKUP(B12,Mapping!A:D,4,0)</f>
        <v>South 1</v>
      </c>
      <c r="F12" s="15" t="str">
        <f>VLOOKUP(B12,Mapping!A:E,5,0)</f>
        <v>Anjli</v>
      </c>
      <c r="G12" s="15" t="str">
        <f>VLOOKUP(B12,Mapping!A:F,6,0)</f>
        <v>Satya</v>
      </c>
      <c r="H12" s="23"/>
      <c r="I12" s="23"/>
      <c r="J12" s="23"/>
      <c r="K12" s="23"/>
      <c r="L12" s="23"/>
      <c r="M12" s="23"/>
      <c r="N12" s="23"/>
      <c r="O12" s="23"/>
      <c r="P12" s="23"/>
      <c r="Q12" s="24"/>
      <c r="R12" s="24"/>
      <c r="S12" s="24"/>
      <c r="T12" s="4"/>
    </row>
    <row r="13" spans="1:20" x14ac:dyDescent="0.35">
      <c r="A13" s="15" t="s">
        <v>115</v>
      </c>
      <c r="B13" s="1" t="s">
        <v>25</v>
      </c>
      <c r="C13" s="15" t="str">
        <f>VLOOKUP(B13,Mapping!A:B,2,0)</f>
        <v>Lateral</v>
      </c>
      <c r="D13" s="15" t="str">
        <f>VLOOKUP(B13,Mapping!A:C,3,0)</f>
        <v>West</v>
      </c>
      <c r="E13" s="15" t="str">
        <f>VLOOKUP(B13,Mapping!A:D,4,0)</f>
        <v>West 1</v>
      </c>
      <c r="F13" s="15" t="str">
        <f>VLOOKUP(B13,Mapping!A:E,5,0)</f>
        <v>Anjli</v>
      </c>
      <c r="G13" s="15" t="str">
        <f>VLOOKUP(B13,Mapping!A:F,6,0)</f>
        <v>Geetu</v>
      </c>
      <c r="H13" s="23"/>
      <c r="I13" s="23"/>
      <c r="J13" s="23"/>
      <c r="K13" s="23"/>
      <c r="L13" s="23"/>
      <c r="M13" s="23"/>
      <c r="N13" s="23"/>
      <c r="O13" s="23"/>
      <c r="P13" s="23"/>
      <c r="Q13" s="24"/>
      <c r="R13" s="24"/>
      <c r="S13" s="24"/>
      <c r="T13" s="4"/>
    </row>
    <row r="14" spans="1:20" x14ac:dyDescent="0.35">
      <c r="A14" s="15" t="s">
        <v>115</v>
      </c>
      <c r="B14" s="1" t="s">
        <v>26</v>
      </c>
      <c r="C14" s="15" t="str">
        <f>VLOOKUP(B14,Mapping!A:B,2,0)</f>
        <v>Lateral</v>
      </c>
      <c r="D14" s="15" t="str">
        <f>VLOOKUP(B14,Mapping!A:C,3,0)</f>
        <v>South</v>
      </c>
      <c r="E14" s="15" t="str">
        <f>VLOOKUP(B14,Mapping!A:D,4,0)</f>
        <v>South 2</v>
      </c>
      <c r="F14" s="15" t="str">
        <f>VLOOKUP(B14,Mapping!A:E,5,0)</f>
        <v>Sulabh</v>
      </c>
      <c r="G14" s="15" t="str">
        <f>VLOOKUP(B14,Mapping!A:F,6,0)</f>
        <v>Krishna</v>
      </c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24"/>
      <c r="S14" s="24"/>
      <c r="T14" s="4"/>
    </row>
    <row r="15" spans="1:20" x14ac:dyDescent="0.35">
      <c r="A15" s="15" t="s">
        <v>115</v>
      </c>
      <c r="B15" s="1" t="s">
        <v>28</v>
      </c>
      <c r="C15" s="15" t="str">
        <f>VLOOKUP(B15,Mapping!A:B,2,0)</f>
        <v>Lateral</v>
      </c>
      <c r="D15" s="15" t="str">
        <f>VLOOKUP(B15,Mapping!A:C,3,0)</f>
        <v>West</v>
      </c>
      <c r="E15" s="15" t="str">
        <f>VLOOKUP(B15,Mapping!A:D,4,0)</f>
        <v>West 1</v>
      </c>
      <c r="F15" s="15" t="str">
        <f>VLOOKUP(B15,Mapping!A:E,5,0)</f>
        <v>Anjli</v>
      </c>
      <c r="G15" s="15" t="str">
        <f>VLOOKUP(B15,Mapping!A:F,6,0)</f>
        <v>Dhriti</v>
      </c>
      <c r="H15" s="23"/>
      <c r="I15" s="23"/>
      <c r="J15" s="23"/>
      <c r="K15" s="23"/>
      <c r="L15" s="23"/>
      <c r="M15" s="23"/>
      <c r="N15" s="23"/>
      <c r="O15" s="23"/>
      <c r="P15" s="23"/>
      <c r="Q15" s="24"/>
      <c r="R15" s="24"/>
      <c r="S15" s="24"/>
      <c r="T15" s="4"/>
    </row>
    <row r="16" spans="1:20" x14ac:dyDescent="0.35">
      <c r="A16" s="15" t="s">
        <v>115</v>
      </c>
      <c r="B16" s="1" t="s">
        <v>29</v>
      </c>
      <c r="C16" s="15" t="str">
        <f>VLOOKUP(B16,Mapping!A:B,2,0)</f>
        <v>Lateral</v>
      </c>
      <c r="D16" s="15" t="str">
        <f>VLOOKUP(B16,Mapping!A:C,3,0)</f>
        <v>South</v>
      </c>
      <c r="E16" s="15" t="str">
        <f>VLOOKUP(B16,Mapping!A:D,4,0)</f>
        <v>South 2</v>
      </c>
      <c r="F16" s="15" t="str">
        <f>VLOOKUP(B16,Mapping!A:E,5,0)</f>
        <v>Sulabh</v>
      </c>
      <c r="G16" s="15" t="str">
        <f>VLOOKUP(B16,Mapping!A:F,6,0)</f>
        <v>Krishna</v>
      </c>
      <c r="H16" s="23"/>
      <c r="I16" s="23"/>
      <c r="J16" s="23"/>
      <c r="K16" s="23"/>
      <c r="L16" s="23"/>
      <c r="M16" s="23"/>
      <c r="N16" s="23"/>
      <c r="O16" s="23"/>
      <c r="P16" s="23"/>
      <c r="Q16" s="24"/>
      <c r="R16" s="24"/>
      <c r="S16" s="24"/>
      <c r="T16" s="4"/>
    </row>
    <row r="17" spans="1:20" x14ac:dyDescent="0.35">
      <c r="A17" s="15" t="s">
        <v>115</v>
      </c>
      <c r="B17" s="1" t="s">
        <v>30</v>
      </c>
      <c r="C17" s="15" t="str">
        <f>VLOOKUP(B17,Mapping!A:B,2,0)</f>
        <v>Lateral</v>
      </c>
      <c r="D17" s="15" t="str">
        <f>VLOOKUP(B17,Mapping!A:C,3,0)</f>
        <v>South</v>
      </c>
      <c r="E17" s="15" t="str">
        <f>VLOOKUP(B17,Mapping!A:D,4,0)</f>
        <v>South 1</v>
      </c>
      <c r="F17" s="15" t="str">
        <f>VLOOKUP(B17,Mapping!A:E,5,0)</f>
        <v>Sulabh</v>
      </c>
      <c r="G17" s="15" t="str">
        <f>VLOOKUP(B17,Mapping!A:F,6,0)</f>
        <v>Subu</v>
      </c>
      <c r="H17" s="23"/>
      <c r="I17" s="23"/>
      <c r="J17" s="23"/>
      <c r="K17" s="23"/>
      <c r="L17" s="23"/>
      <c r="M17" s="23"/>
      <c r="N17" s="23"/>
      <c r="O17" s="23"/>
      <c r="P17" s="23"/>
      <c r="Q17" s="24"/>
      <c r="R17" s="24"/>
      <c r="S17" s="24"/>
      <c r="T17" s="4"/>
    </row>
    <row r="18" spans="1:20" x14ac:dyDescent="0.35">
      <c r="A18" s="15" t="s">
        <v>115</v>
      </c>
      <c r="B18" s="1" t="s">
        <v>32</v>
      </c>
      <c r="C18" s="15" t="str">
        <f>VLOOKUP(B18,Mapping!A:B,2,0)</f>
        <v>Lateral</v>
      </c>
      <c r="D18" s="15" t="str">
        <f>VLOOKUP(B18,Mapping!A:C,3,0)</f>
        <v>West</v>
      </c>
      <c r="E18" s="15" t="str">
        <f>VLOOKUP(B18,Mapping!A:D,4,0)</f>
        <v>West 2</v>
      </c>
      <c r="F18" s="15" t="str">
        <f>VLOOKUP(B18,Mapping!A:E,5,0)</f>
        <v>Anjli</v>
      </c>
      <c r="G18" s="15" t="str">
        <f>VLOOKUP(B18,Mapping!A:F,6,0)</f>
        <v>Anjli</v>
      </c>
      <c r="H18" s="23"/>
      <c r="I18" s="23"/>
      <c r="J18" s="23"/>
      <c r="K18" s="23"/>
      <c r="L18" s="23"/>
      <c r="M18" s="23"/>
      <c r="N18" s="23"/>
      <c r="O18" s="23"/>
      <c r="P18" s="23"/>
      <c r="Q18" s="24"/>
      <c r="R18" s="24"/>
      <c r="S18" s="24"/>
      <c r="T18" s="4"/>
    </row>
    <row r="19" spans="1:20" x14ac:dyDescent="0.35">
      <c r="A19" s="15" t="s">
        <v>115</v>
      </c>
      <c r="B19" s="1" t="s">
        <v>33</v>
      </c>
      <c r="C19" s="15" t="str">
        <f>VLOOKUP(B19,Mapping!A:B,2,0)</f>
        <v>Lateral</v>
      </c>
      <c r="D19" s="15" t="str">
        <f>VLOOKUP(B19,Mapping!A:C,3,0)</f>
        <v>West</v>
      </c>
      <c r="E19" s="15" t="str">
        <f>VLOOKUP(B19,Mapping!A:D,4,0)</f>
        <v>West 1</v>
      </c>
      <c r="F19" s="15" t="str">
        <f>VLOOKUP(B19,Mapping!A:E,5,0)</f>
        <v>Anjli</v>
      </c>
      <c r="G19" s="15" t="str">
        <f>VLOOKUP(B19,Mapping!A:F,6,0)</f>
        <v>Geetu</v>
      </c>
      <c r="H19" s="23"/>
      <c r="I19" s="23"/>
      <c r="J19" s="23"/>
      <c r="K19" s="23"/>
      <c r="L19" s="23"/>
      <c r="M19" s="23"/>
      <c r="N19" s="23"/>
      <c r="O19" s="23"/>
      <c r="P19" s="23"/>
      <c r="Q19" s="24"/>
      <c r="R19" s="24"/>
      <c r="S19" s="24"/>
      <c r="T19" s="4"/>
    </row>
    <row r="20" spans="1:20" x14ac:dyDescent="0.35">
      <c r="A20" s="15" t="s">
        <v>115</v>
      </c>
      <c r="B20" s="1" t="s">
        <v>34</v>
      </c>
      <c r="C20" s="15" t="str">
        <f>VLOOKUP(B20,Mapping!A:B,2,0)</f>
        <v>Lateral</v>
      </c>
      <c r="D20" s="15" t="str">
        <f>VLOOKUP(B20,Mapping!A:C,3,0)</f>
        <v>South</v>
      </c>
      <c r="E20" s="15" t="str">
        <f>VLOOKUP(B20,Mapping!A:D,4,0)</f>
        <v>South 1</v>
      </c>
      <c r="F20" s="15" t="str">
        <f>VLOOKUP(B20,Mapping!A:E,5,0)</f>
        <v>Sulabh</v>
      </c>
      <c r="G20" s="15" t="str">
        <f>VLOOKUP(B20,Mapping!A:F,6,0)</f>
        <v>Satya</v>
      </c>
      <c r="H20" s="23"/>
      <c r="I20" s="23"/>
      <c r="J20" s="23"/>
      <c r="K20" s="23"/>
      <c r="L20" s="23"/>
      <c r="M20" s="23"/>
      <c r="N20" s="23"/>
      <c r="O20" s="23"/>
      <c r="P20" s="23"/>
      <c r="Q20" s="24"/>
      <c r="R20" s="24"/>
      <c r="S20" s="24"/>
      <c r="T20" s="4"/>
    </row>
    <row r="21" spans="1:20" x14ac:dyDescent="0.35">
      <c r="A21" s="15" t="s">
        <v>115</v>
      </c>
      <c r="B21" s="1" t="s">
        <v>35</v>
      </c>
      <c r="C21" s="15" t="str">
        <f>VLOOKUP(B21,Mapping!A:B,2,0)</f>
        <v>Lateral</v>
      </c>
      <c r="D21" s="15" t="str">
        <f>VLOOKUP(B21,Mapping!A:C,3,0)</f>
        <v>West</v>
      </c>
      <c r="E21" s="15" t="str">
        <f>VLOOKUP(B21,Mapping!A:D,4,0)</f>
        <v>West 1</v>
      </c>
      <c r="F21" s="15" t="str">
        <f>VLOOKUP(B21,Mapping!A:E,5,0)</f>
        <v>Anjli</v>
      </c>
      <c r="G21" s="15" t="str">
        <f>VLOOKUP(B21,Mapping!A:F,6,0)</f>
        <v>Alifia</v>
      </c>
      <c r="H21" s="23"/>
      <c r="I21" s="23"/>
      <c r="J21" s="23"/>
      <c r="K21" s="23"/>
      <c r="L21" s="23"/>
      <c r="M21" s="23"/>
      <c r="N21" s="23"/>
      <c r="O21" s="23"/>
      <c r="P21" s="23"/>
      <c r="Q21" s="24"/>
      <c r="R21" s="24"/>
      <c r="S21" s="24"/>
      <c r="T21" s="4"/>
    </row>
    <row r="22" spans="1:20" x14ac:dyDescent="0.35">
      <c r="A22" s="15" t="s">
        <v>115</v>
      </c>
      <c r="B22" s="1" t="s">
        <v>37</v>
      </c>
      <c r="C22" s="15" t="str">
        <f>VLOOKUP(B22,Mapping!A:B,2,0)</f>
        <v>Lateral</v>
      </c>
      <c r="D22" s="15" t="str">
        <f>VLOOKUP(B22,Mapping!A:C,3,0)</f>
        <v>South</v>
      </c>
      <c r="E22" s="15" t="str">
        <f>VLOOKUP(B22,Mapping!A:D,4,0)</f>
        <v>South 2</v>
      </c>
      <c r="F22" s="15" t="str">
        <f>VLOOKUP(B22,Mapping!A:E,5,0)</f>
        <v>Sulabh</v>
      </c>
      <c r="G22" s="15" t="str">
        <f>VLOOKUP(B22,Mapping!A:F,6,0)</f>
        <v>Subu</v>
      </c>
      <c r="H22" s="23"/>
      <c r="I22" s="23"/>
      <c r="J22" s="23"/>
      <c r="K22" s="23"/>
      <c r="L22" s="23"/>
      <c r="M22" s="23"/>
      <c r="N22" s="23"/>
      <c r="O22" s="23"/>
      <c r="P22" s="23"/>
      <c r="Q22" s="24"/>
      <c r="R22" s="24"/>
      <c r="S22" s="24"/>
      <c r="T22" s="4"/>
    </row>
    <row r="23" spans="1:20" x14ac:dyDescent="0.35">
      <c r="A23" s="15" t="s">
        <v>115</v>
      </c>
      <c r="B23" s="1" t="s">
        <v>38</v>
      </c>
      <c r="C23" s="15" t="str">
        <f>VLOOKUP(B23,Mapping!A:B,2,0)</f>
        <v>Lateral</v>
      </c>
      <c r="D23" s="15" t="str">
        <f>VLOOKUP(B23,Mapping!A:C,3,0)</f>
        <v>North</v>
      </c>
      <c r="E23" s="15" t="str">
        <f>VLOOKUP(B23,Mapping!A:D,4,0)</f>
        <v>North</v>
      </c>
      <c r="F23" s="15" t="str">
        <f>VLOOKUP(B23,Mapping!A:E,5,0)</f>
        <v>Anjli</v>
      </c>
      <c r="G23" s="15" t="str">
        <f>VLOOKUP(B23,Mapping!A:F,6,0)</f>
        <v>Archana</v>
      </c>
      <c r="H23" s="23"/>
      <c r="I23" s="23"/>
      <c r="J23" s="23"/>
      <c r="K23" s="23"/>
      <c r="L23" s="23"/>
      <c r="M23" s="23"/>
      <c r="N23" s="23"/>
      <c r="O23" s="23"/>
      <c r="P23" s="23"/>
      <c r="Q23" s="24"/>
      <c r="R23" s="24"/>
      <c r="S23" s="24"/>
      <c r="T23" s="4"/>
    </row>
    <row r="24" spans="1:20" x14ac:dyDescent="0.35">
      <c r="A24" s="15" t="s">
        <v>115</v>
      </c>
      <c r="B24" s="1" t="s">
        <v>39</v>
      </c>
      <c r="C24" s="15" t="str">
        <f>VLOOKUP(B24,Mapping!A:B,2,0)</f>
        <v>Lateral</v>
      </c>
      <c r="D24" s="15" t="str">
        <f>VLOOKUP(B24,Mapping!A:C,3,0)</f>
        <v>South</v>
      </c>
      <c r="E24" s="15" t="str">
        <f>VLOOKUP(B24,Mapping!A:D,4,0)</f>
        <v>South 2</v>
      </c>
      <c r="F24" s="15" t="str">
        <f>VLOOKUP(B24,Mapping!A:E,5,0)</f>
        <v>Sulabh</v>
      </c>
      <c r="G24" s="15" t="str">
        <f>VLOOKUP(B24,Mapping!A:F,6,0)</f>
        <v>Krishna</v>
      </c>
      <c r="H24" s="23"/>
      <c r="I24" s="23"/>
      <c r="J24" s="23"/>
      <c r="K24" s="23"/>
      <c r="L24" s="23"/>
      <c r="M24" s="23"/>
      <c r="N24" s="23"/>
      <c r="O24" s="23"/>
      <c r="P24" s="23"/>
      <c r="Q24" s="24"/>
      <c r="R24" s="24"/>
      <c r="S24" s="24"/>
      <c r="T24" s="4"/>
    </row>
    <row r="25" spans="1:20" x14ac:dyDescent="0.35">
      <c r="A25" s="15" t="s">
        <v>115</v>
      </c>
      <c r="B25" s="1" t="s">
        <v>40</v>
      </c>
      <c r="C25" s="15" t="str">
        <f>VLOOKUP(B25,Mapping!A:B,2,0)</f>
        <v>Lateral</v>
      </c>
      <c r="D25" s="15" t="str">
        <f>VLOOKUP(B25,Mapping!A:C,3,0)</f>
        <v>West</v>
      </c>
      <c r="E25" s="15" t="str">
        <f>VLOOKUP(B25,Mapping!A:D,4,0)</f>
        <v>West 2</v>
      </c>
      <c r="F25" s="15" t="str">
        <f>VLOOKUP(B25,Mapping!A:E,5,0)</f>
        <v>Anjli</v>
      </c>
      <c r="G25" s="15" t="str">
        <f>VLOOKUP(B25,Mapping!A:F,6,0)</f>
        <v>Shweta</v>
      </c>
      <c r="H25" s="23"/>
      <c r="I25" s="23"/>
      <c r="J25" s="23"/>
      <c r="K25" s="23"/>
      <c r="L25" s="23"/>
      <c r="M25" s="23"/>
      <c r="N25" s="23"/>
      <c r="O25" s="23"/>
      <c r="P25" s="23"/>
      <c r="Q25" s="24"/>
      <c r="R25" s="24"/>
      <c r="S25" s="24"/>
      <c r="T25" s="4"/>
    </row>
    <row r="26" spans="1:20" x14ac:dyDescent="0.35">
      <c r="A26" s="15" t="s">
        <v>115</v>
      </c>
      <c r="B26" s="1" t="s">
        <v>41</v>
      </c>
      <c r="C26" s="15" t="str">
        <f>VLOOKUP(B26,Mapping!A:B,2,0)</f>
        <v>Lateral</v>
      </c>
      <c r="D26" s="15" t="str">
        <f>VLOOKUP(B26,Mapping!A:C,3,0)</f>
        <v>South</v>
      </c>
      <c r="E26" s="15" t="str">
        <f>VLOOKUP(B26,Mapping!A:D,4,0)</f>
        <v>South 2</v>
      </c>
      <c r="F26" s="15" t="str">
        <f>VLOOKUP(B26,Mapping!A:E,5,0)</f>
        <v>Sulabh</v>
      </c>
      <c r="G26" s="15" t="str">
        <f>VLOOKUP(B26,Mapping!A:F,6,0)</f>
        <v>Krishna</v>
      </c>
      <c r="H26" s="23"/>
      <c r="I26" s="23"/>
      <c r="J26" s="23"/>
      <c r="K26" s="23"/>
      <c r="L26" s="23"/>
      <c r="M26" s="23"/>
      <c r="N26" s="23"/>
      <c r="O26" s="23"/>
      <c r="P26" s="23"/>
      <c r="Q26" s="24"/>
      <c r="R26" s="24"/>
      <c r="S26" s="24"/>
      <c r="T26" s="4"/>
    </row>
    <row r="27" spans="1:20" x14ac:dyDescent="0.35">
      <c r="A27" s="15" t="s">
        <v>115</v>
      </c>
      <c r="B27" s="1" t="s">
        <v>42</v>
      </c>
      <c r="C27" s="15" t="str">
        <f>VLOOKUP(B27,Mapping!A:B,2,0)</f>
        <v>Lateral</v>
      </c>
      <c r="D27" s="15" t="str">
        <f>VLOOKUP(B27,Mapping!A:C,3,0)</f>
        <v>North</v>
      </c>
      <c r="E27" s="15" t="str">
        <f>VLOOKUP(B27,Mapping!A:D,4,0)</f>
        <v>North</v>
      </c>
      <c r="F27" s="15" t="str">
        <f>VLOOKUP(B27,Mapping!A:E,5,0)</f>
        <v>Anjli</v>
      </c>
      <c r="G27" s="15" t="str">
        <f>VLOOKUP(B27,Mapping!A:F,6,0)</f>
        <v>Archana</v>
      </c>
      <c r="H27" s="23"/>
      <c r="I27" s="23"/>
      <c r="J27" s="23"/>
      <c r="K27" s="23"/>
      <c r="L27" s="23"/>
      <c r="M27" s="23"/>
      <c r="N27" s="23"/>
      <c r="O27" s="23"/>
      <c r="P27" s="23"/>
      <c r="Q27" s="24"/>
      <c r="R27" s="24"/>
      <c r="S27" s="24"/>
      <c r="T27" s="4"/>
    </row>
    <row r="28" spans="1:20" x14ac:dyDescent="0.35">
      <c r="A28" s="15" t="s">
        <v>115</v>
      </c>
      <c r="B28" s="1" t="s">
        <v>43</v>
      </c>
      <c r="C28" s="15" t="str">
        <f>VLOOKUP(B28,Mapping!A:B,2,0)</f>
        <v>Lateral</v>
      </c>
      <c r="D28" s="15" t="str">
        <f>VLOOKUP(B28,Mapping!A:C,3,0)</f>
        <v>West</v>
      </c>
      <c r="E28" s="15" t="str">
        <f>VLOOKUP(B28,Mapping!A:D,4,0)</f>
        <v>West 2</v>
      </c>
      <c r="F28" s="15" t="str">
        <f>VLOOKUP(B28,Mapping!A:E,5,0)</f>
        <v>Anjli</v>
      </c>
      <c r="G28" s="15" t="str">
        <f>VLOOKUP(B28,Mapping!A:F,6,0)</f>
        <v>Shweta</v>
      </c>
      <c r="H28" s="23"/>
      <c r="I28" s="23"/>
      <c r="J28" s="23"/>
      <c r="K28" s="23"/>
      <c r="L28" s="23"/>
      <c r="M28" s="23"/>
      <c r="N28" s="23"/>
      <c r="O28" s="23"/>
      <c r="P28" s="23"/>
      <c r="Q28" s="24"/>
      <c r="R28" s="24"/>
      <c r="S28" s="24"/>
      <c r="T28" s="4"/>
    </row>
    <row r="29" spans="1:20" x14ac:dyDescent="0.35">
      <c r="A29" s="15" t="s">
        <v>115</v>
      </c>
      <c r="B29" s="1" t="s">
        <v>44</v>
      </c>
      <c r="C29" s="15" t="str">
        <f>VLOOKUP(B29,Mapping!A:B,2,0)</f>
        <v>Lateral</v>
      </c>
      <c r="D29" s="15" t="str">
        <f>VLOOKUP(B29,Mapping!A:C,3,0)</f>
        <v>North</v>
      </c>
      <c r="E29" s="15" t="str">
        <f>VLOOKUP(B29,Mapping!A:D,4,0)</f>
        <v>North</v>
      </c>
      <c r="F29" s="15" t="str">
        <f>VLOOKUP(B29,Mapping!A:E,5,0)</f>
        <v>Anjli</v>
      </c>
      <c r="G29" s="15" t="str">
        <f>VLOOKUP(B29,Mapping!A:F,6,0)</f>
        <v>Archana</v>
      </c>
      <c r="H29" s="23"/>
      <c r="I29" s="23"/>
      <c r="J29" s="23"/>
      <c r="K29" s="23"/>
      <c r="L29" s="23"/>
      <c r="M29" s="23"/>
      <c r="N29" s="23"/>
      <c r="O29" s="23"/>
      <c r="P29" s="23"/>
      <c r="Q29" s="24"/>
      <c r="R29" s="24"/>
      <c r="S29" s="24"/>
      <c r="T29" s="4"/>
    </row>
    <row r="30" spans="1:20" x14ac:dyDescent="0.35">
      <c r="A30" s="15" t="s">
        <v>115</v>
      </c>
      <c r="B30" s="1" t="s">
        <v>45</v>
      </c>
      <c r="C30" s="15" t="str">
        <f>VLOOKUP(B30,Mapping!A:B,2,0)</f>
        <v>Lateral</v>
      </c>
      <c r="D30" s="15" t="str">
        <f>VLOOKUP(B30,Mapping!A:C,3,0)</f>
        <v>South</v>
      </c>
      <c r="E30" s="15" t="str">
        <f>VLOOKUP(B30,Mapping!A:D,4,0)</f>
        <v>South 2</v>
      </c>
      <c r="F30" s="15" t="str">
        <f>VLOOKUP(B30,Mapping!A:E,5,0)</f>
        <v>Sulabh</v>
      </c>
      <c r="G30" s="15" t="str">
        <f>VLOOKUP(B30,Mapping!A:F,6,0)</f>
        <v>Krishna</v>
      </c>
      <c r="H30" s="23"/>
      <c r="I30" s="23"/>
      <c r="J30" s="23"/>
      <c r="K30" s="23"/>
      <c r="L30" s="23"/>
      <c r="M30" s="23"/>
      <c r="N30" s="23"/>
      <c r="O30" s="23"/>
      <c r="P30" s="23"/>
      <c r="Q30" s="24"/>
      <c r="R30" s="24"/>
      <c r="S30" s="24"/>
      <c r="T30" s="4"/>
    </row>
    <row r="31" spans="1:20" x14ac:dyDescent="0.35">
      <c r="A31" s="15" t="s">
        <v>115</v>
      </c>
      <c r="B31" s="1" t="s">
        <v>46</v>
      </c>
      <c r="C31" s="15" t="str">
        <f>VLOOKUP(B31,Mapping!A:B,2,0)</f>
        <v>Lateral</v>
      </c>
      <c r="D31" s="15" t="str">
        <f>VLOOKUP(B31,Mapping!A:C,3,0)</f>
        <v>West</v>
      </c>
      <c r="E31" s="15" t="str">
        <f>VLOOKUP(B31,Mapping!A:D,4,0)</f>
        <v>West 1</v>
      </c>
      <c r="F31" s="15" t="str">
        <f>VLOOKUP(B31,Mapping!A:E,5,0)</f>
        <v>Anjli</v>
      </c>
      <c r="G31" s="15" t="str">
        <f>VLOOKUP(B31,Mapping!A:F,6,0)</f>
        <v>Geetu</v>
      </c>
      <c r="H31" s="23"/>
      <c r="I31" s="23"/>
      <c r="J31" s="23"/>
      <c r="K31" s="23"/>
      <c r="L31" s="23"/>
      <c r="M31" s="23"/>
      <c r="N31" s="23"/>
      <c r="O31" s="23"/>
      <c r="P31" s="23"/>
      <c r="Q31" s="24"/>
      <c r="R31" s="24"/>
      <c r="S31" s="24"/>
      <c r="T31" s="4"/>
    </row>
    <row r="32" spans="1:20" x14ac:dyDescent="0.35">
      <c r="A32" s="15" t="s">
        <v>115</v>
      </c>
      <c r="B32" s="1" t="s">
        <v>47</v>
      </c>
      <c r="C32" s="15" t="str">
        <f>VLOOKUP(B32,Mapping!A:B,2,0)</f>
        <v>Lateral</v>
      </c>
      <c r="D32" s="15" t="str">
        <f>VLOOKUP(B32,Mapping!A:C,3,0)</f>
        <v>West</v>
      </c>
      <c r="E32" s="15" t="str">
        <f>VLOOKUP(B32,Mapping!A:D,4,0)</f>
        <v>West 1</v>
      </c>
      <c r="F32" s="15" t="str">
        <f>VLOOKUP(B32,Mapping!A:E,5,0)</f>
        <v>Anjli</v>
      </c>
      <c r="G32" s="15" t="str">
        <f>VLOOKUP(B32,Mapping!A:F,6,0)</f>
        <v>Geetu</v>
      </c>
      <c r="H32" s="23"/>
      <c r="I32" s="23"/>
      <c r="J32" s="23"/>
      <c r="K32" s="23"/>
      <c r="L32" s="23"/>
      <c r="M32" s="23"/>
      <c r="N32" s="23"/>
      <c r="O32" s="23"/>
      <c r="P32" s="23"/>
      <c r="Q32" s="24"/>
      <c r="R32" s="24"/>
      <c r="S32" s="24"/>
      <c r="T32" s="4"/>
    </row>
    <row r="33" spans="1:20" x14ac:dyDescent="0.35">
      <c r="A33" s="15" t="s">
        <v>115</v>
      </c>
      <c r="B33" s="1" t="s">
        <v>48</v>
      </c>
      <c r="C33" s="15" t="str">
        <f>VLOOKUP(B33,Mapping!A:B,2,0)</f>
        <v>Lateral</v>
      </c>
      <c r="D33" s="15" t="str">
        <f>VLOOKUP(B33,Mapping!A:C,3,0)</f>
        <v>West</v>
      </c>
      <c r="E33" s="15" t="str">
        <f>VLOOKUP(B33,Mapping!A:D,4,0)</f>
        <v>West 1</v>
      </c>
      <c r="F33" s="15" t="str">
        <f>VLOOKUP(B33,Mapping!A:E,5,0)</f>
        <v>Anjli</v>
      </c>
      <c r="G33" s="15" t="str">
        <f>VLOOKUP(B33,Mapping!A:F,6,0)</f>
        <v>Geetu</v>
      </c>
      <c r="H33" s="23"/>
      <c r="I33" s="23"/>
      <c r="J33" s="23"/>
      <c r="K33" s="23"/>
      <c r="L33" s="23"/>
      <c r="M33" s="23"/>
      <c r="N33" s="23"/>
      <c r="O33" s="23"/>
      <c r="P33" s="23"/>
      <c r="Q33" s="24"/>
      <c r="R33" s="24"/>
      <c r="S33" s="24"/>
      <c r="T33" s="4"/>
    </row>
    <row r="34" spans="1:20" x14ac:dyDescent="0.35">
      <c r="A34" s="15" t="s">
        <v>115</v>
      </c>
      <c r="B34" s="1" t="s">
        <v>49</v>
      </c>
      <c r="C34" s="15" t="str">
        <f>VLOOKUP(B34,Mapping!A:B,2,0)</f>
        <v>Lateral</v>
      </c>
      <c r="D34" s="15" t="str">
        <f>VLOOKUP(B34,Mapping!A:C,3,0)</f>
        <v>North</v>
      </c>
      <c r="E34" s="15" t="str">
        <f>VLOOKUP(B34,Mapping!A:D,4,0)</f>
        <v>North</v>
      </c>
      <c r="F34" s="15" t="str">
        <f>VLOOKUP(B34,Mapping!A:E,5,0)</f>
        <v>Anjli</v>
      </c>
      <c r="G34" s="15" t="str">
        <f>VLOOKUP(B34,Mapping!A:F,6,0)</f>
        <v>Archana</v>
      </c>
      <c r="H34" s="23"/>
      <c r="I34" s="23"/>
      <c r="J34" s="23"/>
      <c r="K34" s="23"/>
      <c r="L34" s="23"/>
      <c r="M34" s="23"/>
      <c r="N34" s="23"/>
      <c r="O34" s="23"/>
      <c r="P34" s="23"/>
      <c r="Q34" s="24"/>
      <c r="R34" s="24"/>
      <c r="S34" s="24"/>
      <c r="T34" s="4"/>
    </row>
    <row r="35" spans="1:20" x14ac:dyDescent="0.35">
      <c r="A35" s="15" t="s">
        <v>115</v>
      </c>
      <c r="B35" s="1" t="s">
        <v>50</v>
      </c>
      <c r="C35" s="15" t="str">
        <f>VLOOKUP(B35,Mapping!A:B,2,0)</f>
        <v>Lateral</v>
      </c>
      <c r="D35" s="15" t="str">
        <f>VLOOKUP(B35,Mapping!A:C,3,0)</f>
        <v>North</v>
      </c>
      <c r="E35" s="15" t="str">
        <f>VLOOKUP(B35,Mapping!A:D,4,0)</f>
        <v>North</v>
      </c>
      <c r="F35" s="15" t="str">
        <f>VLOOKUP(B35,Mapping!A:E,5,0)</f>
        <v>Anjli</v>
      </c>
      <c r="G35" s="15" t="str">
        <f>VLOOKUP(B35,Mapping!A:F,6,0)</f>
        <v>Archana</v>
      </c>
      <c r="H35" s="23"/>
      <c r="I35" s="23"/>
      <c r="J35" s="23"/>
      <c r="K35" s="23"/>
      <c r="L35" s="23"/>
      <c r="M35" s="23"/>
      <c r="N35" s="23"/>
      <c r="O35" s="23"/>
      <c r="P35" s="23"/>
      <c r="Q35" s="24"/>
      <c r="R35" s="24"/>
      <c r="S35" s="24"/>
      <c r="T35" s="4"/>
    </row>
    <row r="36" spans="1:20" x14ac:dyDescent="0.35">
      <c r="A36" s="15" t="s">
        <v>115</v>
      </c>
      <c r="B36" s="1" t="s">
        <v>51</v>
      </c>
      <c r="C36" s="15" t="str">
        <f>VLOOKUP(B36,Mapping!A:B,2,0)</f>
        <v>Lateral</v>
      </c>
      <c r="D36" s="15" t="str">
        <f>VLOOKUP(B36,Mapping!A:C,3,0)</f>
        <v>West</v>
      </c>
      <c r="E36" s="15" t="str">
        <f>VLOOKUP(B36,Mapping!A:D,4,0)</f>
        <v>West 1</v>
      </c>
      <c r="F36" s="15" t="str">
        <f>VLOOKUP(B36,Mapping!A:E,5,0)</f>
        <v>Anjli</v>
      </c>
      <c r="G36" s="15" t="str">
        <f>VLOOKUP(B36,Mapping!A:F,6,0)</f>
        <v>Geetu</v>
      </c>
      <c r="H36" s="23"/>
      <c r="I36" s="23"/>
      <c r="J36" s="23"/>
      <c r="K36" s="23"/>
      <c r="L36" s="23"/>
      <c r="M36" s="23"/>
      <c r="N36" s="23"/>
      <c r="O36" s="23"/>
      <c r="P36" s="23"/>
      <c r="Q36" s="24"/>
      <c r="R36" s="24"/>
      <c r="S36" s="24"/>
      <c r="T36" s="4"/>
    </row>
    <row r="37" spans="1:20" x14ac:dyDescent="0.35">
      <c r="A37" s="15" t="s">
        <v>115</v>
      </c>
      <c r="B37" s="1" t="s">
        <v>52</v>
      </c>
      <c r="C37" s="15" t="str">
        <f>VLOOKUP(B37,Mapping!A:B,2,0)</f>
        <v>Lateral</v>
      </c>
      <c r="D37" s="15" t="str">
        <f>VLOOKUP(B37,Mapping!A:C,3,0)</f>
        <v>West</v>
      </c>
      <c r="E37" s="15" t="str">
        <f>VLOOKUP(B37,Mapping!A:D,4,0)</f>
        <v>West 2</v>
      </c>
      <c r="F37" s="15" t="str">
        <f>VLOOKUP(B37,Mapping!A:E,5,0)</f>
        <v>Anjli</v>
      </c>
      <c r="G37" s="15" t="str">
        <f>VLOOKUP(B37,Mapping!A:F,6,0)</f>
        <v>Shweta</v>
      </c>
      <c r="H37" s="23"/>
      <c r="I37" s="23"/>
      <c r="J37" s="23"/>
      <c r="K37" s="23"/>
      <c r="L37" s="23"/>
      <c r="M37" s="23"/>
      <c r="N37" s="23"/>
      <c r="O37" s="23"/>
      <c r="P37" s="23"/>
      <c r="Q37" s="24"/>
      <c r="R37" s="24"/>
      <c r="S37" s="24"/>
      <c r="T37" s="4"/>
    </row>
    <row r="38" spans="1:20" x14ac:dyDescent="0.35">
      <c r="A38" s="15" t="s">
        <v>115</v>
      </c>
      <c r="B38" s="1" t="s">
        <v>53</v>
      </c>
      <c r="C38" s="15" t="str">
        <f>VLOOKUP(B38,Mapping!A:B,2,0)</f>
        <v>Lateral</v>
      </c>
      <c r="D38" s="15" t="str">
        <f>VLOOKUP(B38,Mapping!A:C,3,0)</f>
        <v>West</v>
      </c>
      <c r="E38" s="15" t="str">
        <f>VLOOKUP(B38,Mapping!A:D,4,0)</f>
        <v>West 1</v>
      </c>
      <c r="F38" s="15" t="str">
        <f>VLOOKUP(B38,Mapping!A:E,5,0)</f>
        <v>Anjli</v>
      </c>
      <c r="G38" s="15" t="str">
        <f>VLOOKUP(B38,Mapping!A:F,6,0)</f>
        <v>Ankit</v>
      </c>
      <c r="H38" s="23"/>
      <c r="I38" s="23"/>
      <c r="J38" s="23"/>
      <c r="K38" s="23"/>
      <c r="L38" s="23"/>
      <c r="M38" s="23"/>
      <c r="N38" s="23"/>
      <c r="O38" s="23"/>
      <c r="P38" s="23"/>
      <c r="Q38" s="24"/>
      <c r="R38" s="24"/>
      <c r="S38" s="24"/>
      <c r="T38" s="4"/>
    </row>
    <row r="39" spans="1:20" x14ac:dyDescent="0.35">
      <c r="A39" s="15" t="s">
        <v>115</v>
      </c>
      <c r="B39" s="1" t="s">
        <v>55</v>
      </c>
      <c r="C39" s="15" t="str">
        <f>VLOOKUP(B39,Mapping!A:B,2,0)</f>
        <v>Lateral</v>
      </c>
      <c r="D39" s="15" t="str">
        <f>VLOOKUP(B39,Mapping!A:C,3,0)</f>
        <v>South</v>
      </c>
      <c r="E39" s="15" t="str">
        <f>VLOOKUP(B39,Mapping!A:D,4,0)</f>
        <v>South 2</v>
      </c>
      <c r="F39" s="15" t="str">
        <f>VLOOKUP(B39,Mapping!A:E,5,0)</f>
        <v>Sulabh</v>
      </c>
      <c r="G39" s="15" t="str">
        <f>VLOOKUP(B39,Mapping!A:F,6,0)</f>
        <v>Krishna</v>
      </c>
      <c r="H39" s="23"/>
      <c r="I39" s="23"/>
      <c r="J39" s="23"/>
      <c r="K39" s="23"/>
      <c r="L39" s="23"/>
      <c r="M39" s="23"/>
      <c r="N39" s="23"/>
      <c r="O39" s="23"/>
      <c r="P39" s="23"/>
      <c r="Q39" s="24"/>
      <c r="R39" s="24"/>
      <c r="S39" s="24"/>
      <c r="T39" s="4"/>
    </row>
    <row r="40" spans="1:20" x14ac:dyDescent="0.35">
      <c r="A40" s="15" t="s">
        <v>115</v>
      </c>
      <c r="B40" s="1" t="s">
        <v>56</v>
      </c>
      <c r="C40" s="15" t="str">
        <f>VLOOKUP(B40,Mapping!A:B,2,0)</f>
        <v>Lateral</v>
      </c>
      <c r="D40" s="15" t="str">
        <f>VLOOKUP(B40,Mapping!A:C,3,0)</f>
        <v>North</v>
      </c>
      <c r="E40" s="15" t="str">
        <f>VLOOKUP(B40,Mapping!A:D,4,0)</f>
        <v>North</v>
      </c>
      <c r="F40" s="15" t="str">
        <f>VLOOKUP(B40,Mapping!A:E,5,0)</f>
        <v>Anjli</v>
      </c>
      <c r="G40" s="15" t="str">
        <f>VLOOKUP(B40,Mapping!A:F,6,0)</f>
        <v>Archana</v>
      </c>
      <c r="H40" s="23"/>
      <c r="I40" s="23"/>
      <c r="J40" s="23"/>
      <c r="K40" s="23"/>
      <c r="L40" s="23"/>
      <c r="M40" s="23"/>
      <c r="N40" s="23"/>
      <c r="O40" s="23"/>
      <c r="P40" s="23"/>
      <c r="Q40" s="24"/>
      <c r="R40" s="24"/>
      <c r="S40" s="24"/>
      <c r="T40" s="4"/>
    </row>
    <row r="41" spans="1:20" x14ac:dyDescent="0.35">
      <c r="A41" s="15" t="s">
        <v>115</v>
      </c>
      <c r="B41" s="1" t="s">
        <v>57</v>
      </c>
      <c r="C41" s="15" t="str">
        <f>VLOOKUP(B41,Mapping!A:B,2,0)</f>
        <v>Lateral</v>
      </c>
      <c r="D41" s="15" t="str">
        <f>VLOOKUP(B41,Mapping!A:C,3,0)</f>
        <v>South</v>
      </c>
      <c r="E41" s="15" t="str">
        <f>VLOOKUP(B41,Mapping!A:D,4,0)</f>
        <v>South 2</v>
      </c>
      <c r="F41" s="15" t="str">
        <f>VLOOKUP(B41,Mapping!A:E,5,0)</f>
        <v>Sulabh</v>
      </c>
      <c r="G41" s="15" t="str">
        <f>VLOOKUP(B41,Mapping!A:F,6,0)</f>
        <v>Krishna</v>
      </c>
      <c r="H41" s="23"/>
      <c r="I41" s="23"/>
      <c r="J41" s="23"/>
      <c r="K41" s="23"/>
      <c r="L41" s="23"/>
      <c r="M41" s="23"/>
      <c r="N41" s="23"/>
      <c r="O41" s="23"/>
      <c r="P41" s="23"/>
      <c r="Q41" s="24"/>
      <c r="R41" s="24"/>
      <c r="S41" s="24"/>
      <c r="T41" s="4"/>
    </row>
    <row r="42" spans="1:20" x14ac:dyDescent="0.35">
      <c r="A42" s="15" t="s">
        <v>115</v>
      </c>
      <c r="B42" s="1" t="s">
        <v>58</v>
      </c>
      <c r="C42" s="15" t="str">
        <f>VLOOKUP(B42,Mapping!A:B,2,0)</f>
        <v>Lateral</v>
      </c>
      <c r="D42" s="15" t="str">
        <f>VLOOKUP(B42,Mapping!A:C,3,0)</f>
        <v>West</v>
      </c>
      <c r="E42" s="15" t="str">
        <f>VLOOKUP(B42,Mapping!A:D,4,0)</f>
        <v>West 1</v>
      </c>
      <c r="F42" s="15" t="str">
        <f>VLOOKUP(B42,Mapping!A:E,5,0)</f>
        <v>Anjli</v>
      </c>
      <c r="G42" s="15" t="str">
        <f>VLOOKUP(B42,Mapping!A:F,6,0)</f>
        <v>Elton</v>
      </c>
      <c r="H42" s="23"/>
      <c r="I42" s="23"/>
      <c r="J42" s="23"/>
      <c r="K42" s="23"/>
      <c r="L42" s="23"/>
      <c r="M42" s="23"/>
      <c r="N42" s="23"/>
      <c r="O42" s="23"/>
      <c r="P42" s="23"/>
      <c r="Q42" s="24"/>
      <c r="R42" s="24"/>
      <c r="S42" s="24"/>
      <c r="T42" s="4"/>
    </row>
    <row r="43" spans="1:20" x14ac:dyDescent="0.35">
      <c r="A43" s="15" t="s">
        <v>115</v>
      </c>
      <c r="B43" s="1" t="s">
        <v>60</v>
      </c>
      <c r="C43" s="15" t="str">
        <f>VLOOKUP(B43,Mapping!A:B,2,0)</f>
        <v>Lateral</v>
      </c>
      <c r="D43" s="15" t="str">
        <f>VLOOKUP(B43,Mapping!A:C,3,0)</f>
        <v>West</v>
      </c>
      <c r="E43" s="15" t="str">
        <f>VLOOKUP(B43,Mapping!A:D,4,0)</f>
        <v>West 2</v>
      </c>
      <c r="F43" s="15" t="str">
        <f>VLOOKUP(B43,Mapping!A:E,5,0)</f>
        <v>Anjli</v>
      </c>
      <c r="G43" s="15" t="str">
        <f>VLOOKUP(B43,Mapping!A:F,6,0)</f>
        <v>Shweta</v>
      </c>
      <c r="H43" s="23"/>
      <c r="I43" s="23"/>
      <c r="J43" s="23"/>
      <c r="K43" s="23"/>
      <c r="L43" s="23"/>
      <c r="M43" s="23"/>
      <c r="N43" s="23"/>
      <c r="O43" s="23"/>
      <c r="P43" s="23"/>
      <c r="Q43" s="24"/>
      <c r="R43" s="24"/>
      <c r="S43" s="24"/>
      <c r="T43" s="4"/>
    </row>
    <row r="44" spans="1:20" x14ac:dyDescent="0.35">
      <c r="A44" s="15" t="s">
        <v>115</v>
      </c>
      <c r="B44" s="1" t="s">
        <v>61</v>
      </c>
      <c r="C44" s="15" t="str">
        <f>VLOOKUP(B44,Mapping!A:B,2,0)</f>
        <v>Lateral</v>
      </c>
      <c r="D44" s="15" t="str">
        <f>VLOOKUP(B44,Mapping!A:C,3,0)</f>
        <v>West</v>
      </c>
      <c r="E44" s="15" t="str">
        <f>VLOOKUP(B44,Mapping!A:D,4,0)</f>
        <v>West 1</v>
      </c>
      <c r="F44" s="15" t="str">
        <f>VLOOKUP(B44,Mapping!A:E,5,0)</f>
        <v>Anjli</v>
      </c>
      <c r="G44" s="15" t="str">
        <f>VLOOKUP(B44,Mapping!A:F,6,0)</f>
        <v>Elton</v>
      </c>
      <c r="H44" s="23"/>
      <c r="I44" s="23"/>
      <c r="J44" s="23"/>
      <c r="K44" s="23"/>
      <c r="L44" s="23"/>
      <c r="M44" s="23"/>
      <c r="N44" s="23"/>
      <c r="O44" s="23"/>
      <c r="P44" s="23"/>
      <c r="Q44" s="24"/>
      <c r="R44" s="24"/>
      <c r="S44" s="24"/>
      <c r="T44" s="4"/>
    </row>
    <row r="45" spans="1:20" x14ac:dyDescent="0.35">
      <c r="A45" s="15" t="s">
        <v>115</v>
      </c>
      <c r="B45" s="1" t="s">
        <v>62</v>
      </c>
      <c r="C45" s="15" t="str">
        <f>VLOOKUP(B45,Mapping!A:B,2,0)</f>
        <v>Lateral</v>
      </c>
      <c r="D45" s="15" t="str">
        <f>VLOOKUP(B45,Mapping!A:C,3,0)</f>
        <v>South</v>
      </c>
      <c r="E45" s="15" t="str">
        <f>VLOOKUP(B45,Mapping!A:D,4,0)</f>
        <v>South 2</v>
      </c>
      <c r="F45" s="15" t="str">
        <f>VLOOKUP(B45,Mapping!A:E,5,0)</f>
        <v>Sulabh</v>
      </c>
      <c r="G45" s="15" t="str">
        <f>VLOOKUP(B45,Mapping!A:F,6,0)</f>
        <v>Subu</v>
      </c>
      <c r="H45" s="23"/>
      <c r="I45" s="23"/>
      <c r="J45" s="23"/>
      <c r="K45" s="23"/>
      <c r="L45" s="23"/>
      <c r="M45" s="23"/>
      <c r="N45" s="23"/>
      <c r="O45" s="23"/>
      <c r="P45" s="23"/>
      <c r="Q45" s="24"/>
      <c r="R45" s="24"/>
      <c r="S45" s="24"/>
      <c r="T45" s="4"/>
    </row>
    <row r="46" spans="1:20" x14ac:dyDescent="0.35">
      <c r="A46" s="15" t="s">
        <v>115</v>
      </c>
      <c r="B46" s="1" t="s">
        <v>63</v>
      </c>
      <c r="C46" s="15" t="str">
        <f>VLOOKUP(B46,Mapping!A:B,2,0)</f>
        <v>Lateral</v>
      </c>
      <c r="D46" s="15" t="str">
        <f>VLOOKUP(B46,Mapping!A:C,3,0)</f>
        <v>West</v>
      </c>
      <c r="E46" s="15" t="str">
        <f>VLOOKUP(B46,Mapping!A:D,4,0)</f>
        <v>West 1</v>
      </c>
      <c r="F46" s="15" t="str">
        <f>VLOOKUP(B46,Mapping!A:E,5,0)</f>
        <v>Anjli</v>
      </c>
      <c r="G46" s="15" t="str">
        <f>VLOOKUP(B46,Mapping!A:F,6,0)</f>
        <v>Elton</v>
      </c>
      <c r="H46" s="23"/>
      <c r="I46" s="23"/>
      <c r="J46" s="23"/>
      <c r="K46" s="23"/>
      <c r="L46" s="23"/>
      <c r="M46" s="23"/>
      <c r="N46" s="23"/>
      <c r="O46" s="23"/>
      <c r="P46" s="23"/>
      <c r="Q46" s="24"/>
      <c r="R46" s="24"/>
      <c r="S46" s="24"/>
      <c r="T46" s="4"/>
    </row>
    <row r="47" spans="1:20" x14ac:dyDescent="0.35">
      <c r="A47" s="15" t="s">
        <v>115</v>
      </c>
      <c r="B47" s="1" t="s">
        <v>64</v>
      </c>
      <c r="C47" s="15" t="str">
        <f>VLOOKUP(B47,Mapping!A:B,2,0)</f>
        <v>Lateral</v>
      </c>
      <c r="D47" s="15" t="str">
        <f>VLOOKUP(B47,Mapping!A:C,3,0)</f>
        <v>South</v>
      </c>
      <c r="E47" s="15" t="str">
        <f>VLOOKUP(B47,Mapping!A:D,4,0)</f>
        <v>South 2</v>
      </c>
      <c r="F47" s="15" t="str">
        <f>VLOOKUP(B47,Mapping!A:E,5,0)</f>
        <v>Sulabh</v>
      </c>
      <c r="G47" s="15" t="str">
        <f>VLOOKUP(B47,Mapping!A:F,6,0)</f>
        <v>Sulabh</v>
      </c>
      <c r="H47" s="23"/>
      <c r="I47" s="23"/>
      <c r="J47" s="23"/>
      <c r="K47" s="23"/>
      <c r="L47" s="23"/>
      <c r="M47" s="23"/>
      <c r="N47" s="23"/>
      <c r="O47" s="23"/>
      <c r="P47" s="23"/>
      <c r="Q47" s="24"/>
      <c r="R47" s="24"/>
      <c r="S47" s="24"/>
      <c r="T47" s="4"/>
    </row>
    <row r="48" spans="1:20" x14ac:dyDescent="0.35">
      <c r="A48" s="15" t="s">
        <v>115</v>
      </c>
      <c r="B48" s="1" t="s">
        <v>65</v>
      </c>
      <c r="C48" s="15" t="str">
        <f>VLOOKUP(B48,Mapping!A:B,2,0)</f>
        <v>Lateral</v>
      </c>
      <c r="D48" s="15" t="str">
        <f>VLOOKUP(B48,Mapping!A:C,3,0)</f>
        <v>South</v>
      </c>
      <c r="E48" s="15" t="str">
        <f>VLOOKUP(B48,Mapping!A:D,4,0)</f>
        <v>South 2</v>
      </c>
      <c r="F48" s="15" t="str">
        <f>VLOOKUP(B48,Mapping!A:E,5,0)</f>
        <v>Sulabh</v>
      </c>
      <c r="G48" s="15" t="str">
        <f>VLOOKUP(B48,Mapping!A:F,6,0)</f>
        <v>Sulabh</v>
      </c>
      <c r="H48" s="23"/>
      <c r="I48" s="23"/>
      <c r="J48" s="23"/>
      <c r="K48" s="23"/>
      <c r="L48" s="23"/>
      <c r="M48" s="23"/>
      <c r="N48" s="23"/>
      <c r="O48" s="23"/>
      <c r="P48" s="23"/>
      <c r="Q48" s="24"/>
      <c r="R48" s="24"/>
      <c r="S48" s="24"/>
      <c r="T48" s="4"/>
    </row>
    <row r="49" spans="1:20" x14ac:dyDescent="0.35">
      <c r="A49" s="15" t="s">
        <v>115</v>
      </c>
      <c r="B49" s="1" t="s">
        <v>66</v>
      </c>
      <c r="C49" s="15" t="str">
        <f>VLOOKUP(B49,Mapping!A:B,2,0)</f>
        <v>Lateral</v>
      </c>
      <c r="D49" s="15" t="str">
        <f>VLOOKUP(B49,Mapping!A:C,3,0)</f>
        <v>South</v>
      </c>
      <c r="E49" s="15" t="str">
        <f>VLOOKUP(B49,Mapping!A:D,4,0)</f>
        <v>South 2</v>
      </c>
      <c r="F49" s="15" t="str">
        <f>VLOOKUP(B49,Mapping!A:E,5,0)</f>
        <v>Sulabh</v>
      </c>
      <c r="G49" s="15" t="str">
        <f>VLOOKUP(B49,Mapping!A:F,6,0)</f>
        <v>Abhilash</v>
      </c>
      <c r="H49" s="23"/>
      <c r="I49" s="23"/>
      <c r="J49" s="23"/>
      <c r="K49" s="23"/>
      <c r="L49" s="23"/>
      <c r="M49" s="23"/>
      <c r="N49" s="23"/>
      <c r="O49" s="23"/>
      <c r="P49" s="23"/>
      <c r="Q49" s="24"/>
      <c r="R49" s="24"/>
      <c r="S49" s="24"/>
      <c r="T49" s="4"/>
    </row>
    <row r="50" spans="1:20" x14ac:dyDescent="0.35">
      <c r="A50" s="15" t="s">
        <v>115</v>
      </c>
      <c r="B50" s="1" t="s">
        <v>68</v>
      </c>
      <c r="C50" s="15" t="str">
        <f>VLOOKUP(B50,Mapping!A:B,2,0)</f>
        <v>Lateral</v>
      </c>
      <c r="D50" s="15" t="str">
        <f>VLOOKUP(B50,Mapping!A:C,3,0)</f>
        <v>West</v>
      </c>
      <c r="E50" s="15" t="str">
        <f>VLOOKUP(B50,Mapping!A:D,4,0)</f>
        <v>West 1</v>
      </c>
      <c r="F50" s="15" t="str">
        <f>VLOOKUP(B50,Mapping!A:E,5,0)</f>
        <v>Anjli</v>
      </c>
      <c r="G50" s="15" t="str">
        <f>VLOOKUP(B50,Mapping!A:F,6,0)</f>
        <v>Elton</v>
      </c>
      <c r="H50" s="23"/>
      <c r="I50" s="23"/>
      <c r="J50" s="23"/>
      <c r="K50" s="23"/>
      <c r="L50" s="23"/>
      <c r="M50" s="23"/>
      <c r="N50" s="23"/>
      <c r="O50" s="23"/>
      <c r="P50" s="23"/>
      <c r="Q50" s="24"/>
      <c r="R50" s="24"/>
      <c r="S50" s="24"/>
      <c r="T50" s="4"/>
    </row>
    <row r="51" spans="1:20" x14ac:dyDescent="0.35">
      <c r="A51" s="15" t="s">
        <v>115</v>
      </c>
      <c r="B51" s="1" t="s">
        <v>69</v>
      </c>
      <c r="C51" s="15" t="str">
        <f>VLOOKUP(B51,Mapping!A:B,2,0)</f>
        <v>Leadership</v>
      </c>
      <c r="D51" s="15" t="str">
        <f>VLOOKUP(B51,Mapping!A:C,3,0)</f>
        <v>South</v>
      </c>
      <c r="E51" s="15" t="str">
        <f>VLOOKUP(B51,Mapping!A:D,4,0)</f>
        <v>South 1</v>
      </c>
      <c r="F51" s="15" t="str">
        <f>VLOOKUP(B51,Mapping!A:E,5,0)</f>
        <v>Bapi</v>
      </c>
      <c r="G51" s="15" t="str">
        <f>VLOOKUP(B51,Mapping!A:F,6,0)</f>
        <v>Parul</v>
      </c>
      <c r="H51" s="23"/>
      <c r="I51" s="23"/>
      <c r="J51" s="23"/>
      <c r="K51" s="23"/>
      <c r="L51" s="23"/>
      <c r="M51" s="23"/>
      <c r="N51" s="23"/>
      <c r="O51" s="23"/>
      <c r="P51" s="23"/>
      <c r="Q51" s="24"/>
      <c r="R51" s="24"/>
      <c r="S51" s="24"/>
      <c r="T51" s="4"/>
    </row>
    <row r="52" spans="1:20" x14ac:dyDescent="0.35">
      <c r="A52" s="15" t="s">
        <v>115</v>
      </c>
      <c r="B52" s="1" t="s">
        <v>71</v>
      </c>
      <c r="C52" s="15" t="str">
        <f>VLOOKUP(B52,Mapping!A:B,2,0)</f>
        <v>Leadership</v>
      </c>
      <c r="D52" s="15" t="str">
        <f>VLOOKUP(B52,Mapping!A:C,3,0)</f>
        <v>South</v>
      </c>
      <c r="E52" s="15" t="str">
        <f>VLOOKUP(B52,Mapping!A:D,4,0)</f>
        <v>South 2</v>
      </c>
      <c r="F52" s="15" t="str">
        <f>VLOOKUP(B52,Mapping!A:E,5,0)</f>
        <v>Sulabh</v>
      </c>
      <c r="G52" s="15" t="str">
        <f>VLOOKUP(B52,Mapping!A:F,6,0)</f>
        <v>Parul</v>
      </c>
      <c r="H52" s="23"/>
      <c r="I52" s="23"/>
      <c r="J52" s="23"/>
      <c r="K52" s="23"/>
      <c r="L52" s="23"/>
      <c r="M52" s="23"/>
      <c r="N52" s="23"/>
      <c r="O52" s="23"/>
      <c r="P52" s="23"/>
      <c r="Q52" s="24"/>
      <c r="R52" s="24"/>
      <c r="S52" s="24"/>
      <c r="T52" s="4"/>
    </row>
    <row r="53" spans="1:20" x14ac:dyDescent="0.35">
      <c r="A53" s="15" t="s">
        <v>115</v>
      </c>
      <c r="B53" s="1" t="s">
        <v>72</v>
      </c>
      <c r="C53" s="15" t="str">
        <f>VLOOKUP(B53,Mapping!A:B,2,0)</f>
        <v>Leadership</v>
      </c>
      <c r="D53" s="15" t="str">
        <f>VLOOKUP(B53,Mapping!A:C,3,0)</f>
        <v>West</v>
      </c>
      <c r="E53" s="15" t="str">
        <f>VLOOKUP(B53,Mapping!A:D,4,0)</f>
        <v>West 2</v>
      </c>
      <c r="F53" s="15" t="str">
        <f>VLOOKUP(B53,Mapping!A:E,5,0)</f>
        <v>Anjli</v>
      </c>
      <c r="G53" s="15" t="str">
        <f>VLOOKUP(B53,Mapping!A:F,6,0)</f>
        <v>Parul</v>
      </c>
      <c r="H53" s="23"/>
      <c r="I53" s="23"/>
      <c r="J53" s="23"/>
      <c r="K53" s="23"/>
      <c r="L53" s="23"/>
      <c r="M53" s="23"/>
      <c r="N53" s="23"/>
      <c r="O53" s="23"/>
      <c r="P53" s="23"/>
      <c r="Q53" s="24"/>
      <c r="R53" s="24"/>
      <c r="S53" s="24"/>
      <c r="T53" s="4"/>
    </row>
    <row r="54" spans="1:20" x14ac:dyDescent="0.35">
      <c r="A54" s="15" t="s">
        <v>115</v>
      </c>
      <c r="B54" s="1" t="s">
        <v>73</v>
      </c>
      <c r="C54" s="15" t="str">
        <f>VLOOKUP(B54,Mapping!A:B,2,0)</f>
        <v>Leadership</v>
      </c>
      <c r="D54" s="15" t="str">
        <f>VLOOKUP(B54,Mapping!A:C,3,0)</f>
        <v>West</v>
      </c>
      <c r="E54" s="15" t="str">
        <f>VLOOKUP(B54,Mapping!A:D,4,0)</f>
        <v>West 1</v>
      </c>
      <c r="F54" s="15" t="str">
        <f>VLOOKUP(B54,Mapping!A:E,5,0)</f>
        <v>Anjli</v>
      </c>
      <c r="G54" s="15" t="str">
        <f>VLOOKUP(B54,Mapping!A:F,6,0)</f>
        <v>Parul</v>
      </c>
      <c r="H54" s="23"/>
      <c r="I54" s="23"/>
      <c r="J54" s="23"/>
      <c r="K54" s="23"/>
      <c r="L54" s="23"/>
      <c r="M54" s="23"/>
      <c r="N54" s="23"/>
      <c r="O54" s="23"/>
      <c r="P54" s="23"/>
      <c r="Q54" s="24"/>
      <c r="R54" s="24"/>
      <c r="S54" s="24"/>
      <c r="T54" s="4"/>
    </row>
    <row r="55" spans="1:20" x14ac:dyDescent="0.35">
      <c r="A55" s="15" t="s">
        <v>115</v>
      </c>
      <c r="B55" s="1" t="s">
        <v>74</v>
      </c>
      <c r="C55" s="15" t="str">
        <f>VLOOKUP(B55,Mapping!A:B,2,0)</f>
        <v>Leadership</v>
      </c>
      <c r="D55" s="15" t="str">
        <f>VLOOKUP(B55,Mapping!A:C,3,0)</f>
        <v>West</v>
      </c>
      <c r="E55" s="15" t="str">
        <f>VLOOKUP(B55,Mapping!A:D,4,0)</f>
        <v>West 1</v>
      </c>
      <c r="F55" s="15" t="str">
        <f>VLOOKUP(B55,Mapping!A:E,5,0)</f>
        <v>Anjli</v>
      </c>
      <c r="G55" s="15" t="str">
        <f>VLOOKUP(B55,Mapping!A:F,6,0)</f>
        <v>Parul</v>
      </c>
      <c r="H55" s="23"/>
      <c r="I55" s="23"/>
      <c r="J55" s="23"/>
      <c r="K55" s="23"/>
      <c r="L55" s="23"/>
      <c r="M55" s="23"/>
      <c r="N55" s="23"/>
      <c r="O55" s="23"/>
      <c r="P55" s="23"/>
      <c r="Q55" s="24"/>
      <c r="R55" s="24"/>
      <c r="S55" s="24"/>
      <c r="T55" s="4"/>
    </row>
    <row r="56" spans="1:20" x14ac:dyDescent="0.35">
      <c r="A56" s="15" t="s">
        <v>115</v>
      </c>
      <c r="B56" s="1" t="s">
        <v>75</v>
      </c>
      <c r="C56" s="15" t="str">
        <f>VLOOKUP(B56,Mapping!A:B,2,0)</f>
        <v>Leadership</v>
      </c>
      <c r="D56" s="15" t="str">
        <f>VLOOKUP(B56,Mapping!A:C,3,0)</f>
        <v>South</v>
      </c>
      <c r="E56" s="15" t="str">
        <f>VLOOKUP(B56,Mapping!A:D,4,0)</f>
        <v>South 2</v>
      </c>
      <c r="F56" s="15" t="str">
        <f>VLOOKUP(B56,Mapping!A:E,5,0)</f>
        <v>Sulabh</v>
      </c>
      <c r="G56" s="15" t="str">
        <f>VLOOKUP(B56,Mapping!A:F,6,0)</f>
        <v>Parul</v>
      </c>
      <c r="H56" s="23"/>
      <c r="I56" s="23"/>
      <c r="J56" s="23"/>
      <c r="K56" s="23"/>
      <c r="L56" s="23"/>
      <c r="M56" s="23"/>
      <c r="N56" s="23"/>
      <c r="O56" s="23"/>
      <c r="P56" s="23"/>
      <c r="Q56" s="24"/>
      <c r="R56" s="24"/>
      <c r="S56" s="24"/>
      <c r="T56" s="4"/>
    </row>
    <row r="57" spans="1:20" x14ac:dyDescent="0.35">
      <c r="A57" s="15" t="s">
        <v>115</v>
      </c>
      <c r="B57" s="1" t="s">
        <v>76</v>
      </c>
      <c r="C57" s="15" t="str">
        <f>VLOOKUP(B57,Mapping!A:B,2,0)</f>
        <v>Leadership</v>
      </c>
      <c r="D57" s="15" t="str">
        <f>VLOOKUP(B57,Mapping!A:C,3,0)</f>
        <v>South</v>
      </c>
      <c r="E57" s="15" t="str">
        <f>VLOOKUP(B57,Mapping!A:D,4,0)</f>
        <v>South 2</v>
      </c>
      <c r="F57" s="15" t="str">
        <f>VLOOKUP(B57,Mapping!A:E,5,0)</f>
        <v>Sulabh</v>
      </c>
      <c r="G57" s="15" t="str">
        <f>VLOOKUP(B57,Mapping!A:F,6,0)</f>
        <v>Parul</v>
      </c>
      <c r="H57" s="23"/>
      <c r="I57" s="23"/>
      <c r="J57" s="23"/>
      <c r="K57" s="23"/>
      <c r="L57" s="23"/>
      <c r="M57" s="23"/>
      <c r="N57" s="23"/>
      <c r="O57" s="23"/>
      <c r="P57" s="23"/>
      <c r="Q57" s="24"/>
      <c r="R57" s="24"/>
      <c r="S57" s="24"/>
      <c r="T57" s="4"/>
    </row>
    <row r="58" spans="1:20" x14ac:dyDescent="0.35">
      <c r="A58" s="15" t="s">
        <v>115</v>
      </c>
      <c r="B58" s="1" t="s">
        <v>77</v>
      </c>
      <c r="C58" s="15" t="str">
        <f>VLOOKUP(B58,Mapping!A:B,2,0)</f>
        <v>Leadership</v>
      </c>
      <c r="D58" s="15" t="str">
        <f>VLOOKUP(B58,Mapping!A:C,3,0)</f>
        <v>North</v>
      </c>
      <c r="E58" s="15" t="str">
        <f>VLOOKUP(B58,Mapping!A:D,4,0)</f>
        <v>North</v>
      </c>
      <c r="F58" s="15" t="str">
        <f>VLOOKUP(B58,Mapping!A:E,5,0)</f>
        <v>Anjli</v>
      </c>
      <c r="G58" s="15" t="str">
        <f>VLOOKUP(B58,Mapping!A:F,6,0)</f>
        <v>Parul</v>
      </c>
      <c r="H58" s="23"/>
      <c r="I58" s="23"/>
      <c r="J58" s="23"/>
      <c r="K58" s="23"/>
      <c r="L58" s="23"/>
      <c r="M58" s="23"/>
      <c r="N58" s="23"/>
      <c r="O58" s="23"/>
      <c r="P58" s="23"/>
      <c r="Q58" s="24"/>
      <c r="R58" s="24"/>
      <c r="S58" s="24"/>
      <c r="T58" s="4"/>
    </row>
    <row r="59" spans="1:20" x14ac:dyDescent="0.35">
      <c r="A59" s="15" t="s">
        <v>115</v>
      </c>
      <c r="B59" s="1" t="s">
        <v>78</v>
      </c>
      <c r="C59" s="15" t="str">
        <f>VLOOKUP(B59,Mapping!A:B,2,0)</f>
        <v>Leadership</v>
      </c>
      <c r="D59" s="15" t="str">
        <f>VLOOKUP(B59,Mapping!A:C,3,0)</f>
        <v>West</v>
      </c>
      <c r="E59" s="15" t="str">
        <f>VLOOKUP(B59,Mapping!A:D,4,0)</f>
        <v>West 1</v>
      </c>
      <c r="F59" s="15" t="str">
        <f>VLOOKUP(B59,Mapping!A:E,5,0)</f>
        <v>Anjli</v>
      </c>
      <c r="G59" s="15" t="str">
        <f>VLOOKUP(B59,Mapping!A:F,6,0)</f>
        <v>Parul</v>
      </c>
      <c r="H59" s="23"/>
      <c r="I59" s="23"/>
      <c r="J59" s="23"/>
      <c r="K59" s="23"/>
      <c r="L59" s="23"/>
      <c r="M59" s="23"/>
      <c r="N59" s="23"/>
      <c r="O59" s="23"/>
      <c r="P59" s="23"/>
      <c r="Q59" s="24"/>
      <c r="R59" s="24"/>
      <c r="S59" s="24"/>
      <c r="T59" s="4"/>
    </row>
    <row r="60" spans="1:20" x14ac:dyDescent="0.35">
      <c r="A60" s="15" t="s">
        <v>115</v>
      </c>
      <c r="B60" s="1" t="s">
        <v>79</v>
      </c>
      <c r="C60" s="15" t="str">
        <f>VLOOKUP(B60,Mapping!A:B,2,0)</f>
        <v>Leadership</v>
      </c>
      <c r="D60" s="15" t="str">
        <f>VLOOKUP(B60,Mapping!A:C,3,0)</f>
        <v>West</v>
      </c>
      <c r="E60" s="15" t="str">
        <f>VLOOKUP(B60,Mapping!A:D,4,0)</f>
        <v>West 2</v>
      </c>
      <c r="F60" s="15" t="str">
        <f>VLOOKUP(B60,Mapping!A:E,5,0)</f>
        <v>Anjli</v>
      </c>
      <c r="G60" s="15" t="str">
        <f>VLOOKUP(B60,Mapping!A:F,6,0)</f>
        <v>Parul</v>
      </c>
      <c r="H60" s="23"/>
      <c r="I60" s="23"/>
      <c r="J60" s="23"/>
      <c r="K60" s="23"/>
      <c r="L60" s="23"/>
      <c r="M60" s="23"/>
      <c r="N60" s="23"/>
      <c r="O60" s="23"/>
      <c r="P60" s="23"/>
      <c r="Q60" s="24"/>
      <c r="R60" s="24"/>
      <c r="S60" s="24"/>
      <c r="T60" s="4"/>
    </row>
    <row r="61" spans="1:20" x14ac:dyDescent="0.35">
      <c r="A61" s="15" t="s">
        <v>115</v>
      </c>
      <c r="B61" s="1" t="s">
        <v>80</v>
      </c>
      <c r="C61" s="15" t="str">
        <f>VLOOKUP(B61,Mapping!A:B,2,0)</f>
        <v>Leadership</v>
      </c>
      <c r="D61" s="15" t="str">
        <f>VLOOKUP(B61,Mapping!A:C,3,0)</f>
        <v>North</v>
      </c>
      <c r="E61" s="15" t="str">
        <f>VLOOKUP(B61,Mapping!A:D,4,0)</f>
        <v>North</v>
      </c>
      <c r="F61" s="15" t="str">
        <f>VLOOKUP(B61,Mapping!A:E,5,0)</f>
        <v>Anjli</v>
      </c>
      <c r="G61" s="15" t="str">
        <f>VLOOKUP(B61,Mapping!A:F,6,0)</f>
        <v>Parul</v>
      </c>
      <c r="H61" s="23"/>
      <c r="I61" s="23"/>
      <c r="J61" s="23"/>
      <c r="K61" s="23"/>
      <c r="L61" s="23"/>
      <c r="M61" s="23"/>
      <c r="N61" s="23"/>
      <c r="O61" s="23"/>
      <c r="P61" s="23"/>
      <c r="Q61" s="24"/>
      <c r="R61" s="24"/>
      <c r="S61" s="24"/>
      <c r="T61" s="4"/>
    </row>
    <row r="62" spans="1:20" x14ac:dyDescent="0.35">
      <c r="A62" s="15" t="s">
        <v>115</v>
      </c>
      <c r="B62" s="1" t="s">
        <v>81</v>
      </c>
      <c r="C62" s="15" t="str">
        <f>VLOOKUP(B62,Mapping!A:B,2,0)</f>
        <v>Leadership</v>
      </c>
      <c r="D62" s="15" t="str">
        <f>VLOOKUP(B62,Mapping!A:C,3,0)</f>
        <v>North</v>
      </c>
      <c r="E62" s="15" t="str">
        <f>VLOOKUP(B62,Mapping!A:D,4,0)</f>
        <v>North</v>
      </c>
      <c r="F62" s="15" t="str">
        <f>VLOOKUP(B62,Mapping!A:E,5,0)</f>
        <v>Anjli</v>
      </c>
      <c r="G62" s="15" t="str">
        <f>VLOOKUP(B62,Mapping!A:F,6,0)</f>
        <v>Parul</v>
      </c>
      <c r="H62" s="23"/>
      <c r="I62" s="23"/>
      <c r="J62" s="23"/>
      <c r="K62" s="23"/>
      <c r="L62" s="23"/>
      <c r="M62" s="23"/>
      <c r="N62" s="23"/>
      <c r="O62" s="23"/>
      <c r="P62" s="23"/>
      <c r="Q62" s="24"/>
      <c r="R62" s="24"/>
      <c r="S62" s="24"/>
      <c r="T62" s="4"/>
    </row>
    <row r="63" spans="1:20" x14ac:dyDescent="0.35">
      <c r="A63" s="15" t="s">
        <v>115</v>
      </c>
      <c r="B63" s="1" t="s">
        <v>82</v>
      </c>
      <c r="C63" s="15" t="str">
        <f>VLOOKUP(B63,Mapping!A:B,2,0)</f>
        <v>Leadership</v>
      </c>
      <c r="D63" s="15" t="str">
        <f>VLOOKUP(B63,Mapping!A:C,3,0)</f>
        <v>West</v>
      </c>
      <c r="E63" s="15" t="str">
        <f>VLOOKUP(B63,Mapping!A:D,4,0)</f>
        <v>West 1</v>
      </c>
      <c r="F63" s="15" t="str">
        <f>VLOOKUP(B63,Mapping!A:E,5,0)</f>
        <v>Anjli</v>
      </c>
      <c r="G63" s="15" t="str">
        <f>VLOOKUP(B63,Mapping!A:F,6,0)</f>
        <v>Parul</v>
      </c>
      <c r="H63" s="23"/>
      <c r="I63" s="23"/>
      <c r="J63" s="23"/>
      <c r="K63" s="23"/>
      <c r="L63" s="23"/>
      <c r="M63" s="23"/>
      <c r="N63" s="23"/>
      <c r="O63" s="23"/>
      <c r="P63" s="23"/>
      <c r="Q63" s="24"/>
      <c r="R63" s="24"/>
      <c r="S63" s="24"/>
      <c r="T63" s="4"/>
    </row>
    <row r="64" spans="1:20" x14ac:dyDescent="0.35">
      <c r="A64" s="15" t="s">
        <v>115</v>
      </c>
      <c r="B64" s="1" t="s">
        <v>83</v>
      </c>
      <c r="C64" s="15" t="str">
        <f>VLOOKUP(B64,Mapping!A:B,2,0)</f>
        <v>Leadership</v>
      </c>
      <c r="D64" s="15" t="str">
        <f>VLOOKUP(B64,Mapping!A:C,3,0)</f>
        <v>North</v>
      </c>
      <c r="E64" s="15" t="str">
        <f>VLOOKUP(B64,Mapping!A:D,4,0)</f>
        <v>North</v>
      </c>
      <c r="F64" s="15" t="str">
        <f>VLOOKUP(B64,Mapping!A:E,5,0)</f>
        <v>Anjli</v>
      </c>
      <c r="G64" s="15" t="str">
        <f>VLOOKUP(B64,Mapping!A:F,6,0)</f>
        <v>Parul</v>
      </c>
      <c r="H64" s="23"/>
      <c r="I64" s="23"/>
      <c r="J64" s="23"/>
      <c r="K64" s="23"/>
      <c r="L64" s="23"/>
      <c r="M64" s="23"/>
      <c r="N64" s="23"/>
      <c r="O64" s="23"/>
      <c r="P64" s="23"/>
      <c r="Q64" s="24"/>
      <c r="R64" s="24"/>
      <c r="S64" s="24"/>
      <c r="T64" s="4"/>
    </row>
    <row r="65" spans="1:20" x14ac:dyDescent="0.35">
      <c r="A65" s="15" t="s">
        <v>115</v>
      </c>
      <c r="B65" s="1" t="s">
        <v>84</v>
      </c>
      <c r="C65" s="15" t="str">
        <f>VLOOKUP(B65,Mapping!A:B,2,0)</f>
        <v>Lateral</v>
      </c>
      <c r="D65" s="15" t="str">
        <f>VLOOKUP(B65,Mapping!A:C,3,0)</f>
        <v>South</v>
      </c>
      <c r="E65" s="15" t="str">
        <f>VLOOKUP(B65,Mapping!A:D,4,0)</f>
        <v>South 1</v>
      </c>
      <c r="F65" s="15" t="str">
        <f>VLOOKUP(B65,Mapping!A:E,5,0)</f>
        <v>Ashish</v>
      </c>
      <c r="G65" s="15" t="str">
        <f>VLOOKUP(B65,Mapping!A:F,6,0)</f>
        <v>Ashish</v>
      </c>
      <c r="H65" s="23"/>
      <c r="I65" s="23"/>
      <c r="J65" s="23"/>
      <c r="K65" s="23"/>
      <c r="L65" s="23"/>
      <c r="M65" s="23"/>
      <c r="N65" s="23"/>
      <c r="O65" s="23"/>
      <c r="P65" s="23"/>
      <c r="Q65" s="24"/>
      <c r="R65" s="24"/>
      <c r="S65" s="24"/>
      <c r="T65" s="4"/>
    </row>
    <row r="66" spans="1:20" x14ac:dyDescent="0.35">
      <c r="A66" s="15" t="s">
        <v>115</v>
      </c>
      <c r="B66" s="1" t="s">
        <v>86</v>
      </c>
      <c r="C66" s="15" t="str">
        <f>VLOOKUP(B66,Mapping!A:B,2,0)</f>
        <v>Lateral</v>
      </c>
      <c r="D66" s="15" t="str">
        <f>VLOOKUP(B66,Mapping!A:C,3,0)</f>
        <v>New Sales</v>
      </c>
      <c r="E66" s="15" t="str">
        <f>VLOOKUP(B66,Mapping!A:D,4,0)</f>
        <v>New Sales</v>
      </c>
      <c r="F66" s="15" t="str">
        <f>VLOOKUP(B66,Mapping!A:E,5,0)</f>
        <v>Nizar</v>
      </c>
      <c r="G66" s="15" t="str">
        <f>VLOOKUP(B66,Mapping!A:F,6,0)</f>
        <v>Nizar</v>
      </c>
      <c r="H66" s="23"/>
      <c r="I66" s="23"/>
      <c r="J66" s="23"/>
      <c r="K66" s="23"/>
      <c r="L66" s="23"/>
      <c r="M66" s="23"/>
      <c r="N66" s="23"/>
      <c r="O66" s="23"/>
      <c r="P66" s="23"/>
      <c r="Q66" s="24"/>
      <c r="R66" s="24"/>
      <c r="S66" s="24"/>
      <c r="T66" s="4"/>
    </row>
    <row r="67" spans="1:20" x14ac:dyDescent="0.35">
      <c r="A67" s="15" t="s">
        <v>115</v>
      </c>
      <c r="B67" s="1" t="s">
        <v>89</v>
      </c>
      <c r="C67" s="15" t="str">
        <f>VLOOKUP(B67,Mapping!A:B,2,0)</f>
        <v>Lateral</v>
      </c>
      <c r="D67" s="15" t="str">
        <f>VLOOKUP(B67,Mapping!A:C,3,0)</f>
        <v>North</v>
      </c>
      <c r="E67" s="15" t="str">
        <f>VLOOKUP(B67,Mapping!A:D,4,0)</f>
        <v>North</v>
      </c>
      <c r="F67" s="15" t="str">
        <f>VLOOKUP(B67,Mapping!A:E,5,0)</f>
        <v>Anjli</v>
      </c>
      <c r="G67" s="15" t="str">
        <f>VLOOKUP(B67,Mapping!A:F,6,0)</f>
        <v>Archana</v>
      </c>
      <c r="H67" s="23"/>
      <c r="I67" s="23"/>
      <c r="J67" s="23"/>
      <c r="K67" s="23"/>
      <c r="L67" s="23"/>
      <c r="M67" s="23"/>
      <c r="N67" s="23"/>
      <c r="O67" s="23"/>
      <c r="P67" s="23"/>
      <c r="Q67" s="24"/>
      <c r="R67" s="24"/>
      <c r="S67" s="24"/>
      <c r="T67" s="4"/>
    </row>
    <row r="68" spans="1:20" x14ac:dyDescent="0.35">
      <c r="A68" s="15" t="s">
        <v>115</v>
      </c>
      <c r="B68" s="1" t="s">
        <v>91</v>
      </c>
      <c r="C68" s="15" t="str">
        <f>VLOOKUP(B68,Mapping!A:B,2,0)</f>
        <v>Lateral</v>
      </c>
      <c r="D68" s="15" t="str">
        <f>VLOOKUP(B68,Mapping!A:C,3,0)</f>
        <v>North</v>
      </c>
      <c r="E68" s="15" t="str">
        <f>VLOOKUP(B68,Mapping!A:D,4,0)</f>
        <v>North</v>
      </c>
      <c r="F68" s="15" t="str">
        <f>VLOOKUP(B68,Mapping!A:E,5,0)</f>
        <v>Anjli</v>
      </c>
      <c r="G68" s="15" t="str">
        <f>VLOOKUP(B68,Mapping!A:F,6,0)</f>
        <v>Archana</v>
      </c>
      <c r="H68" s="23"/>
      <c r="I68" s="23"/>
      <c r="J68" s="23"/>
      <c r="K68" s="23"/>
      <c r="L68" s="23"/>
      <c r="M68" s="23"/>
      <c r="N68" s="23"/>
      <c r="O68" s="23"/>
      <c r="P68" s="23"/>
      <c r="Q68" s="24"/>
      <c r="R68" s="24"/>
      <c r="S68" s="24"/>
      <c r="T68" s="4"/>
    </row>
    <row r="69" spans="1:20" x14ac:dyDescent="0.35">
      <c r="A69" s="15" t="s">
        <v>115</v>
      </c>
      <c r="B69" s="1" t="s">
        <v>131</v>
      </c>
      <c r="C69" s="15" t="str">
        <f>VLOOKUP(B69,Mapping!A:B,2,0)</f>
        <v>Lateral</v>
      </c>
      <c r="D69" s="15" t="str">
        <f>VLOOKUP(B69,Mapping!A:C,3,0)</f>
        <v>West</v>
      </c>
      <c r="E69" s="15" t="str">
        <f>VLOOKUP(B69,Mapping!A:D,4,0)</f>
        <v>West 1</v>
      </c>
      <c r="F69" s="15" t="str">
        <f>VLOOKUP(B69,Mapping!A:E,5,0)</f>
        <v>Anjli</v>
      </c>
      <c r="G69" s="15" t="str">
        <f>VLOOKUP(B69,Mapping!A:F,6,0)</f>
        <v>Anjli</v>
      </c>
      <c r="H69" s="23"/>
      <c r="I69" s="23"/>
      <c r="J69" s="23"/>
      <c r="K69" s="23"/>
      <c r="L69" s="23"/>
      <c r="M69" s="23"/>
      <c r="N69" s="23"/>
      <c r="O69" s="23"/>
      <c r="P69" s="23"/>
      <c r="Q69" s="24"/>
      <c r="R69" s="24"/>
      <c r="S69" s="24"/>
      <c r="T69" s="4"/>
    </row>
    <row r="70" spans="1:20" x14ac:dyDescent="0.35">
      <c r="A70" s="15" t="s">
        <v>115</v>
      </c>
      <c r="B70" s="1" t="s">
        <v>93</v>
      </c>
      <c r="C70" s="15" t="str">
        <f>VLOOKUP(B70,Mapping!A:B,2,0)</f>
        <v>Lateral</v>
      </c>
      <c r="D70" s="15" t="str">
        <f>VLOOKUP(B70,Mapping!A:C,3,0)</f>
        <v>West</v>
      </c>
      <c r="E70" s="15" t="str">
        <f>VLOOKUP(B70,Mapping!A:D,4,0)</f>
        <v>West 1</v>
      </c>
      <c r="F70" s="15" t="str">
        <f>VLOOKUP(B70,Mapping!A:E,5,0)</f>
        <v>Anjli</v>
      </c>
      <c r="G70" s="15" t="str">
        <f>VLOOKUP(B70,Mapping!A:F,6,0)</f>
        <v>Geetu</v>
      </c>
      <c r="H70" s="23"/>
      <c r="I70" s="23"/>
      <c r="J70" s="23"/>
      <c r="K70" s="23"/>
      <c r="L70" s="23"/>
      <c r="M70" s="23"/>
      <c r="N70" s="23"/>
      <c r="O70" s="23"/>
      <c r="P70" s="23"/>
      <c r="Q70" s="24"/>
      <c r="R70" s="24"/>
      <c r="S70" s="24"/>
      <c r="T70" s="4"/>
    </row>
    <row r="71" spans="1:20" x14ac:dyDescent="0.35">
      <c r="A71" s="15" t="s">
        <v>115</v>
      </c>
      <c r="B71" s="1" t="s">
        <v>94</v>
      </c>
      <c r="C71" s="15" t="str">
        <f>VLOOKUP(B71,Mapping!A:B,2,0)</f>
        <v>Lateral</v>
      </c>
      <c r="D71" s="15" t="str">
        <f>VLOOKUP(B71,Mapping!A:C,3,0)</f>
        <v>West</v>
      </c>
      <c r="E71" s="15" t="str">
        <f>VLOOKUP(B71,Mapping!A:D,4,0)</f>
        <v>West 1</v>
      </c>
      <c r="F71" s="15" t="str">
        <f>VLOOKUP(B71,Mapping!A:E,5,0)</f>
        <v>Anjli</v>
      </c>
      <c r="G71" s="15" t="str">
        <f>VLOOKUP(B71,Mapping!A:F,6,0)</f>
        <v>Archana</v>
      </c>
      <c r="H71" s="23"/>
      <c r="I71" s="23"/>
      <c r="J71" s="23"/>
      <c r="K71" s="23"/>
      <c r="L71" s="23"/>
      <c r="M71" s="23"/>
      <c r="N71" s="23"/>
      <c r="O71" s="23"/>
      <c r="P71" s="23"/>
      <c r="Q71" s="24"/>
      <c r="R71" s="24"/>
      <c r="S71" s="24"/>
      <c r="T71" s="4"/>
    </row>
    <row r="72" spans="1:20" x14ac:dyDescent="0.35">
      <c r="A72" s="15" t="s">
        <v>115</v>
      </c>
      <c r="B72" s="1" t="s">
        <v>95</v>
      </c>
      <c r="C72" s="15" t="str">
        <f>VLOOKUP(B72,Mapping!A:B,2,0)</f>
        <v>Lateral</v>
      </c>
      <c r="D72" s="15" t="str">
        <f>VLOOKUP(B72,Mapping!A:C,3,0)</f>
        <v>South</v>
      </c>
      <c r="E72" s="15" t="str">
        <f>VLOOKUP(B72,Mapping!A:D,4,0)</f>
        <v>South 2</v>
      </c>
      <c r="F72" s="15" t="str">
        <f>VLOOKUP(B72,Mapping!A:E,5,0)</f>
        <v>Sulabh</v>
      </c>
      <c r="G72" s="15" t="str">
        <f>VLOOKUP(B72,Mapping!A:F,6,0)</f>
        <v>Lekhana</v>
      </c>
      <c r="H72" s="23"/>
      <c r="I72" s="23"/>
      <c r="J72" s="23"/>
      <c r="K72" s="23"/>
      <c r="L72" s="23"/>
      <c r="M72" s="23"/>
      <c r="N72" s="23"/>
      <c r="O72" s="23"/>
      <c r="P72" s="23"/>
      <c r="Q72" s="24"/>
      <c r="R72" s="24"/>
      <c r="S72" s="24"/>
      <c r="T72" s="4"/>
    </row>
    <row r="73" spans="1:20" x14ac:dyDescent="0.35">
      <c r="A73" s="15" t="s">
        <v>115</v>
      </c>
      <c r="B73" s="1" t="s">
        <v>97</v>
      </c>
      <c r="C73" s="15" t="str">
        <f>VLOOKUP(B73,Mapping!A:B,2,0)</f>
        <v>Lateral</v>
      </c>
      <c r="D73" s="15" t="str">
        <f>VLOOKUP(B73,Mapping!A:C,3,0)</f>
        <v>South</v>
      </c>
      <c r="E73" s="15" t="str">
        <f>VLOOKUP(B73,Mapping!A:D,4,0)</f>
        <v>South 2</v>
      </c>
      <c r="F73" s="15" t="str">
        <f>VLOOKUP(B73,Mapping!A:E,5,0)</f>
        <v>Sulabh</v>
      </c>
      <c r="G73" s="15" t="str">
        <f>VLOOKUP(B73,Mapping!A:F,6,0)</f>
        <v>Satya</v>
      </c>
      <c r="H73" s="23"/>
      <c r="I73" s="23"/>
      <c r="J73" s="23"/>
      <c r="K73" s="23"/>
      <c r="L73" s="23"/>
      <c r="M73" s="23"/>
      <c r="N73" s="23"/>
      <c r="O73" s="23"/>
      <c r="P73" s="23"/>
      <c r="Q73" s="24"/>
      <c r="R73" s="24"/>
      <c r="S73" s="24"/>
      <c r="T73" s="4"/>
    </row>
    <row r="74" spans="1:20" x14ac:dyDescent="0.35">
      <c r="A74" s="15" t="s">
        <v>115</v>
      </c>
      <c r="B74" s="1" t="s">
        <v>98</v>
      </c>
      <c r="C74" s="15" t="str">
        <f>VLOOKUP(B74,Mapping!A:B,2,0)</f>
        <v>Lateral</v>
      </c>
      <c r="D74" s="15" t="str">
        <f>VLOOKUP(B74,Mapping!A:C,3,0)</f>
        <v>West</v>
      </c>
      <c r="E74" s="15" t="str">
        <f>VLOOKUP(B74,Mapping!A:D,4,0)</f>
        <v>West 1</v>
      </c>
      <c r="F74" s="15" t="str">
        <f>VLOOKUP(B74,Mapping!A:E,5,0)</f>
        <v>Anjli</v>
      </c>
      <c r="G74" s="15" t="str">
        <f>VLOOKUP(B74,Mapping!A:F,6,0)</f>
        <v>Anjli</v>
      </c>
      <c r="H74" s="23"/>
      <c r="I74" s="23"/>
      <c r="J74" s="23"/>
      <c r="K74" s="23"/>
      <c r="L74" s="23"/>
      <c r="M74" s="23"/>
      <c r="N74" s="23"/>
      <c r="O74" s="23"/>
      <c r="P74" s="23"/>
      <c r="Q74" s="24"/>
      <c r="R74" s="24"/>
      <c r="S74" s="24"/>
      <c r="T74" s="4"/>
    </row>
    <row r="75" spans="1:20" x14ac:dyDescent="0.35">
      <c r="A75" s="15" t="s">
        <v>115</v>
      </c>
      <c r="B75" s="1" t="s">
        <v>130</v>
      </c>
      <c r="C75" s="15" t="str">
        <f>VLOOKUP(B75,Mapping!A:B,2,0)</f>
        <v>Lateral</v>
      </c>
      <c r="D75" s="15" t="str">
        <f>VLOOKUP(B75,Mapping!A:C,3,0)</f>
        <v>West</v>
      </c>
      <c r="E75" s="15" t="str">
        <f>VLOOKUP(B75,Mapping!A:D,4,0)</f>
        <v>West 1</v>
      </c>
      <c r="F75" s="15" t="str">
        <f>VLOOKUP(B75,Mapping!A:E,5,0)</f>
        <v>Anjli</v>
      </c>
      <c r="G75" s="15" t="str">
        <f>VLOOKUP(B75,Mapping!A:F,6,0)</f>
        <v>Anjli</v>
      </c>
      <c r="H75" s="23"/>
      <c r="I75" s="23"/>
      <c r="J75" s="23"/>
      <c r="K75" s="23"/>
      <c r="L75" s="23"/>
      <c r="M75" s="23"/>
      <c r="N75" s="23"/>
      <c r="O75" s="23"/>
      <c r="P75" s="23"/>
      <c r="Q75" s="24"/>
      <c r="R75" s="24"/>
      <c r="S75" s="24"/>
      <c r="T75" s="4"/>
    </row>
    <row r="76" spans="1:20" x14ac:dyDescent="0.35">
      <c r="A76" s="15" t="s">
        <v>115</v>
      </c>
      <c r="B76" s="1" t="s">
        <v>100</v>
      </c>
      <c r="C76" s="15" t="str">
        <f>VLOOKUP(B76,Mapping!A:B,2,0)</f>
        <v>Lateral</v>
      </c>
      <c r="D76" s="15" t="str">
        <f>VLOOKUP(B76,Mapping!A:C,3,0)</f>
        <v>West</v>
      </c>
      <c r="E76" s="15" t="str">
        <f>VLOOKUP(B76,Mapping!A:D,4,0)</f>
        <v>West 1</v>
      </c>
      <c r="F76" s="15" t="str">
        <f>VLOOKUP(B76,Mapping!A:E,5,0)</f>
        <v>Anjli</v>
      </c>
      <c r="G76" s="15" t="str">
        <f>VLOOKUP(B76,Mapping!A:F,6,0)</f>
        <v>Anjli</v>
      </c>
      <c r="H76" s="23"/>
      <c r="I76" s="23"/>
      <c r="J76" s="23"/>
      <c r="K76" s="23"/>
      <c r="L76" s="23"/>
      <c r="M76" s="23"/>
      <c r="N76" s="23"/>
      <c r="O76" s="23"/>
      <c r="P76" s="23"/>
      <c r="Q76" s="24"/>
      <c r="R76" s="24"/>
      <c r="S76" s="24"/>
      <c r="T76" s="4"/>
    </row>
  </sheetData>
  <conditionalFormatting sqref="A1:B1 I1:S1 E1:G1">
    <cfRule type="duplicateValues" dxfId="52" priority="1"/>
  </conditionalFormatting>
  <conditionalFormatting sqref="B51:B73 B2:B41">
    <cfRule type="duplicateValues" dxfId="51" priority="2"/>
  </conditionalFormatting>
  <conditionalFormatting sqref="B74:B76 B42:B50">
    <cfRule type="duplicateValues" dxfId="50" priority="3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1AFF9-3898-4C0A-87D1-1B671435CC95}">
  <sheetPr codeName="Sheet9">
    <tabColor rgb="FF92D050"/>
  </sheetPr>
  <dimension ref="A1:T76"/>
  <sheetViews>
    <sheetView topLeftCell="C1" workbookViewId="0">
      <selection activeCell="H2" sqref="H2:S76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2.1796875" bestFit="1" customWidth="1"/>
    <col min="7" max="7" width="13.1796875" bestFit="1" customWidth="1"/>
    <col min="8" max="8" width="6.81640625" bestFit="1" customWidth="1"/>
    <col min="9" max="9" width="7.453125" bestFit="1" customWidth="1"/>
    <col min="10" max="10" width="6.7265625" bestFit="1" customWidth="1"/>
    <col min="11" max="11" width="6.1796875" bestFit="1" customWidth="1"/>
    <col min="12" max="12" width="7.1796875" bestFit="1" customWidth="1"/>
    <col min="13" max="13" width="7" bestFit="1" customWidth="1"/>
    <col min="14" max="14" width="6.7265625" bestFit="1" customWidth="1"/>
    <col min="15" max="15" width="7.26953125" bestFit="1" customWidth="1"/>
    <col min="16" max="16" width="7" bestFit="1" customWidth="1"/>
    <col min="17" max="17" width="6.54296875" bestFit="1" customWidth="1"/>
    <col min="18" max="18" width="7" bestFit="1" customWidth="1"/>
    <col min="19" max="19" width="7.1796875" bestFit="1" customWidth="1"/>
  </cols>
  <sheetData>
    <row r="1" spans="1:20" x14ac:dyDescent="0.35">
      <c r="A1" s="13" t="str">
        <f>Revenue_Budget!A2</f>
        <v>FY</v>
      </c>
      <c r="B1" s="13" t="str">
        <f>Revenue_Budget!B2</f>
        <v>Project</v>
      </c>
      <c r="C1" s="13" t="str">
        <f>Revenue_Budget!C2</f>
        <v>Vertical</v>
      </c>
      <c r="D1" s="13" t="str">
        <f>Revenue_Budget!D2</f>
        <v>Region</v>
      </c>
      <c r="E1" s="13" t="str">
        <f>Revenue_Budget!E2</f>
        <v>Sub Region</v>
      </c>
      <c r="F1" s="13" t="str">
        <f>Revenue_Budget!F2</f>
        <v>Region Head</v>
      </c>
      <c r="G1" s="13" t="str">
        <f>Revenue_Budget!G2</f>
        <v>Practice Head</v>
      </c>
      <c r="H1" s="14">
        <f>Revenue_Budget!H2</f>
        <v>46113</v>
      </c>
      <c r="I1" s="14">
        <f>Revenue_Budget!I2</f>
        <v>46143</v>
      </c>
      <c r="J1" s="14">
        <f>Revenue_Budget!J2</f>
        <v>46174</v>
      </c>
      <c r="K1" s="14">
        <f>Revenue_Budget!K2</f>
        <v>46204</v>
      </c>
      <c r="L1" s="14">
        <f>Revenue_Budget!L2</f>
        <v>46235</v>
      </c>
      <c r="M1" s="14">
        <f>Revenue_Budget!M2</f>
        <v>46266</v>
      </c>
      <c r="N1" s="14">
        <f>Revenue_Budget!N2</f>
        <v>46296</v>
      </c>
      <c r="O1" s="14">
        <f>Revenue_Budget!O2</f>
        <v>46327</v>
      </c>
      <c r="P1" s="14">
        <f>Revenue_Budget!P2</f>
        <v>46357</v>
      </c>
      <c r="Q1" s="14">
        <f>Revenue_Budget!Q2</f>
        <v>46388</v>
      </c>
      <c r="R1" s="14">
        <f>Revenue_Budget!R2</f>
        <v>46419</v>
      </c>
      <c r="S1" s="14">
        <f>Revenue_Budget!S2</f>
        <v>46447</v>
      </c>
    </row>
    <row r="2" spans="1:20" x14ac:dyDescent="0.35">
      <c r="A2" s="16" t="s">
        <v>115</v>
      </c>
      <c r="B2" s="1" t="s">
        <v>2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7"/>
      <c r="I2" s="7"/>
      <c r="J2" s="7"/>
      <c r="K2" s="7"/>
      <c r="L2" s="7"/>
      <c r="M2" s="7"/>
      <c r="N2" s="7"/>
      <c r="O2" s="7"/>
      <c r="P2" s="7"/>
      <c r="Q2" s="2"/>
      <c r="R2" s="2"/>
      <c r="S2" s="2"/>
      <c r="T2" s="4"/>
    </row>
    <row r="3" spans="1:20" x14ac:dyDescent="0.35">
      <c r="A3" s="16" t="s">
        <v>115</v>
      </c>
      <c r="B3" s="1" t="s">
        <v>4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7"/>
      <c r="I3" s="7"/>
      <c r="J3" s="7"/>
      <c r="K3" s="7"/>
      <c r="L3" s="7"/>
      <c r="M3" s="7"/>
      <c r="N3" s="7"/>
      <c r="O3" s="7"/>
      <c r="P3" s="7"/>
      <c r="Q3" s="2"/>
      <c r="R3" s="2"/>
      <c r="S3" s="2"/>
      <c r="T3" s="4"/>
    </row>
    <row r="4" spans="1:20" x14ac:dyDescent="0.35">
      <c r="A4" s="16" t="s">
        <v>115</v>
      </c>
      <c r="B4" s="1" t="s">
        <v>8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7"/>
      <c r="I4" s="7"/>
      <c r="J4" s="7"/>
      <c r="K4" s="7"/>
      <c r="L4" s="7"/>
      <c r="M4" s="7"/>
      <c r="N4" s="7"/>
      <c r="O4" s="7"/>
      <c r="P4" s="7"/>
      <c r="Q4" s="2"/>
      <c r="R4" s="2"/>
      <c r="S4" s="2"/>
      <c r="T4" s="4"/>
    </row>
    <row r="5" spans="1:20" x14ac:dyDescent="0.35">
      <c r="A5" s="16" t="s">
        <v>115</v>
      </c>
      <c r="B5" s="1" t="s">
        <v>10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7"/>
      <c r="I5" s="7"/>
      <c r="J5" s="7"/>
      <c r="K5" s="7"/>
      <c r="L5" s="7"/>
      <c r="M5" s="7"/>
      <c r="N5" s="7"/>
      <c r="O5" s="7"/>
      <c r="P5" s="7"/>
      <c r="Q5" s="2"/>
      <c r="R5" s="2"/>
      <c r="S5" s="2"/>
      <c r="T5" s="4"/>
    </row>
    <row r="6" spans="1:20" x14ac:dyDescent="0.35">
      <c r="A6" s="16" t="s">
        <v>115</v>
      </c>
      <c r="B6" s="1" t="s">
        <v>12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7"/>
      <c r="I6" s="7"/>
      <c r="J6" s="7"/>
      <c r="K6" s="7"/>
      <c r="L6" s="7"/>
      <c r="M6" s="7"/>
      <c r="N6" s="7"/>
      <c r="O6" s="7"/>
      <c r="P6" s="7"/>
      <c r="Q6" s="2"/>
      <c r="R6" s="2"/>
      <c r="S6" s="2"/>
      <c r="T6" s="4"/>
    </row>
    <row r="7" spans="1:20" x14ac:dyDescent="0.35">
      <c r="A7" s="16" t="s">
        <v>115</v>
      </c>
      <c r="B7" s="1" t="s">
        <v>16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7"/>
      <c r="I7" s="7"/>
      <c r="J7" s="7"/>
      <c r="K7" s="7"/>
      <c r="L7" s="7"/>
      <c r="M7" s="7"/>
      <c r="N7" s="7"/>
      <c r="O7" s="7"/>
      <c r="P7" s="7"/>
      <c r="Q7" s="2"/>
      <c r="R7" s="2"/>
      <c r="S7" s="2"/>
      <c r="T7" s="4"/>
    </row>
    <row r="8" spans="1:20" x14ac:dyDescent="0.35">
      <c r="A8" s="16" t="s">
        <v>115</v>
      </c>
      <c r="B8" s="1" t="s">
        <v>17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7"/>
      <c r="I8" s="7"/>
      <c r="J8" s="7"/>
      <c r="K8" s="7"/>
      <c r="L8" s="7"/>
      <c r="M8" s="7"/>
      <c r="N8" s="7"/>
      <c r="O8" s="7"/>
      <c r="P8" s="7"/>
      <c r="Q8" s="2"/>
      <c r="R8" s="2"/>
      <c r="S8" s="2"/>
      <c r="T8" s="4"/>
    </row>
    <row r="9" spans="1:20" x14ac:dyDescent="0.35">
      <c r="A9" s="16" t="s">
        <v>115</v>
      </c>
      <c r="B9" s="1" t="s">
        <v>18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7"/>
      <c r="I9" s="7"/>
      <c r="J9" s="7"/>
      <c r="K9" s="7"/>
      <c r="L9" s="7"/>
      <c r="M9" s="7"/>
      <c r="N9" s="7"/>
      <c r="O9" s="7"/>
      <c r="P9" s="7"/>
      <c r="Q9" s="2"/>
      <c r="R9" s="2"/>
      <c r="S9" s="2"/>
      <c r="T9" s="4"/>
    </row>
    <row r="10" spans="1:20" x14ac:dyDescent="0.35">
      <c r="A10" s="16" t="s">
        <v>115</v>
      </c>
      <c r="B10" s="1" t="s">
        <v>20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7"/>
      <c r="I10" s="7"/>
      <c r="J10" s="7"/>
      <c r="K10" s="7"/>
      <c r="L10" s="7"/>
      <c r="M10" s="7"/>
      <c r="N10" s="7"/>
      <c r="O10" s="7"/>
      <c r="P10" s="7"/>
      <c r="Q10" s="2"/>
      <c r="R10" s="2"/>
      <c r="S10" s="2"/>
      <c r="T10" s="4"/>
    </row>
    <row r="11" spans="1:20" x14ac:dyDescent="0.35">
      <c r="A11" s="16" t="s">
        <v>115</v>
      </c>
      <c r="B11" s="1" t="s">
        <v>21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7"/>
      <c r="I11" s="7"/>
      <c r="J11" s="7"/>
      <c r="K11" s="7"/>
      <c r="L11" s="7"/>
      <c r="M11" s="7"/>
      <c r="N11" s="7"/>
      <c r="O11" s="7"/>
      <c r="P11" s="7"/>
      <c r="Q11" s="2"/>
      <c r="R11" s="2"/>
      <c r="S11" s="2"/>
      <c r="T11" s="4"/>
    </row>
    <row r="12" spans="1:20" x14ac:dyDescent="0.35">
      <c r="A12" s="16" t="s">
        <v>115</v>
      </c>
      <c r="B12" s="1" t="s">
        <v>23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7"/>
      <c r="I12" s="7"/>
      <c r="J12" s="7"/>
      <c r="K12" s="7"/>
      <c r="L12" s="7"/>
      <c r="M12" s="7"/>
      <c r="N12" s="7"/>
      <c r="O12" s="7"/>
      <c r="P12" s="7"/>
      <c r="Q12" s="2"/>
      <c r="R12" s="2"/>
      <c r="S12" s="2"/>
      <c r="T12" s="4"/>
    </row>
    <row r="13" spans="1:20" x14ac:dyDescent="0.35">
      <c r="A13" s="16" t="s">
        <v>115</v>
      </c>
      <c r="B13" s="1" t="s">
        <v>25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7"/>
      <c r="I13" s="7"/>
      <c r="J13" s="7"/>
      <c r="K13" s="7"/>
      <c r="L13" s="7"/>
      <c r="M13" s="7"/>
      <c r="N13" s="7"/>
      <c r="O13" s="7"/>
      <c r="P13" s="7"/>
      <c r="Q13" s="2"/>
      <c r="R13" s="2"/>
      <c r="S13" s="2"/>
      <c r="T13" s="4"/>
    </row>
    <row r="14" spans="1:20" x14ac:dyDescent="0.35">
      <c r="A14" s="16" t="s">
        <v>115</v>
      </c>
      <c r="B14" s="1" t="s">
        <v>26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7"/>
      <c r="I14" s="7"/>
      <c r="J14" s="7"/>
      <c r="K14" s="7"/>
      <c r="L14" s="7"/>
      <c r="M14" s="7"/>
      <c r="N14" s="7"/>
      <c r="O14" s="7"/>
      <c r="P14" s="7"/>
      <c r="Q14" s="2"/>
      <c r="R14" s="2"/>
      <c r="S14" s="2"/>
      <c r="T14" s="4"/>
    </row>
    <row r="15" spans="1:20" x14ac:dyDescent="0.35">
      <c r="A15" s="16" t="s">
        <v>115</v>
      </c>
      <c r="B15" s="1" t="s">
        <v>28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7"/>
      <c r="I15" s="7"/>
      <c r="J15" s="7"/>
      <c r="K15" s="7"/>
      <c r="L15" s="7"/>
      <c r="M15" s="7"/>
      <c r="N15" s="7"/>
      <c r="O15" s="7"/>
      <c r="P15" s="7"/>
      <c r="Q15" s="2"/>
      <c r="R15" s="2"/>
      <c r="S15" s="2"/>
      <c r="T15" s="4"/>
    </row>
    <row r="16" spans="1:20" x14ac:dyDescent="0.35">
      <c r="A16" s="16" t="s">
        <v>115</v>
      </c>
      <c r="B16" s="1" t="s">
        <v>29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7"/>
      <c r="I16" s="7"/>
      <c r="J16" s="7"/>
      <c r="K16" s="7"/>
      <c r="L16" s="7"/>
      <c r="M16" s="7"/>
      <c r="N16" s="7"/>
      <c r="O16" s="7"/>
      <c r="P16" s="7"/>
      <c r="Q16" s="2"/>
      <c r="R16" s="2"/>
      <c r="S16" s="2"/>
      <c r="T16" s="4"/>
    </row>
    <row r="17" spans="1:20" x14ac:dyDescent="0.35">
      <c r="A17" s="16" t="s">
        <v>115</v>
      </c>
      <c r="B17" s="1" t="s">
        <v>30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7"/>
      <c r="I17" s="7"/>
      <c r="J17" s="7"/>
      <c r="K17" s="7"/>
      <c r="L17" s="7"/>
      <c r="M17" s="7"/>
      <c r="N17" s="7"/>
      <c r="O17" s="7"/>
      <c r="P17" s="7"/>
      <c r="Q17" s="2"/>
      <c r="R17" s="2"/>
      <c r="S17" s="2"/>
      <c r="T17" s="4"/>
    </row>
    <row r="18" spans="1:20" x14ac:dyDescent="0.35">
      <c r="A18" s="16" t="s">
        <v>115</v>
      </c>
      <c r="B18" s="1" t="s">
        <v>32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7"/>
      <c r="I18" s="7"/>
      <c r="J18" s="7"/>
      <c r="K18" s="7"/>
      <c r="L18" s="7"/>
      <c r="M18" s="7"/>
      <c r="N18" s="7"/>
      <c r="O18" s="7"/>
      <c r="P18" s="7"/>
      <c r="Q18" s="2"/>
      <c r="R18" s="2"/>
      <c r="S18" s="2"/>
      <c r="T18" s="4"/>
    </row>
    <row r="19" spans="1:20" x14ac:dyDescent="0.35">
      <c r="A19" s="16" t="s">
        <v>115</v>
      </c>
      <c r="B19" s="1" t="s">
        <v>33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7"/>
      <c r="I19" s="7"/>
      <c r="J19" s="7"/>
      <c r="K19" s="7"/>
      <c r="L19" s="7"/>
      <c r="M19" s="7"/>
      <c r="N19" s="7"/>
      <c r="O19" s="7"/>
      <c r="P19" s="7"/>
      <c r="Q19" s="2"/>
      <c r="R19" s="2"/>
      <c r="S19" s="2"/>
      <c r="T19" s="4"/>
    </row>
    <row r="20" spans="1:20" x14ac:dyDescent="0.35">
      <c r="A20" s="16" t="s">
        <v>115</v>
      </c>
      <c r="B20" s="1" t="s">
        <v>34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7"/>
      <c r="I20" s="7"/>
      <c r="J20" s="7"/>
      <c r="K20" s="7"/>
      <c r="L20" s="7"/>
      <c r="M20" s="7"/>
      <c r="N20" s="7"/>
      <c r="O20" s="7"/>
      <c r="P20" s="7"/>
      <c r="Q20" s="2"/>
      <c r="R20" s="2"/>
      <c r="S20" s="2"/>
      <c r="T20" s="4"/>
    </row>
    <row r="21" spans="1:20" x14ac:dyDescent="0.35">
      <c r="A21" s="16" t="s">
        <v>115</v>
      </c>
      <c r="B21" s="1" t="s">
        <v>35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7"/>
      <c r="I21" s="7"/>
      <c r="J21" s="7"/>
      <c r="K21" s="7"/>
      <c r="L21" s="7"/>
      <c r="M21" s="7"/>
      <c r="N21" s="7"/>
      <c r="O21" s="7"/>
      <c r="P21" s="7"/>
      <c r="Q21" s="2"/>
      <c r="R21" s="2"/>
      <c r="S21" s="2"/>
      <c r="T21" s="4"/>
    </row>
    <row r="22" spans="1:20" x14ac:dyDescent="0.35">
      <c r="A22" s="16" t="s">
        <v>115</v>
      </c>
      <c r="B22" s="1" t="s">
        <v>37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7"/>
      <c r="I22" s="7"/>
      <c r="J22" s="7"/>
      <c r="K22" s="7"/>
      <c r="L22" s="7"/>
      <c r="M22" s="7"/>
      <c r="N22" s="7"/>
      <c r="O22" s="7"/>
      <c r="P22" s="7"/>
      <c r="Q22" s="2"/>
      <c r="R22" s="2"/>
      <c r="S22" s="2"/>
      <c r="T22" s="4"/>
    </row>
    <row r="23" spans="1:20" x14ac:dyDescent="0.35">
      <c r="A23" s="16" t="s">
        <v>115</v>
      </c>
      <c r="B23" s="1" t="s">
        <v>38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7"/>
      <c r="I23" s="7"/>
      <c r="J23" s="7"/>
      <c r="K23" s="7"/>
      <c r="L23" s="7"/>
      <c r="M23" s="7"/>
      <c r="N23" s="7"/>
      <c r="O23" s="7"/>
      <c r="P23" s="7"/>
      <c r="Q23" s="2"/>
      <c r="R23" s="2"/>
      <c r="S23" s="2"/>
      <c r="T23" s="4"/>
    </row>
    <row r="24" spans="1:20" x14ac:dyDescent="0.35">
      <c r="A24" s="16" t="s">
        <v>115</v>
      </c>
      <c r="B24" s="1" t="s">
        <v>39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7"/>
      <c r="I24" s="7"/>
      <c r="J24" s="7"/>
      <c r="K24" s="7"/>
      <c r="L24" s="7"/>
      <c r="M24" s="7"/>
      <c r="N24" s="7"/>
      <c r="O24" s="7"/>
      <c r="P24" s="7"/>
      <c r="Q24" s="2"/>
      <c r="R24" s="2"/>
      <c r="S24" s="2"/>
      <c r="T24" s="4"/>
    </row>
    <row r="25" spans="1:20" x14ac:dyDescent="0.35">
      <c r="A25" s="16" t="s">
        <v>115</v>
      </c>
      <c r="B25" s="1" t="s">
        <v>40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7"/>
      <c r="I25" s="7"/>
      <c r="J25" s="7"/>
      <c r="K25" s="7"/>
      <c r="L25" s="7"/>
      <c r="M25" s="7"/>
      <c r="N25" s="7"/>
      <c r="O25" s="7"/>
      <c r="P25" s="7"/>
      <c r="Q25" s="2"/>
      <c r="R25" s="2"/>
      <c r="S25" s="2"/>
      <c r="T25" s="4"/>
    </row>
    <row r="26" spans="1:20" x14ac:dyDescent="0.35">
      <c r="A26" s="16" t="s">
        <v>115</v>
      </c>
      <c r="B26" s="1" t="s">
        <v>41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7"/>
      <c r="I26" s="7"/>
      <c r="J26" s="7"/>
      <c r="K26" s="7"/>
      <c r="L26" s="7"/>
      <c r="M26" s="7"/>
      <c r="N26" s="7"/>
      <c r="O26" s="7"/>
      <c r="P26" s="7"/>
      <c r="Q26" s="2"/>
      <c r="R26" s="2"/>
      <c r="S26" s="2"/>
      <c r="T26" s="4"/>
    </row>
    <row r="27" spans="1:20" x14ac:dyDescent="0.35">
      <c r="A27" s="16" t="s">
        <v>115</v>
      </c>
      <c r="B27" s="1" t="s">
        <v>42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7"/>
      <c r="I27" s="7"/>
      <c r="J27" s="7"/>
      <c r="K27" s="7"/>
      <c r="L27" s="7"/>
      <c r="M27" s="7"/>
      <c r="N27" s="7"/>
      <c r="O27" s="7"/>
      <c r="P27" s="7"/>
      <c r="Q27" s="2"/>
      <c r="R27" s="2"/>
      <c r="S27" s="2"/>
      <c r="T27" s="4"/>
    </row>
    <row r="28" spans="1:20" x14ac:dyDescent="0.35">
      <c r="A28" s="16" t="s">
        <v>115</v>
      </c>
      <c r="B28" s="1" t="s">
        <v>43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7"/>
      <c r="I28" s="7"/>
      <c r="J28" s="7"/>
      <c r="K28" s="7"/>
      <c r="L28" s="7"/>
      <c r="M28" s="7"/>
      <c r="N28" s="7"/>
      <c r="O28" s="7"/>
      <c r="P28" s="7"/>
      <c r="Q28" s="2"/>
      <c r="R28" s="2"/>
      <c r="S28" s="2"/>
      <c r="T28" s="4"/>
    </row>
    <row r="29" spans="1:20" x14ac:dyDescent="0.35">
      <c r="A29" s="16" t="s">
        <v>115</v>
      </c>
      <c r="B29" s="1" t="s">
        <v>44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7"/>
      <c r="I29" s="7"/>
      <c r="J29" s="7"/>
      <c r="K29" s="7"/>
      <c r="L29" s="7"/>
      <c r="M29" s="7"/>
      <c r="N29" s="7"/>
      <c r="O29" s="7"/>
      <c r="P29" s="7"/>
      <c r="Q29" s="2"/>
      <c r="R29" s="2"/>
      <c r="S29" s="2"/>
      <c r="T29" s="4"/>
    </row>
    <row r="30" spans="1:20" x14ac:dyDescent="0.35">
      <c r="A30" s="16" t="s">
        <v>115</v>
      </c>
      <c r="B30" s="1" t="s">
        <v>45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7"/>
      <c r="I30" s="7"/>
      <c r="J30" s="7"/>
      <c r="K30" s="7"/>
      <c r="L30" s="7"/>
      <c r="M30" s="7"/>
      <c r="N30" s="7"/>
      <c r="O30" s="7"/>
      <c r="P30" s="7"/>
      <c r="Q30" s="2"/>
      <c r="R30" s="2"/>
      <c r="S30" s="2"/>
      <c r="T30" s="4"/>
    </row>
    <row r="31" spans="1:20" x14ac:dyDescent="0.35">
      <c r="A31" s="16" t="s">
        <v>115</v>
      </c>
      <c r="B31" s="1" t="s">
        <v>46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7"/>
      <c r="I31" s="7"/>
      <c r="J31" s="7"/>
      <c r="K31" s="7"/>
      <c r="L31" s="7"/>
      <c r="M31" s="7"/>
      <c r="N31" s="7"/>
      <c r="O31" s="7"/>
      <c r="P31" s="7"/>
      <c r="Q31" s="2"/>
      <c r="R31" s="2"/>
      <c r="S31" s="2"/>
      <c r="T31" s="4"/>
    </row>
    <row r="32" spans="1:20" x14ac:dyDescent="0.35">
      <c r="A32" s="16" t="s">
        <v>115</v>
      </c>
      <c r="B32" s="1" t="s">
        <v>47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7"/>
      <c r="I32" s="7"/>
      <c r="J32" s="7"/>
      <c r="K32" s="7"/>
      <c r="L32" s="7"/>
      <c r="M32" s="7"/>
      <c r="N32" s="7"/>
      <c r="O32" s="7"/>
      <c r="P32" s="7"/>
      <c r="Q32" s="2"/>
      <c r="R32" s="2"/>
      <c r="S32" s="2"/>
      <c r="T32" s="4"/>
    </row>
    <row r="33" spans="1:20" x14ac:dyDescent="0.35">
      <c r="A33" s="16" t="s">
        <v>115</v>
      </c>
      <c r="B33" s="1" t="s">
        <v>48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7"/>
      <c r="I33" s="7"/>
      <c r="J33" s="7"/>
      <c r="K33" s="7"/>
      <c r="L33" s="7"/>
      <c r="M33" s="7"/>
      <c r="N33" s="7"/>
      <c r="O33" s="7"/>
      <c r="P33" s="7"/>
      <c r="Q33" s="2"/>
      <c r="R33" s="2"/>
      <c r="S33" s="2"/>
      <c r="T33" s="4"/>
    </row>
    <row r="34" spans="1:20" x14ac:dyDescent="0.35">
      <c r="A34" s="16" t="s">
        <v>115</v>
      </c>
      <c r="B34" s="1" t="s">
        <v>49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7"/>
      <c r="I34" s="7"/>
      <c r="J34" s="7"/>
      <c r="K34" s="7"/>
      <c r="L34" s="7"/>
      <c r="M34" s="7"/>
      <c r="N34" s="7"/>
      <c r="O34" s="7"/>
      <c r="P34" s="7"/>
      <c r="Q34" s="2"/>
      <c r="R34" s="2"/>
      <c r="S34" s="2"/>
      <c r="T34" s="4"/>
    </row>
    <row r="35" spans="1:20" x14ac:dyDescent="0.35">
      <c r="A35" s="16" t="s">
        <v>115</v>
      </c>
      <c r="B35" s="1" t="s">
        <v>50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7"/>
      <c r="I35" s="7"/>
      <c r="J35" s="7"/>
      <c r="K35" s="7"/>
      <c r="L35" s="7"/>
      <c r="M35" s="7"/>
      <c r="N35" s="7"/>
      <c r="O35" s="7"/>
      <c r="P35" s="7"/>
      <c r="Q35" s="2"/>
      <c r="R35" s="2"/>
      <c r="S35" s="2"/>
      <c r="T35" s="4"/>
    </row>
    <row r="36" spans="1:20" x14ac:dyDescent="0.35">
      <c r="A36" s="16" t="s">
        <v>115</v>
      </c>
      <c r="B36" s="1" t="s">
        <v>51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7"/>
      <c r="I36" s="7"/>
      <c r="J36" s="7"/>
      <c r="K36" s="7"/>
      <c r="L36" s="7"/>
      <c r="M36" s="7"/>
      <c r="N36" s="7"/>
      <c r="O36" s="7"/>
      <c r="P36" s="7"/>
      <c r="Q36" s="2"/>
      <c r="R36" s="2"/>
      <c r="S36" s="2"/>
      <c r="T36" s="4"/>
    </row>
    <row r="37" spans="1:20" x14ac:dyDescent="0.35">
      <c r="A37" s="16" t="s">
        <v>115</v>
      </c>
      <c r="B37" s="1" t="s">
        <v>52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7"/>
      <c r="I37" s="7"/>
      <c r="J37" s="7"/>
      <c r="K37" s="7"/>
      <c r="L37" s="7"/>
      <c r="M37" s="7"/>
      <c r="N37" s="7"/>
      <c r="O37" s="7"/>
      <c r="P37" s="7"/>
      <c r="Q37" s="2"/>
      <c r="R37" s="2"/>
      <c r="S37" s="2"/>
      <c r="T37" s="4"/>
    </row>
    <row r="38" spans="1:20" x14ac:dyDescent="0.35">
      <c r="A38" s="16" t="s">
        <v>115</v>
      </c>
      <c r="B38" s="1" t="s">
        <v>53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7"/>
      <c r="I38" s="7"/>
      <c r="J38" s="7"/>
      <c r="K38" s="7"/>
      <c r="L38" s="7"/>
      <c r="M38" s="7"/>
      <c r="N38" s="7"/>
      <c r="O38" s="7"/>
      <c r="P38" s="7"/>
      <c r="Q38" s="2"/>
      <c r="R38" s="2"/>
      <c r="S38" s="2"/>
      <c r="T38" s="4"/>
    </row>
    <row r="39" spans="1:20" x14ac:dyDescent="0.35">
      <c r="A39" s="16" t="s">
        <v>115</v>
      </c>
      <c r="B39" s="1" t="s">
        <v>55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7"/>
      <c r="I39" s="7"/>
      <c r="J39" s="7"/>
      <c r="K39" s="7"/>
      <c r="L39" s="7"/>
      <c r="M39" s="7"/>
      <c r="N39" s="7"/>
      <c r="O39" s="7"/>
      <c r="P39" s="7"/>
      <c r="Q39" s="2"/>
      <c r="R39" s="2"/>
      <c r="S39" s="2"/>
      <c r="T39" s="4"/>
    </row>
    <row r="40" spans="1:20" x14ac:dyDescent="0.35">
      <c r="A40" s="16" t="s">
        <v>115</v>
      </c>
      <c r="B40" s="1" t="s">
        <v>56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7"/>
      <c r="I40" s="7"/>
      <c r="J40" s="7"/>
      <c r="K40" s="7"/>
      <c r="L40" s="7"/>
      <c r="M40" s="7"/>
      <c r="N40" s="7"/>
      <c r="O40" s="7"/>
      <c r="P40" s="7"/>
      <c r="Q40" s="2"/>
      <c r="R40" s="2"/>
      <c r="S40" s="2"/>
      <c r="T40" s="4"/>
    </row>
    <row r="41" spans="1:20" x14ac:dyDescent="0.35">
      <c r="A41" s="16" t="s">
        <v>115</v>
      </c>
      <c r="B41" s="1" t="s">
        <v>57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7"/>
      <c r="I41" s="7"/>
      <c r="J41" s="7"/>
      <c r="K41" s="7"/>
      <c r="L41" s="7"/>
      <c r="M41" s="7"/>
      <c r="N41" s="7"/>
      <c r="O41" s="7"/>
      <c r="P41" s="7"/>
      <c r="Q41" s="2"/>
      <c r="R41" s="2"/>
      <c r="S41" s="2"/>
      <c r="T41" s="4"/>
    </row>
    <row r="42" spans="1:20" x14ac:dyDescent="0.35">
      <c r="A42" s="16" t="s">
        <v>115</v>
      </c>
      <c r="B42" s="1" t="s">
        <v>58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7"/>
      <c r="I42" s="7"/>
      <c r="J42" s="7"/>
      <c r="K42" s="7"/>
      <c r="L42" s="7"/>
      <c r="M42" s="7"/>
      <c r="N42" s="7"/>
      <c r="O42" s="7"/>
      <c r="P42" s="7"/>
      <c r="Q42" s="2"/>
      <c r="R42" s="2"/>
      <c r="S42" s="2"/>
      <c r="T42" s="4"/>
    </row>
    <row r="43" spans="1:20" x14ac:dyDescent="0.35">
      <c r="A43" s="16" t="s">
        <v>115</v>
      </c>
      <c r="B43" s="1" t="s">
        <v>60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7"/>
      <c r="I43" s="7"/>
      <c r="J43" s="7"/>
      <c r="K43" s="7"/>
      <c r="L43" s="7"/>
      <c r="M43" s="7"/>
      <c r="N43" s="7"/>
      <c r="O43" s="7"/>
      <c r="P43" s="7"/>
      <c r="Q43" s="2"/>
      <c r="R43" s="2"/>
      <c r="S43" s="2"/>
      <c r="T43" s="4"/>
    </row>
    <row r="44" spans="1:20" x14ac:dyDescent="0.35">
      <c r="A44" s="16" t="s">
        <v>115</v>
      </c>
      <c r="B44" s="1" t="s">
        <v>61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7"/>
      <c r="I44" s="7"/>
      <c r="J44" s="7"/>
      <c r="K44" s="7"/>
      <c r="L44" s="7"/>
      <c r="M44" s="7"/>
      <c r="N44" s="7"/>
      <c r="O44" s="7"/>
      <c r="P44" s="7"/>
      <c r="Q44" s="2"/>
      <c r="R44" s="2"/>
      <c r="S44" s="2"/>
      <c r="T44" s="4"/>
    </row>
    <row r="45" spans="1:20" x14ac:dyDescent="0.35">
      <c r="A45" s="16" t="s">
        <v>115</v>
      </c>
      <c r="B45" s="1" t="s">
        <v>62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7"/>
      <c r="I45" s="7"/>
      <c r="J45" s="7"/>
      <c r="K45" s="7"/>
      <c r="L45" s="7"/>
      <c r="M45" s="7"/>
      <c r="N45" s="7"/>
      <c r="O45" s="7"/>
      <c r="P45" s="7"/>
      <c r="Q45" s="2"/>
      <c r="R45" s="2"/>
      <c r="S45" s="2"/>
      <c r="T45" s="4"/>
    </row>
    <row r="46" spans="1:20" x14ac:dyDescent="0.35">
      <c r="A46" s="16" t="s">
        <v>115</v>
      </c>
      <c r="B46" s="1" t="s">
        <v>63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7"/>
      <c r="I46" s="7"/>
      <c r="J46" s="7"/>
      <c r="K46" s="7"/>
      <c r="L46" s="7"/>
      <c r="M46" s="7"/>
      <c r="N46" s="7"/>
      <c r="O46" s="7"/>
      <c r="P46" s="7"/>
      <c r="Q46" s="2"/>
      <c r="R46" s="2"/>
      <c r="S46" s="2"/>
      <c r="T46" s="4"/>
    </row>
    <row r="47" spans="1:20" x14ac:dyDescent="0.35">
      <c r="A47" s="16" t="s">
        <v>115</v>
      </c>
      <c r="B47" s="1" t="s">
        <v>64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7"/>
      <c r="I47" s="7"/>
      <c r="J47" s="7"/>
      <c r="K47" s="7"/>
      <c r="L47" s="7"/>
      <c r="M47" s="7"/>
      <c r="N47" s="7"/>
      <c r="O47" s="7"/>
      <c r="P47" s="7"/>
      <c r="Q47" s="2"/>
      <c r="R47" s="2"/>
      <c r="S47" s="2"/>
      <c r="T47" s="4"/>
    </row>
    <row r="48" spans="1:20" x14ac:dyDescent="0.35">
      <c r="A48" s="16" t="s">
        <v>115</v>
      </c>
      <c r="B48" s="1" t="s">
        <v>65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7"/>
      <c r="I48" s="7"/>
      <c r="J48" s="7"/>
      <c r="K48" s="7"/>
      <c r="L48" s="7"/>
      <c r="M48" s="7"/>
      <c r="N48" s="7"/>
      <c r="O48" s="7"/>
      <c r="P48" s="7"/>
      <c r="Q48" s="2"/>
      <c r="R48" s="2"/>
      <c r="S48" s="2"/>
      <c r="T48" s="4"/>
    </row>
    <row r="49" spans="1:20" x14ac:dyDescent="0.35">
      <c r="A49" s="16" t="s">
        <v>115</v>
      </c>
      <c r="B49" s="1" t="s">
        <v>66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7"/>
      <c r="I49" s="7"/>
      <c r="J49" s="7"/>
      <c r="K49" s="7"/>
      <c r="L49" s="7"/>
      <c r="M49" s="7"/>
      <c r="N49" s="7"/>
      <c r="O49" s="7"/>
      <c r="P49" s="7"/>
      <c r="Q49" s="2"/>
      <c r="R49" s="2"/>
      <c r="S49" s="2"/>
      <c r="T49" s="4"/>
    </row>
    <row r="50" spans="1:20" x14ac:dyDescent="0.35">
      <c r="A50" s="16" t="s">
        <v>115</v>
      </c>
      <c r="B50" s="1" t="s">
        <v>68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7"/>
      <c r="I50" s="7"/>
      <c r="J50" s="7"/>
      <c r="K50" s="7"/>
      <c r="L50" s="7"/>
      <c r="M50" s="7"/>
      <c r="N50" s="7"/>
      <c r="O50" s="7"/>
      <c r="P50" s="7"/>
      <c r="Q50" s="2"/>
      <c r="R50" s="2"/>
      <c r="S50" s="2"/>
      <c r="T50" s="4"/>
    </row>
    <row r="51" spans="1:20" x14ac:dyDescent="0.35">
      <c r="A51" s="16" t="s">
        <v>115</v>
      </c>
      <c r="B51" s="1" t="s">
        <v>69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7"/>
      <c r="I51" s="7"/>
      <c r="J51" s="7"/>
      <c r="K51" s="7"/>
      <c r="L51" s="7"/>
      <c r="M51" s="7"/>
      <c r="N51" s="7"/>
      <c r="O51" s="7"/>
      <c r="P51" s="7"/>
      <c r="Q51" s="2"/>
      <c r="R51" s="2"/>
      <c r="S51" s="2"/>
      <c r="T51" s="4"/>
    </row>
    <row r="52" spans="1:20" x14ac:dyDescent="0.35">
      <c r="A52" s="16" t="s">
        <v>115</v>
      </c>
      <c r="B52" s="1" t="s">
        <v>71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7"/>
      <c r="I52" s="7"/>
      <c r="J52" s="7"/>
      <c r="K52" s="7"/>
      <c r="L52" s="7"/>
      <c r="M52" s="7"/>
      <c r="N52" s="7"/>
      <c r="O52" s="7"/>
      <c r="P52" s="7"/>
      <c r="Q52" s="2"/>
      <c r="R52" s="2"/>
      <c r="S52" s="2"/>
      <c r="T52" s="4"/>
    </row>
    <row r="53" spans="1:20" x14ac:dyDescent="0.35">
      <c r="A53" s="16" t="s">
        <v>115</v>
      </c>
      <c r="B53" s="1" t="s">
        <v>72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7"/>
      <c r="I53" s="7"/>
      <c r="J53" s="7"/>
      <c r="K53" s="7"/>
      <c r="L53" s="7"/>
      <c r="M53" s="7"/>
      <c r="N53" s="7"/>
      <c r="O53" s="7"/>
      <c r="P53" s="7"/>
      <c r="Q53" s="2"/>
      <c r="R53" s="2"/>
      <c r="S53" s="2"/>
      <c r="T53" s="4"/>
    </row>
    <row r="54" spans="1:20" x14ac:dyDescent="0.35">
      <c r="A54" s="16" t="s">
        <v>115</v>
      </c>
      <c r="B54" s="1" t="s">
        <v>73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7"/>
      <c r="I54" s="7"/>
      <c r="J54" s="7"/>
      <c r="K54" s="7"/>
      <c r="L54" s="7"/>
      <c r="M54" s="7"/>
      <c r="N54" s="7"/>
      <c r="O54" s="7"/>
      <c r="P54" s="7"/>
      <c r="Q54" s="2"/>
      <c r="R54" s="2"/>
      <c r="S54" s="2"/>
      <c r="T54" s="4"/>
    </row>
    <row r="55" spans="1:20" x14ac:dyDescent="0.35">
      <c r="A55" s="16" t="s">
        <v>115</v>
      </c>
      <c r="B55" s="1" t="s">
        <v>74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7"/>
      <c r="I55" s="7"/>
      <c r="J55" s="7"/>
      <c r="K55" s="7"/>
      <c r="L55" s="7"/>
      <c r="M55" s="7"/>
      <c r="N55" s="7"/>
      <c r="O55" s="7"/>
      <c r="P55" s="7"/>
      <c r="Q55" s="2"/>
      <c r="R55" s="2"/>
      <c r="S55" s="2"/>
      <c r="T55" s="4"/>
    </row>
    <row r="56" spans="1:20" x14ac:dyDescent="0.35">
      <c r="A56" s="16" t="s">
        <v>115</v>
      </c>
      <c r="B56" s="1" t="s">
        <v>75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7"/>
      <c r="I56" s="7"/>
      <c r="J56" s="7"/>
      <c r="K56" s="7"/>
      <c r="L56" s="7"/>
      <c r="M56" s="7"/>
      <c r="N56" s="7"/>
      <c r="O56" s="7"/>
      <c r="P56" s="7"/>
      <c r="Q56" s="2"/>
      <c r="R56" s="2"/>
      <c r="S56" s="2"/>
      <c r="T56" s="4"/>
    </row>
    <row r="57" spans="1:20" x14ac:dyDescent="0.35">
      <c r="A57" s="16" t="s">
        <v>115</v>
      </c>
      <c r="B57" s="1" t="s">
        <v>76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7"/>
      <c r="I57" s="7"/>
      <c r="J57" s="7"/>
      <c r="K57" s="7"/>
      <c r="L57" s="7"/>
      <c r="M57" s="7"/>
      <c r="N57" s="7"/>
      <c r="O57" s="7"/>
      <c r="P57" s="7"/>
      <c r="Q57" s="2"/>
      <c r="R57" s="2"/>
      <c r="S57" s="2"/>
      <c r="T57" s="4"/>
    </row>
    <row r="58" spans="1:20" x14ac:dyDescent="0.35">
      <c r="A58" s="16" t="s">
        <v>115</v>
      </c>
      <c r="B58" s="1" t="s">
        <v>77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7"/>
      <c r="I58" s="7"/>
      <c r="J58" s="7"/>
      <c r="K58" s="7"/>
      <c r="L58" s="7"/>
      <c r="M58" s="7"/>
      <c r="N58" s="7"/>
      <c r="O58" s="7"/>
      <c r="P58" s="7"/>
      <c r="Q58" s="2"/>
      <c r="R58" s="2"/>
      <c r="S58" s="2"/>
      <c r="T58" s="4"/>
    </row>
    <row r="59" spans="1:20" x14ac:dyDescent="0.35">
      <c r="A59" s="16" t="s">
        <v>115</v>
      </c>
      <c r="B59" s="1" t="s">
        <v>78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7"/>
      <c r="I59" s="7"/>
      <c r="J59" s="7"/>
      <c r="K59" s="7"/>
      <c r="L59" s="7"/>
      <c r="M59" s="7"/>
      <c r="N59" s="7"/>
      <c r="O59" s="7"/>
      <c r="P59" s="7"/>
      <c r="Q59" s="2"/>
      <c r="R59" s="2"/>
      <c r="S59" s="2"/>
      <c r="T59" s="4"/>
    </row>
    <row r="60" spans="1:20" x14ac:dyDescent="0.35">
      <c r="A60" s="16" t="s">
        <v>115</v>
      </c>
      <c r="B60" s="1" t="s">
        <v>79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7"/>
      <c r="I60" s="7"/>
      <c r="J60" s="7"/>
      <c r="K60" s="7"/>
      <c r="L60" s="7"/>
      <c r="M60" s="7"/>
      <c r="N60" s="7"/>
      <c r="O60" s="7"/>
      <c r="P60" s="7"/>
      <c r="Q60" s="2"/>
      <c r="R60" s="2"/>
      <c r="S60" s="2"/>
      <c r="T60" s="4"/>
    </row>
    <row r="61" spans="1:20" x14ac:dyDescent="0.35">
      <c r="A61" s="16" t="s">
        <v>115</v>
      </c>
      <c r="B61" s="1" t="s">
        <v>80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7"/>
      <c r="I61" s="7"/>
      <c r="J61" s="7"/>
      <c r="K61" s="7"/>
      <c r="L61" s="7"/>
      <c r="M61" s="7"/>
      <c r="N61" s="7"/>
      <c r="O61" s="7"/>
      <c r="P61" s="7"/>
      <c r="Q61" s="2"/>
      <c r="R61" s="2"/>
      <c r="S61" s="2"/>
      <c r="T61" s="4"/>
    </row>
    <row r="62" spans="1:20" x14ac:dyDescent="0.35">
      <c r="A62" s="16" t="s">
        <v>115</v>
      </c>
      <c r="B62" s="1" t="s">
        <v>81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7"/>
      <c r="I62" s="7"/>
      <c r="J62" s="7"/>
      <c r="K62" s="7"/>
      <c r="L62" s="7"/>
      <c r="M62" s="7"/>
      <c r="N62" s="7"/>
      <c r="O62" s="7"/>
      <c r="P62" s="7"/>
      <c r="Q62" s="2"/>
      <c r="R62" s="2"/>
      <c r="S62" s="2"/>
      <c r="T62" s="4"/>
    </row>
    <row r="63" spans="1:20" x14ac:dyDescent="0.35">
      <c r="A63" s="16" t="s">
        <v>115</v>
      </c>
      <c r="B63" s="1" t="s">
        <v>82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7"/>
      <c r="I63" s="7"/>
      <c r="J63" s="7"/>
      <c r="K63" s="7"/>
      <c r="L63" s="7"/>
      <c r="M63" s="7"/>
      <c r="N63" s="7"/>
      <c r="O63" s="7"/>
      <c r="P63" s="7"/>
      <c r="Q63" s="2"/>
      <c r="R63" s="2"/>
      <c r="S63" s="2"/>
      <c r="T63" s="4"/>
    </row>
    <row r="64" spans="1:20" x14ac:dyDescent="0.35">
      <c r="A64" s="16" t="s">
        <v>115</v>
      </c>
      <c r="B64" s="1" t="s">
        <v>83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7"/>
      <c r="I64" s="7"/>
      <c r="J64" s="7"/>
      <c r="K64" s="7"/>
      <c r="L64" s="7"/>
      <c r="M64" s="7"/>
      <c r="N64" s="7"/>
      <c r="O64" s="7"/>
      <c r="P64" s="7"/>
      <c r="Q64" s="2"/>
      <c r="R64" s="2"/>
      <c r="S64" s="2"/>
      <c r="T64" s="4"/>
    </row>
    <row r="65" spans="1:20" x14ac:dyDescent="0.35">
      <c r="A65" s="16" t="s">
        <v>115</v>
      </c>
      <c r="B65" s="1" t="s">
        <v>84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7"/>
      <c r="I65" s="7"/>
      <c r="J65" s="7"/>
      <c r="K65" s="7"/>
      <c r="L65" s="7"/>
      <c r="M65" s="7"/>
      <c r="N65" s="7"/>
      <c r="O65" s="7"/>
      <c r="P65" s="7"/>
      <c r="Q65" s="2"/>
      <c r="R65" s="2"/>
      <c r="S65" s="2"/>
      <c r="T65" s="4"/>
    </row>
    <row r="66" spans="1:20" x14ac:dyDescent="0.35">
      <c r="A66" s="16" t="s">
        <v>115</v>
      </c>
      <c r="B66" s="1" t="s">
        <v>86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7"/>
      <c r="I66" s="7"/>
      <c r="J66" s="7"/>
      <c r="K66" s="7"/>
      <c r="L66" s="7"/>
      <c r="M66" s="7"/>
      <c r="N66" s="7"/>
      <c r="O66" s="7"/>
      <c r="P66" s="7"/>
      <c r="Q66" s="2"/>
      <c r="R66" s="2"/>
      <c r="S66" s="2"/>
      <c r="T66" s="4"/>
    </row>
    <row r="67" spans="1:20" x14ac:dyDescent="0.35">
      <c r="A67" s="16" t="s">
        <v>115</v>
      </c>
      <c r="B67" s="1" t="s">
        <v>89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7"/>
      <c r="I67" s="7"/>
      <c r="J67" s="7"/>
      <c r="K67" s="7"/>
      <c r="L67" s="7"/>
      <c r="M67" s="7"/>
      <c r="N67" s="7"/>
      <c r="O67" s="7"/>
      <c r="P67" s="7"/>
      <c r="Q67" s="2"/>
      <c r="R67" s="2"/>
      <c r="S67" s="2"/>
      <c r="T67" s="4"/>
    </row>
    <row r="68" spans="1:20" x14ac:dyDescent="0.35">
      <c r="A68" s="16" t="s">
        <v>115</v>
      </c>
      <c r="B68" s="1" t="s">
        <v>91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7"/>
      <c r="I68" s="7"/>
      <c r="J68" s="7"/>
      <c r="K68" s="7"/>
      <c r="L68" s="7"/>
      <c r="M68" s="7"/>
      <c r="N68" s="7"/>
      <c r="O68" s="7"/>
      <c r="P68" s="7"/>
      <c r="Q68" s="2"/>
      <c r="R68" s="2"/>
      <c r="S68" s="2"/>
      <c r="T68" s="4"/>
    </row>
    <row r="69" spans="1:20" x14ac:dyDescent="0.35">
      <c r="A69" s="16" t="s">
        <v>115</v>
      </c>
      <c r="B69" s="1" t="s">
        <v>92</v>
      </c>
      <c r="C69" s="15" t="e">
        <f>VLOOKUP(B69,Mapping!A:B,2,0)</f>
        <v>#N/A</v>
      </c>
      <c r="D69" s="15" t="e">
        <f>VLOOKUP(B69,Mapping!A:C,3,0)</f>
        <v>#N/A</v>
      </c>
      <c r="E69" s="16" t="e">
        <f>VLOOKUP(B69,Mapping!A:D,4,0)</f>
        <v>#N/A</v>
      </c>
      <c r="F69" s="16" t="e">
        <f>VLOOKUP(B69,Mapping!A:E,5,0)</f>
        <v>#N/A</v>
      </c>
      <c r="G69" s="16" t="e">
        <f>VLOOKUP(B69,Mapping!A:F,6,0)</f>
        <v>#N/A</v>
      </c>
      <c r="H69" s="7"/>
      <c r="I69" s="7"/>
      <c r="J69" s="7"/>
      <c r="K69" s="7"/>
      <c r="L69" s="7"/>
      <c r="M69" s="7"/>
      <c r="N69" s="7"/>
      <c r="O69" s="7"/>
      <c r="P69" s="7"/>
      <c r="Q69" s="2"/>
      <c r="R69" s="2"/>
      <c r="S69" s="2"/>
      <c r="T69" s="4"/>
    </row>
    <row r="70" spans="1:20" x14ac:dyDescent="0.35">
      <c r="A70" s="16" t="s">
        <v>115</v>
      </c>
      <c r="B70" s="1" t="s">
        <v>93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7"/>
      <c r="I70" s="7"/>
      <c r="J70" s="7"/>
      <c r="K70" s="7"/>
      <c r="L70" s="7"/>
      <c r="M70" s="7"/>
      <c r="N70" s="7"/>
      <c r="O70" s="7"/>
      <c r="P70" s="7"/>
      <c r="Q70" s="2"/>
      <c r="R70" s="2"/>
      <c r="S70" s="2"/>
      <c r="T70" s="4"/>
    </row>
    <row r="71" spans="1:20" x14ac:dyDescent="0.35">
      <c r="A71" s="16" t="s">
        <v>115</v>
      </c>
      <c r="B71" s="1" t="s">
        <v>94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7"/>
      <c r="I71" s="7"/>
      <c r="J71" s="7"/>
      <c r="K71" s="7"/>
      <c r="L71" s="7"/>
      <c r="M71" s="7"/>
      <c r="N71" s="7"/>
      <c r="O71" s="7"/>
      <c r="P71" s="7"/>
      <c r="Q71" s="2"/>
      <c r="R71" s="2"/>
      <c r="S71" s="2"/>
      <c r="T71" s="4"/>
    </row>
    <row r="72" spans="1:20" x14ac:dyDescent="0.35">
      <c r="A72" s="16" t="s">
        <v>115</v>
      </c>
      <c r="B72" s="1" t="s">
        <v>95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7"/>
      <c r="I72" s="7"/>
      <c r="J72" s="7"/>
      <c r="K72" s="7"/>
      <c r="L72" s="7"/>
      <c r="M72" s="7"/>
      <c r="N72" s="7"/>
      <c r="O72" s="7"/>
      <c r="P72" s="7"/>
      <c r="Q72" s="2"/>
      <c r="R72" s="2"/>
      <c r="S72" s="2"/>
      <c r="T72" s="4"/>
    </row>
    <row r="73" spans="1:20" x14ac:dyDescent="0.35">
      <c r="A73" s="16" t="s">
        <v>115</v>
      </c>
      <c r="B73" s="1" t="s">
        <v>97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7"/>
      <c r="I73" s="7"/>
      <c r="J73" s="7"/>
      <c r="K73" s="7"/>
      <c r="L73" s="7"/>
      <c r="M73" s="7"/>
      <c r="N73" s="7"/>
      <c r="O73" s="7"/>
      <c r="P73" s="7"/>
      <c r="Q73" s="2"/>
      <c r="R73" s="2"/>
      <c r="S73" s="2"/>
      <c r="T73" s="4"/>
    </row>
    <row r="74" spans="1:20" x14ac:dyDescent="0.35">
      <c r="A74" s="16" t="s">
        <v>115</v>
      </c>
      <c r="B74" s="1" t="s">
        <v>98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7"/>
      <c r="I74" s="7"/>
      <c r="J74" s="7"/>
      <c r="K74" s="7"/>
      <c r="L74" s="7"/>
      <c r="M74" s="7"/>
      <c r="N74" s="7"/>
      <c r="O74" s="7"/>
      <c r="P74" s="7"/>
      <c r="Q74" s="2"/>
      <c r="R74" s="2"/>
      <c r="S74" s="2"/>
      <c r="T74" s="4"/>
    </row>
    <row r="75" spans="1:20" x14ac:dyDescent="0.35">
      <c r="A75" s="16" t="s">
        <v>115</v>
      </c>
      <c r="B75" s="1" t="s">
        <v>99</v>
      </c>
      <c r="C75" s="15" t="e">
        <f>VLOOKUP(B75,Mapping!A:B,2,0)</f>
        <v>#N/A</v>
      </c>
      <c r="D75" s="15" t="e">
        <f>VLOOKUP(B75,Mapping!A:C,3,0)</f>
        <v>#N/A</v>
      </c>
      <c r="E75" s="16" t="e">
        <f>VLOOKUP(B75,Mapping!A:D,4,0)</f>
        <v>#N/A</v>
      </c>
      <c r="F75" s="16" t="e">
        <f>VLOOKUP(B75,Mapping!A:E,5,0)</f>
        <v>#N/A</v>
      </c>
      <c r="G75" s="16" t="e">
        <f>VLOOKUP(B75,Mapping!A:F,6,0)</f>
        <v>#N/A</v>
      </c>
      <c r="H75" s="7"/>
      <c r="I75" s="7"/>
      <c r="J75" s="7"/>
      <c r="K75" s="7"/>
      <c r="L75" s="7"/>
      <c r="M75" s="7"/>
      <c r="N75" s="7"/>
      <c r="O75" s="7"/>
      <c r="P75" s="7"/>
      <c r="Q75" s="2"/>
      <c r="R75" s="2"/>
      <c r="S75" s="2"/>
      <c r="T75" s="4"/>
    </row>
    <row r="76" spans="1:20" x14ac:dyDescent="0.35">
      <c r="A76" s="16" t="s">
        <v>115</v>
      </c>
      <c r="B76" s="1" t="s">
        <v>100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7"/>
      <c r="I76" s="7"/>
      <c r="J76" s="7"/>
      <c r="K76" s="7"/>
      <c r="L76" s="7"/>
      <c r="M76" s="7"/>
      <c r="N76" s="7"/>
      <c r="O76" s="7"/>
      <c r="P76" s="7"/>
      <c r="Q76" s="2"/>
      <c r="R76" s="2"/>
      <c r="S76" s="2"/>
      <c r="T76" s="4"/>
    </row>
  </sheetData>
  <conditionalFormatting sqref="A1:B1 I1:S1 E1:G1">
    <cfRule type="duplicateValues" dxfId="49" priority="1"/>
  </conditionalFormatting>
  <conditionalFormatting sqref="B51:B73 B2:B41">
    <cfRule type="duplicateValues" dxfId="48" priority="5"/>
  </conditionalFormatting>
  <conditionalFormatting sqref="B74:B76 B42:B50">
    <cfRule type="duplicateValues" dxfId="47" priority="6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4567A-73CC-4163-93E6-A91D8D372BAB}">
  <sheetPr codeName="Sheet10">
    <tabColor rgb="FF92D050"/>
  </sheetPr>
  <dimension ref="A1:T76"/>
  <sheetViews>
    <sheetView topLeftCell="C2" workbookViewId="0">
      <selection activeCell="H2" sqref="H2:S76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2.1796875" bestFit="1" customWidth="1"/>
    <col min="7" max="7" width="13.1796875" bestFit="1" customWidth="1"/>
    <col min="8" max="8" width="6.81640625" bestFit="1" customWidth="1"/>
    <col min="9" max="9" width="7.453125" bestFit="1" customWidth="1"/>
    <col min="10" max="10" width="6.7265625" bestFit="1" customWidth="1"/>
    <col min="11" max="11" width="6.1796875" bestFit="1" customWidth="1"/>
    <col min="12" max="12" width="7.1796875" bestFit="1" customWidth="1"/>
    <col min="13" max="13" width="7" bestFit="1" customWidth="1"/>
    <col min="14" max="14" width="6.7265625" bestFit="1" customWidth="1"/>
    <col min="15" max="15" width="7.26953125" bestFit="1" customWidth="1"/>
    <col min="16" max="16" width="7" bestFit="1" customWidth="1"/>
    <col min="17" max="17" width="6.54296875" bestFit="1" customWidth="1"/>
    <col min="18" max="18" width="7" bestFit="1" customWidth="1"/>
    <col min="19" max="19" width="7.1796875" bestFit="1" customWidth="1"/>
  </cols>
  <sheetData>
    <row r="1" spans="1:20" x14ac:dyDescent="0.35">
      <c r="A1" s="13" t="str">
        <f>Revenue_Budget!A2</f>
        <v>FY</v>
      </c>
      <c r="B1" s="13" t="str">
        <f>Revenue_Budget!B2</f>
        <v>Project</v>
      </c>
      <c r="C1" s="13" t="str">
        <f>Revenue_Budget!C2</f>
        <v>Vertical</v>
      </c>
      <c r="D1" s="13" t="str">
        <f>Revenue_Budget!D2</f>
        <v>Region</v>
      </c>
      <c r="E1" s="13" t="str">
        <f>Revenue_Budget!E2</f>
        <v>Sub Region</v>
      </c>
      <c r="F1" s="13" t="str">
        <f>Revenue_Budget!F2</f>
        <v>Region Head</v>
      </c>
      <c r="G1" s="13" t="str">
        <f>Revenue_Budget!G2</f>
        <v>Practice Head</v>
      </c>
      <c r="H1" s="14">
        <f>Revenue_Budget!H2</f>
        <v>46113</v>
      </c>
      <c r="I1" s="14">
        <f>Revenue_Budget!I2</f>
        <v>46143</v>
      </c>
      <c r="J1" s="14">
        <f>Revenue_Budget!J2</f>
        <v>46174</v>
      </c>
      <c r="K1" s="14">
        <f>Revenue_Budget!K2</f>
        <v>46204</v>
      </c>
      <c r="L1" s="14">
        <f>Revenue_Budget!L2</f>
        <v>46235</v>
      </c>
      <c r="M1" s="14">
        <f>Revenue_Budget!M2</f>
        <v>46266</v>
      </c>
      <c r="N1" s="14">
        <f>Revenue_Budget!N2</f>
        <v>46296</v>
      </c>
      <c r="O1" s="14">
        <f>Revenue_Budget!O2</f>
        <v>46327</v>
      </c>
      <c r="P1" s="14">
        <f>Revenue_Budget!P2</f>
        <v>46357</v>
      </c>
      <c r="Q1" s="14">
        <f>Revenue_Budget!Q2</f>
        <v>46388</v>
      </c>
      <c r="R1" s="14">
        <f>Revenue_Budget!R2</f>
        <v>46419</v>
      </c>
      <c r="S1" s="14">
        <f>Revenue_Budget!S2</f>
        <v>46447</v>
      </c>
    </row>
    <row r="2" spans="1:20" x14ac:dyDescent="0.35">
      <c r="A2" s="16" t="s">
        <v>115</v>
      </c>
      <c r="B2" s="15" t="s">
        <v>2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9"/>
      <c r="I2" s="19"/>
      <c r="J2" s="19"/>
      <c r="K2" s="19"/>
      <c r="L2" s="19"/>
      <c r="M2" s="19"/>
      <c r="N2" s="19"/>
      <c r="O2" s="19"/>
      <c r="P2" s="19"/>
      <c r="Q2" s="18"/>
      <c r="R2" s="18"/>
      <c r="S2" s="18"/>
      <c r="T2" s="4"/>
    </row>
    <row r="3" spans="1:20" x14ac:dyDescent="0.35">
      <c r="A3" s="16" t="s">
        <v>115</v>
      </c>
      <c r="B3" s="15" t="s">
        <v>4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9"/>
      <c r="I3" s="19"/>
      <c r="J3" s="19"/>
      <c r="K3" s="19"/>
      <c r="L3" s="19"/>
      <c r="M3" s="19"/>
      <c r="N3" s="19"/>
      <c r="O3" s="19"/>
      <c r="P3" s="19"/>
      <c r="Q3" s="18"/>
      <c r="R3" s="18"/>
      <c r="S3" s="18"/>
      <c r="T3" s="4"/>
    </row>
    <row r="4" spans="1:20" x14ac:dyDescent="0.35">
      <c r="A4" s="16" t="s">
        <v>115</v>
      </c>
      <c r="B4" s="15" t="s">
        <v>8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9"/>
      <c r="I4" s="19"/>
      <c r="J4" s="19"/>
      <c r="K4" s="19"/>
      <c r="L4" s="19"/>
      <c r="M4" s="19"/>
      <c r="N4" s="19"/>
      <c r="O4" s="19"/>
      <c r="P4" s="19"/>
      <c r="Q4" s="18"/>
      <c r="R4" s="18"/>
      <c r="S4" s="18"/>
      <c r="T4" s="4"/>
    </row>
    <row r="5" spans="1:20" x14ac:dyDescent="0.35">
      <c r="A5" s="16" t="s">
        <v>115</v>
      </c>
      <c r="B5" s="15" t="s">
        <v>10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9"/>
      <c r="I5" s="19"/>
      <c r="J5" s="19"/>
      <c r="K5" s="19"/>
      <c r="L5" s="19"/>
      <c r="M5" s="19"/>
      <c r="N5" s="19"/>
      <c r="O5" s="19"/>
      <c r="P5" s="19"/>
      <c r="Q5" s="18"/>
      <c r="R5" s="18"/>
      <c r="S5" s="18"/>
      <c r="T5" s="4"/>
    </row>
    <row r="6" spans="1:20" x14ac:dyDescent="0.35">
      <c r="A6" s="16" t="s">
        <v>115</v>
      </c>
      <c r="B6" s="15" t="s">
        <v>12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9"/>
      <c r="I6" s="19"/>
      <c r="J6" s="19"/>
      <c r="K6" s="19"/>
      <c r="L6" s="19"/>
      <c r="M6" s="19"/>
      <c r="N6" s="19"/>
      <c r="O6" s="19"/>
      <c r="P6" s="19"/>
      <c r="Q6" s="18"/>
      <c r="R6" s="18"/>
      <c r="S6" s="18"/>
      <c r="T6" s="4"/>
    </row>
    <row r="7" spans="1:20" x14ac:dyDescent="0.35">
      <c r="A7" s="16" t="s">
        <v>115</v>
      </c>
      <c r="B7" s="15" t="s">
        <v>16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9"/>
      <c r="I7" s="19"/>
      <c r="J7" s="19"/>
      <c r="K7" s="19"/>
      <c r="L7" s="19"/>
      <c r="M7" s="19"/>
      <c r="N7" s="19"/>
      <c r="O7" s="19"/>
      <c r="P7" s="19"/>
      <c r="Q7" s="18"/>
      <c r="R7" s="18"/>
      <c r="S7" s="18"/>
      <c r="T7" s="4"/>
    </row>
    <row r="8" spans="1:20" x14ac:dyDescent="0.35">
      <c r="A8" s="16" t="s">
        <v>115</v>
      </c>
      <c r="B8" s="15" t="s">
        <v>17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9"/>
      <c r="I8" s="19"/>
      <c r="J8" s="19"/>
      <c r="K8" s="19"/>
      <c r="L8" s="19"/>
      <c r="M8" s="19"/>
      <c r="N8" s="19"/>
      <c r="O8" s="19"/>
      <c r="P8" s="19"/>
      <c r="Q8" s="18"/>
      <c r="R8" s="18"/>
      <c r="S8" s="18"/>
      <c r="T8" s="4"/>
    </row>
    <row r="9" spans="1:20" x14ac:dyDescent="0.35">
      <c r="A9" s="16" t="s">
        <v>115</v>
      </c>
      <c r="B9" s="15" t="s">
        <v>18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9"/>
      <c r="I9" s="19"/>
      <c r="J9" s="19"/>
      <c r="K9" s="19"/>
      <c r="L9" s="19"/>
      <c r="M9" s="19"/>
      <c r="N9" s="19"/>
      <c r="O9" s="19"/>
      <c r="P9" s="19"/>
      <c r="Q9" s="18"/>
      <c r="R9" s="18"/>
      <c r="S9" s="18"/>
      <c r="T9" s="4"/>
    </row>
    <row r="10" spans="1:20" x14ac:dyDescent="0.35">
      <c r="A10" s="16" t="s">
        <v>115</v>
      </c>
      <c r="B10" s="15" t="s">
        <v>20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9"/>
      <c r="I10" s="19"/>
      <c r="J10" s="19"/>
      <c r="K10" s="19"/>
      <c r="L10" s="19"/>
      <c r="M10" s="19"/>
      <c r="N10" s="19"/>
      <c r="O10" s="19"/>
      <c r="P10" s="19"/>
      <c r="Q10" s="18"/>
      <c r="R10" s="18"/>
      <c r="S10" s="18"/>
      <c r="T10" s="4"/>
    </row>
    <row r="11" spans="1:20" x14ac:dyDescent="0.35">
      <c r="A11" s="16" t="s">
        <v>115</v>
      </c>
      <c r="B11" s="15" t="s">
        <v>21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9"/>
      <c r="I11" s="19"/>
      <c r="J11" s="19"/>
      <c r="K11" s="19"/>
      <c r="L11" s="19"/>
      <c r="M11" s="19"/>
      <c r="N11" s="19"/>
      <c r="O11" s="19"/>
      <c r="P11" s="19"/>
      <c r="Q11" s="18"/>
      <c r="R11" s="18"/>
      <c r="S11" s="18"/>
      <c r="T11" s="4"/>
    </row>
    <row r="12" spans="1:20" x14ac:dyDescent="0.35">
      <c r="A12" s="16" t="s">
        <v>115</v>
      </c>
      <c r="B12" s="15" t="s">
        <v>23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9"/>
      <c r="I12" s="19"/>
      <c r="J12" s="19"/>
      <c r="K12" s="19"/>
      <c r="L12" s="19"/>
      <c r="M12" s="19"/>
      <c r="N12" s="19"/>
      <c r="O12" s="19"/>
      <c r="P12" s="19"/>
      <c r="Q12" s="18"/>
      <c r="R12" s="18"/>
      <c r="S12" s="18"/>
      <c r="T12" s="4"/>
    </row>
    <row r="13" spans="1:20" x14ac:dyDescent="0.35">
      <c r="A13" s="16" t="s">
        <v>115</v>
      </c>
      <c r="B13" s="15" t="s">
        <v>25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9"/>
      <c r="I13" s="19"/>
      <c r="J13" s="19"/>
      <c r="K13" s="19"/>
      <c r="L13" s="19"/>
      <c r="M13" s="19"/>
      <c r="N13" s="19"/>
      <c r="O13" s="19"/>
      <c r="P13" s="19"/>
      <c r="Q13" s="18"/>
      <c r="R13" s="18"/>
      <c r="S13" s="18"/>
      <c r="T13" s="4"/>
    </row>
    <row r="14" spans="1:20" x14ac:dyDescent="0.35">
      <c r="A14" s="16" t="s">
        <v>115</v>
      </c>
      <c r="B14" s="15" t="s">
        <v>26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9"/>
      <c r="I14" s="19"/>
      <c r="J14" s="19"/>
      <c r="K14" s="19"/>
      <c r="L14" s="19"/>
      <c r="M14" s="19"/>
      <c r="N14" s="19"/>
      <c r="O14" s="19"/>
      <c r="P14" s="19"/>
      <c r="Q14" s="18"/>
      <c r="R14" s="18"/>
      <c r="S14" s="18"/>
      <c r="T14" s="4"/>
    </row>
    <row r="15" spans="1:20" x14ac:dyDescent="0.35">
      <c r="A15" s="16" t="s">
        <v>115</v>
      </c>
      <c r="B15" s="15" t="s">
        <v>28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9"/>
      <c r="I15" s="19"/>
      <c r="J15" s="19"/>
      <c r="K15" s="19"/>
      <c r="L15" s="19"/>
      <c r="M15" s="19"/>
      <c r="N15" s="19"/>
      <c r="O15" s="19"/>
      <c r="P15" s="19"/>
      <c r="Q15" s="18"/>
      <c r="R15" s="18"/>
      <c r="S15" s="18"/>
      <c r="T15" s="4"/>
    </row>
    <row r="16" spans="1:20" x14ac:dyDescent="0.35">
      <c r="A16" s="16" t="s">
        <v>115</v>
      </c>
      <c r="B16" s="15" t="s">
        <v>29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9"/>
      <c r="I16" s="19"/>
      <c r="J16" s="19"/>
      <c r="K16" s="19"/>
      <c r="L16" s="19"/>
      <c r="M16" s="19"/>
      <c r="N16" s="19"/>
      <c r="O16" s="19"/>
      <c r="P16" s="19"/>
      <c r="Q16" s="18"/>
      <c r="R16" s="18"/>
      <c r="S16" s="18"/>
      <c r="T16" s="4"/>
    </row>
    <row r="17" spans="1:20" x14ac:dyDescent="0.35">
      <c r="A17" s="16" t="s">
        <v>115</v>
      </c>
      <c r="B17" s="15" t="s">
        <v>30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9"/>
      <c r="I17" s="19"/>
      <c r="J17" s="19"/>
      <c r="K17" s="19"/>
      <c r="L17" s="19"/>
      <c r="M17" s="19"/>
      <c r="N17" s="19"/>
      <c r="O17" s="19"/>
      <c r="P17" s="19"/>
      <c r="Q17" s="18"/>
      <c r="R17" s="18"/>
      <c r="S17" s="18"/>
      <c r="T17" s="4"/>
    </row>
    <row r="18" spans="1:20" x14ac:dyDescent="0.35">
      <c r="A18" s="16" t="s">
        <v>115</v>
      </c>
      <c r="B18" s="15" t="s">
        <v>32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9"/>
      <c r="I18" s="19"/>
      <c r="J18" s="19"/>
      <c r="K18" s="19"/>
      <c r="L18" s="19"/>
      <c r="M18" s="19"/>
      <c r="N18" s="19"/>
      <c r="O18" s="19"/>
      <c r="P18" s="19"/>
      <c r="Q18" s="18"/>
      <c r="R18" s="18"/>
      <c r="S18" s="18"/>
      <c r="T18" s="4"/>
    </row>
    <row r="19" spans="1:20" x14ac:dyDescent="0.35">
      <c r="A19" s="16" t="s">
        <v>115</v>
      </c>
      <c r="B19" s="15" t="s">
        <v>33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9"/>
      <c r="I19" s="19"/>
      <c r="J19" s="19"/>
      <c r="K19" s="19"/>
      <c r="L19" s="19"/>
      <c r="M19" s="19"/>
      <c r="N19" s="19"/>
      <c r="O19" s="19"/>
      <c r="P19" s="19"/>
      <c r="Q19" s="18"/>
      <c r="R19" s="18"/>
      <c r="S19" s="18"/>
      <c r="T19" s="4"/>
    </row>
    <row r="20" spans="1:20" x14ac:dyDescent="0.35">
      <c r="A20" s="16" t="s">
        <v>115</v>
      </c>
      <c r="B20" s="15" t="s">
        <v>34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9"/>
      <c r="I20" s="19"/>
      <c r="J20" s="19"/>
      <c r="K20" s="19"/>
      <c r="L20" s="19"/>
      <c r="M20" s="19"/>
      <c r="N20" s="19"/>
      <c r="O20" s="19"/>
      <c r="P20" s="19"/>
      <c r="Q20" s="18"/>
      <c r="R20" s="18"/>
      <c r="S20" s="18"/>
      <c r="T20" s="4"/>
    </row>
    <row r="21" spans="1:20" x14ac:dyDescent="0.35">
      <c r="A21" s="16" t="s">
        <v>115</v>
      </c>
      <c r="B21" s="15" t="s">
        <v>35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9"/>
      <c r="I21" s="19"/>
      <c r="J21" s="19"/>
      <c r="K21" s="19"/>
      <c r="L21" s="19"/>
      <c r="M21" s="19"/>
      <c r="N21" s="19"/>
      <c r="O21" s="19"/>
      <c r="P21" s="19"/>
      <c r="Q21" s="18"/>
      <c r="R21" s="18"/>
      <c r="S21" s="18"/>
      <c r="T21" s="4"/>
    </row>
    <row r="22" spans="1:20" x14ac:dyDescent="0.35">
      <c r="A22" s="16" t="s">
        <v>115</v>
      </c>
      <c r="B22" s="15" t="s">
        <v>37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9"/>
      <c r="I22" s="19"/>
      <c r="J22" s="19"/>
      <c r="K22" s="19"/>
      <c r="L22" s="19"/>
      <c r="M22" s="19"/>
      <c r="N22" s="19"/>
      <c r="O22" s="19"/>
      <c r="P22" s="19"/>
      <c r="Q22" s="18"/>
      <c r="R22" s="18"/>
      <c r="S22" s="18"/>
      <c r="T22" s="4"/>
    </row>
    <row r="23" spans="1:20" x14ac:dyDescent="0.35">
      <c r="A23" s="16" t="s">
        <v>115</v>
      </c>
      <c r="B23" s="15" t="s">
        <v>38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9"/>
      <c r="I23" s="19"/>
      <c r="J23" s="19"/>
      <c r="K23" s="19"/>
      <c r="L23" s="19"/>
      <c r="M23" s="19"/>
      <c r="N23" s="19"/>
      <c r="O23" s="19"/>
      <c r="P23" s="19"/>
      <c r="Q23" s="18"/>
      <c r="R23" s="18"/>
      <c r="S23" s="18"/>
      <c r="T23" s="4"/>
    </row>
    <row r="24" spans="1:20" x14ac:dyDescent="0.35">
      <c r="A24" s="16" t="s">
        <v>115</v>
      </c>
      <c r="B24" s="15" t="s">
        <v>39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9"/>
      <c r="I24" s="19"/>
      <c r="J24" s="19"/>
      <c r="K24" s="19"/>
      <c r="L24" s="19"/>
      <c r="M24" s="19"/>
      <c r="N24" s="19"/>
      <c r="O24" s="19"/>
      <c r="P24" s="19"/>
      <c r="Q24" s="18"/>
      <c r="R24" s="18"/>
      <c r="S24" s="18"/>
      <c r="T24" s="4"/>
    </row>
    <row r="25" spans="1:20" x14ac:dyDescent="0.35">
      <c r="A25" s="16" t="s">
        <v>115</v>
      </c>
      <c r="B25" s="15" t="s">
        <v>40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9"/>
      <c r="I25" s="19"/>
      <c r="J25" s="19"/>
      <c r="K25" s="19"/>
      <c r="L25" s="19"/>
      <c r="M25" s="19"/>
      <c r="N25" s="19"/>
      <c r="O25" s="19"/>
      <c r="P25" s="19"/>
      <c r="Q25" s="18"/>
      <c r="R25" s="18"/>
      <c r="S25" s="18"/>
      <c r="T25" s="4"/>
    </row>
    <row r="26" spans="1:20" x14ac:dyDescent="0.35">
      <c r="A26" s="16" t="s">
        <v>115</v>
      </c>
      <c r="B26" s="15" t="s">
        <v>41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9"/>
      <c r="I26" s="19"/>
      <c r="J26" s="19"/>
      <c r="K26" s="19"/>
      <c r="L26" s="19"/>
      <c r="M26" s="19"/>
      <c r="N26" s="19"/>
      <c r="O26" s="19"/>
      <c r="P26" s="19"/>
      <c r="Q26" s="18"/>
      <c r="R26" s="18"/>
      <c r="S26" s="18"/>
      <c r="T26" s="4"/>
    </row>
    <row r="27" spans="1:20" x14ac:dyDescent="0.35">
      <c r="A27" s="16" t="s">
        <v>115</v>
      </c>
      <c r="B27" s="15" t="s">
        <v>42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9"/>
      <c r="I27" s="19"/>
      <c r="J27" s="19"/>
      <c r="K27" s="19"/>
      <c r="L27" s="19"/>
      <c r="M27" s="19"/>
      <c r="N27" s="19"/>
      <c r="O27" s="19"/>
      <c r="P27" s="19"/>
      <c r="Q27" s="18"/>
      <c r="R27" s="18"/>
      <c r="S27" s="18"/>
      <c r="T27" s="4"/>
    </row>
    <row r="28" spans="1:20" x14ac:dyDescent="0.35">
      <c r="A28" s="16" t="s">
        <v>115</v>
      </c>
      <c r="B28" s="15" t="s">
        <v>43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9"/>
      <c r="I28" s="19"/>
      <c r="J28" s="19"/>
      <c r="K28" s="19"/>
      <c r="L28" s="19"/>
      <c r="M28" s="19"/>
      <c r="N28" s="19"/>
      <c r="O28" s="19"/>
      <c r="P28" s="19"/>
      <c r="Q28" s="18"/>
      <c r="R28" s="18"/>
      <c r="S28" s="18"/>
      <c r="T28" s="4"/>
    </row>
    <row r="29" spans="1:20" x14ac:dyDescent="0.35">
      <c r="A29" s="16" t="s">
        <v>115</v>
      </c>
      <c r="B29" s="15" t="s">
        <v>44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9"/>
      <c r="I29" s="19"/>
      <c r="J29" s="19"/>
      <c r="K29" s="19"/>
      <c r="L29" s="19"/>
      <c r="M29" s="19"/>
      <c r="N29" s="19"/>
      <c r="O29" s="19"/>
      <c r="P29" s="19"/>
      <c r="Q29" s="18"/>
      <c r="R29" s="18"/>
      <c r="S29" s="18"/>
      <c r="T29" s="4"/>
    </row>
    <row r="30" spans="1:20" x14ac:dyDescent="0.35">
      <c r="A30" s="16" t="s">
        <v>115</v>
      </c>
      <c r="B30" s="15" t="s">
        <v>45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9"/>
      <c r="I30" s="19"/>
      <c r="J30" s="19"/>
      <c r="K30" s="19"/>
      <c r="L30" s="19"/>
      <c r="M30" s="19"/>
      <c r="N30" s="19"/>
      <c r="O30" s="19"/>
      <c r="P30" s="19"/>
      <c r="Q30" s="18"/>
      <c r="R30" s="18"/>
      <c r="S30" s="18"/>
      <c r="T30" s="4"/>
    </row>
    <row r="31" spans="1:20" x14ac:dyDescent="0.35">
      <c r="A31" s="16" t="s">
        <v>115</v>
      </c>
      <c r="B31" s="15" t="s">
        <v>46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9"/>
      <c r="I31" s="19"/>
      <c r="J31" s="19"/>
      <c r="K31" s="19"/>
      <c r="L31" s="19"/>
      <c r="M31" s="19"/>
      <c r="N31" s="19"/>
      <c r="O31" s="19"/>
      <c r="P31" s="19"/>
      <c r="Q31" s="18"/>
      <c r="R31" s="18"/>
      <c r="S31" s="18"/>
      <c r="T31" s="4"/>
    </row>
    <row r="32" spans="1:20" x14ac:dyDescent="0.35">
      <c r="A32" s="16" t="s">
        <v>115</v>
      </c>
      <c r="B32" s="15" t="s">
        <v>47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9"/>
      <c r="I32" s="19"/>
      <c r="J32" s="19"/>
      <c r="K32" s="19"/>
      <c r="L32" s="19"/>
      <c r="M32" s="19"/>
      <c r="N32" s="19"/>
      <c r="O32" s="19"/>
      <c r="P32" s="19"/>
      <c r="Q32" s="18"/>
      <c r="R32" s="18"/>
      <c r="S32" s="18"/>
      <c r="T32" s="4"/>
    </row>
    <row r="33" spans="1:20" x14ac:dyDescent="0.35">
      <c r="A33" s="16" t="s">
        <v>115</v>
      </c>
      <c r="B33" s="15" t="s">
        <v>48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9"/>
      <c r="I33" s="19"/>
      <c r="J33" s="19"/>
      <c r="K33" s="19"/>
      <c r="L33" s="19"/>
      <c r="M33" s="19"/>
      <c r="N33" s="19"/>
      <c r="O33" s="19"/>
      <c r="P33" s="19"/>
      <c r="Q33" s="18"/>
      <c r="R33" s="18"/>
      <c r="S33" s="18"/>
      <c r="T33" s="4"/>
    </row>
    <row r="34" spans="1:20" x14ac:dyDescent="0.35">
      <c r="A34" s="16" t="s">
        <v>115</v>
      </c>
      <c r="B34" s="15" t="s">
        <v>49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9"/>
      <c r="I34" s="19"/>
      <c r="J34" s="19"/>
      <c r="K34" s="19"/>
      <c r="L34" s="19"/>
      <c r="M34" s="19"/>
      <c r="N34" s="19"/>
      <c r="O34" s="19"/>
      <c r="P34" s="19"/>
      <c r="Q34" s="18"/>
      <c r="R34" s="18"/>
      <c r="S34" s="18"/>
      <c r="T34" s="4"/>
    </row>
    <row r="35" spans="1:20" x14ac:dyDescent="0.35">
      <c r="A35" s="16" t="s">
        <v>115</v>
      </c>
      <c r="B35" s="15" t="s">
        <v>50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9"/>
      <c r="I35" s="19"/>
      <c r="J35" s="19"/>
      <c r="K35" s="19"/>
      <c r="L35" s="19"/>
      <c r="M35" s="19"/>
      <c r="N35" s="19"/>
      <c r="O35" s="19"/>
      <c r="P35" s="19"/>
      <c r="Q35" s="18"/>
      <c r="R35" s="18"/>
      <c r="S35" s="18"/>
      <c r="T35" s="4"/>
    </row>
    <row r="36" spans="1:20" x14ac:dyDescent="0.35">
      <c r="A36" s="16" t="s">
        <v>115</v>
      </c>
      <c r="B36" s="15" t="s">
        <v>51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9"/>
      <c r="I36" s="19"/>
      <c r="J36" s="19"/>
      <c r="K36" s="19"/>
      <c r="L36" s="19"/>
      <c r="M36" s="19"/>
      <c r="N36" s="19"/>
      <c r="O36" s="19"/>
      <c r="P36" s="19"/>
      <c r="Q36" s="18"/>
      <c r="R36" s="18"/>
      <c r="S36" s="18"/>
      <c r="T36" s="4"/>
    </row>
    <row r="37" spans="1:20" x14ac:dyDescent="0.35">
      <c r="A37" s="16" t="s">
        <v>115</v>
      </c>
      <c r="B37" s="15" t="s">
        <v>52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9"/>
      <c r="I37" s="19"/>
      <c r="J37" s="19"/>
      <c r="K37" s="19"/>
      <c r="L37" s="19"/>
      <c r="M37" s="19"/>
      <c r="N37" s="19"/>
      <c r="O37" s="19"/>
      <c r="P37" s="19"/>
      <c r="Q37" s="18"/>
      <c r="R37" s="18"/>
      <c r="S37" s="18"/>
      <c r="T37" s="4"/>
    </row>
    <row r="38" spans="1:20" x14ac:dyDescent="0.35">
      <c r="A38" s="16" t="s">
        <v>115</v>
      </c>
      <c r="B38" s="15" t="s">
        <v>53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9"/>
      <c r="I38" s="19"/>
      <c r="J38" s="19"/>
      <c r="K38" s="19"/>
      <c r="L38" s="19"/>
      <c r="M38" s="19"/>
      <c r="N38" s="19"/>
      <c r="O38" s="19"/>
      <c r="P38" s="19"/>
      <c r="Q38" s="18"/>
      <c r="R38" s="18"/>
      <c r="S38" s="18"/>
      <c r="T38" s="4"/>
    </row>
    <row r="39" spans="1:20" x14ac:dyDescent="0.35">
      <c r="A39" s="16" t="s">
        <v>115</v>
      </c>
      <c r="B39" s="15" t="s">
        <v>55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9"/>
      <c r="I39" s="19"/>
      <c r="J39" s="19"/>
      <c r="K39" s="19"/>
      <c r="L39" s="19"/>
      <c r="M39" s="19"/>
      <c r="N39" s="19"/>
      <c r="O39" s="19"/>
      <c r="P39" s="19"/>
      <c r="Q39" s="18"/>
      <c r="R39" s="18"/>
      <c r="S39" s="18"/>
      <c r="T39" s="4"/>
    </row>
    <row r="40" spans="1:20" x14ac:dyDescent="0.35">
      <c r="A40" s="16" t="s">
        <v>115</v>
      </c>
      <c r="B40" s="15" t="s">
        <v>56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9"/>
      <c r="I40" s="19"/>
      <c r="J40" s="19"/>
      <c r="K40" s="19"/>
      <c r="L40" s="19"/>
      <c r="M40" s="19"/>
      <c r="N40" s="19"/>
      <c r="O40" s="19"/>
      <c r="P40" s="19"/>
      <c r="Q40" s="18"/>
      <c r="R40" s="18"/>
      <c r="S40" s="18"/>
      <c r="T40" s="4"/>
    </row>
    <row r="41" spans="1:20" x14ac:dyDescent="0.35">
      <c r="A41" s="16" t="s">
        <v>115</v>
      </c>
      <c r="B41" s="15" t="s">
        <v>57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9"/>
      <c r="I41" s="19"/>
      <c r="J41" s="19"/>
      <c r="K41" s="19"/>
      <c r="L41" s="19"/>
      <c r="M41" s="19"/>
      <c r="N41" s="19"/>
      <c r="O41" s="19"/>
      <c r="P41" s="19"/>
      <c r="Q41" s="18"/>
      <c r="R41" s="18"/>
      <c r="S41" s="18"/>
      <c r="T41" s="4"/>
    </row>
    <row r="42" spans="1:20" x14ac:dyDescent="0.35">
      <c r="A42" s="16" t="s">
        <v>115</v>
      </c>
      <c r="B42" s="15" t="s">
        <v>58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9"/>
      <c r="I42" s="19"/>
      <c r="J42" s="19"/>
      <c r="K42" s="19"/>
      <c r="L42" s="19"/>
      <c r="M42" s="19"/>
      <c r="N42" s="19"/>
      <c r="O42" s="19"/>
      <c r="P42" s="19"/>
      <c r="Q42" s="18"/>
      <c r="R42" s="18"/>
      <c r="S42" s="18"/>
      <c r="T42" s="4"/>
    </row>
    <row r="43" spans="1:20" x14ac:dyDescent="0.35">
      <c r="A43" s="16" t="s">
        <v>115</v>
      </c>
      <c r="B43" s="15" t="s">
        <v>60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9"/>
      <c r="I43" s="19"/>
      <c r="J43" s="19"/>
      <c r="K43" s="19"/>
      <c r="L43" s="19"/>
      <c r="M43" s="19"/>
      <c r="N43" s="19"/>
      <c r="O43" s="19"/>
      <c r="P43" s="19"/>
      <c r="Q43" s="18"/>
      <c r="R43" s="18"/>
      <c r="S43" s="18"/>
      <c r="T43" s="4"/>
    </row>
    <row r="44" spans="1:20" x14ac:dyDescent="0.35">
      <c r="A44" s="16" t="s">
        <v>115</v>
      </c>
      <c r="B44" s="15" t="s">
        <v>61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9"/>
      <c r="I44" s="19"/>
      <c r="J44" s="19"/>
      <c r="K44" s="19"/>
      <c r="L44" s="19"/>
      <c r="M44" s="19"/>
      <c r="N44" s="19"/>
      <c r="O44" s="19"/>
      <c r="P44" s="19"/>
      <c r="Q44" s="18"/>
      <c r="R44" s="18"/>
      <c r="S44" s="18"/>
      <c r="T44" s="4"/>
    </row>
    <row r="45" spans="1:20" x14ac:dyDescent="0.35">
      <c r="A45" s="16" t="s">
        <v>115</v>
      </c>
      <c r="B45" s="15" t="s">
        <v>62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9"/>
      <c r="I45" s="19"/>
      <c r="J45" s="19"/>
      <c r="K45" s="19"/>
      <c r="L45" s="19"/>
      <c r="M45" s="19"/>
      <c r="N45" s="19"/>
      <c r="O45" s="19"/>
      <c r="P45" s="19"/>
      <c r="Q45" s="18"/>
      <c r="R45" s="18"/>
      <c r="S45" s="18"/>
      <c r="T45" s="4"/>
    </row>
    <row r="46" spans="1:20" x14ac:dyDescent="0.35">
      <c r="A46" s="16" t="s">
        <v>115</v>
      </c>
      <c r="B46" s="15" t="s">
        <v>63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9"/>
      <c r="I46" s="19"/>
      <c r="J46" s="19"/>
      <c r="K46" s="19"/>
      <c r="L46" s="19"/>
      <c r="M46" s="19"/>
      <c r="N46" s="19"/>
      <c r="O46" s="19"/>
      <c r="P46" s="19"/>
      <c r="Q46" s="18"/>
      <c r="R46" s="18"/>
      <c r="S46" s="18"/>
      <c r="T46" s="4"/>
    </row>
    <row r="47" spans="1:20" x14ac:dyDescent="0.35">
      <c r="A47" s="16" t="s">
        <v>115</v>
      </c>
      <c r="B47" s="15" t="s">
        <v>64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9"/>
      <c r="I47" s="19"/>
      <c r="J47" s="19"/>
      <c r="K47" s="19"/>
      <c r="L47" s="19"/>
      <c r="M47" s="19"/>
      <c r="N47" s="19"/>
      <c r="O47" s="19"/>
      <c r="P47" s="19"/>
      <c r="Q47" s="18"/>
      <c r="R47" s="18"/>
      <c r="S47" s="18"/>
      <c r="T47" s="4"/>
    </row>
    <row r="48" spans="1:20" x14ac:dyDescent="0.35">
      <c r="A48" s="16" t="s">
        <v>115</v>
      </c>
      <c r="B48" s="15" t="s">
        <v>65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9"/>
      <c r="I48" s="19"/>
      <c r="J48" s="19"/>
      <c r="K48" s="19"/>
      <c r="L48" s="19"/>
      <c r="M48" s="19"/>
      <c r="N48" s="19"/>
      <c r="O48" s="19"/>
      <c r="P48" s="19"/>
      <c r="Q48" s="18"/>
      <c r="R48" s="18"/>
      <c r="S48" s="18"/>
      <c r="T48" s="4"/>
    </row>
    <row r="49" spans="1:20" x14ac:dyDescent="0.35">
      <c r="A49" s="16" t="s">
        <v>115</v>
      </c>
      <c r="B49" s="15" t="s">
        <v>66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9"/>
      <c r="I49" s="19"/>
      <c r="J49" s="19"/>
      <c r="K49" s="19"/>
      <c r="L49" s="19"/>
      <c r="M49" s="19"/>
      <c r="N49" s="19"/>
      <c r="O49" s="19"/>
      <c r="P49" s="19"/>
      <c r="Q49" s="18"/>
      <c r="R49" s="18"/>
      <c r="S49" s="18"/>
      <c r="T49" s="4"/>
    </row>
    <row r="50" spans="1:20" x14ac:dyDescent="0.35">
      <c r="A50" s="16" t="s">
        <v>115</v>
      </c>
      <c r="B50" s="15" t="s">
        <v>68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9"/>
      <c r="I50" s="19"/>
      <c r="J50" s="19"/>
      <c r="K50" s="19"/>
      <c r="L50" s="19"/>
      <c r="M50" s="19"/>
      <c r="N50" s="19"/>
      <c r="O50" s="19"/>
      <c r="P50" s="19"/>
      <c r="Q50" s="18"/>
      <c r="R50" s="18"/>
      <c r="S50" s="18"/>
      <c r="T50" s="4"/>
    </row>
    <row r="51" spans="1:20" x14ac:dyDescent="0.35">
      <c r="A51" s="16" t="s">
        <v>115</v>
      </c>
      <c r="B51" s="15" t="s">
        <v>69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9"/>
      <c r="I51" s="19"/>
      <c r="J51" s="19"/>
      <c r="K51" s="19"/>
      <c r="L51" s="19"/>
      <c r="M51" s="19"/>
      <c r="N51" s="19"/>
      <c r="O51" s="19"/>
      <c r="P51" s="19"/>
      <c r="Q51" s="18"/>
      <c r="R51" s="18"/>
      <c r="S51" s="18"/>
      <c r="T51" s="4"/>
    </row>
    <row r="52" spans="1:20" x14ac:dyDescent="0.35">
      <c r="A52" s="16" t="s">
        <v>115</v>
      </c>
      <c r="B52" s="15" t="s">
        <v>71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9"/>
      <c r="I52" s="19"/>
      <c r="J52" s="19"/>
      <c r="K52" s="19"/>
      <c r="L52" s="19"/>
      <c r="M52" s="19"/>
      <c r="N52" s="19"/>
      <c r="O52" s="19"/>
      <c r="P52" s="19"/>
      <c r="Q52" s="18"/>
      <c r="R52" s="18"/>
      <c r="S52" s="18"/>
      <c r="T52" s="4"/>
    </row>
    <row r="53" spans="1:20" x14ac:dyDescent="0.35">
      <c r="A53" s="16" t="s">
        <v>115</v>
      </c>
      <c r="B53" s="15" t="s">
        <v>72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9"/>
      <c r="I53" s="19"/>
      <c r="J53" s="19"/>
      <c r="K53" s="19"/>
      <c r="L53" s="19"/>
      <c r="M53" s="19"/>
      <c r="N53" s="19"/>
      <c r="O53" s="19"/>
      <c r="P53" s="19"/>
      <c r="Q53" s="18"/>
      <c r="R53" s="18"/>
      <c r="S53" s="18"/>
      <c r="T53" s="4"/>
    </row>
    <row r="54" spans="1:20" x14ac:dyDescent="0.35">
      <c r="A54" s="16" t="s">
        <v>115</v>
      </c>
      <c r="B54" s="15" t="s">
        <v>73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9"/>
      <c r="I54" s="19"/>
      <c r="J54" s="19"/>
      <c r="K54" s="19"/>
      <c r="L54" s="19"/>
      <c r="M54" s="19"/>
      <c r="N54" s="19"/>
      <c r="O54" s="19"/>
      <c r="P54" s="19"/>
      <c r="Q54" s="18"/>
      <c r="R54" s="18"/>
      <c r="S54" s="18"/>
      <c r="T54" s="4"/>
    </row>
    <row r="55" spans="1:20" x14ac:dyDescent="0.35">
      <c r="A55" s="16" t="s">
        <v>115</v>
      </c>
      <c r="B55" s="15" t="s">
        <v>74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9"/>
      <c r="I55" s="19"/>
      <c r="J55" s="19"/>
      <c r="K55" s="19"/>
      <c r="L55" s="19"/>
      <c r="M55" s="19"/>
      <c r="N55" s="19"/>
      <c r="O55" s="19"/>
      <c r="P55" s="19"/>
      <c r="Q55" s="18"/>
      <c r="R55" s="18"/>
      <c r="S55" s="18"/>
      <c r="T55" s="4"/>
    </row>
    <row r="56" spans="1:20" x14ac:dyDescent="0.35">
      <c r="A56" s="16" t="s">
        <v>115</v>
      </c>
      <c r="B56" s="15" t="s">
        <v>75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9"/>
      <c r="I56" s="19"/>
      <c r="J56" s="19"/>
      <c r="K56" s="19"/>
      <c r="L56" s="19"/>
      <c r="M56" s="19"/>
      <c r="N56" s="19"/>
      <c r="O56" s="19"/>
      <c r="P56" s="19"/>
      <c r="Q56" s="18"/>
      <c r="R56" s="18"/>
      <c r="S56" s="18"/>
      <c r="T56" s="4"/>
    </row>
    <row r="57" spans="1:20" x14ac:dyDescent="0.35">
      <c r="A57" s="16" t="s">
        <v>115</v>
      </c>
      <c r="B57" s="15" t="s">
        <v>76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9"/>
      <c r="I57" s="19"/>
      <c r="J57" s="19"/>
      <c r="K57" s="19"/>
      <c r="L57" s="19"/>
      <c r="M57" s="19"/>
      <c r="N57" s="19"/>
      <c r="O57" s="19"/>
      <c r="P57" s="19"/>
      <c r="Q57" s="18"/>
      <c r="R57" s="18"/>
      <c r="S57" s="18"/>
      <c r="T57" s="4"/>
    </row>
    <row r="58" spans="1:20" x14ac:dyDescent="0.35">
      <c r="A58" s="16" t="s">
        <v>115</v>
      </c>
      <c r="B58" s="15" t="s">
        <v>77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9"/>
      <c r="I58" s="19"/>
      <c r="J58" s="19"/>
      <c r="K58" s="19"/>
      <c r="L58" s="19"/>
      <c r="M58" s="19"/>
      <c r="N58" s="19"/>
      <c r="O58" s="19"/>
      <c r="P58" s="19"/>
      <c r="Q58" s="18"/>
      <c r="R58" s="18"/>
      <c r="S58" s="18"/>
      <c r="T58" s="4"/>
    </row>
    <row r="59" spans="1:20" x14ac:dyDescent="0.35">
      <c r="A59" s="16" t="s">
        <v>115</v>
      </c>
      <c r="B59" s="15" t="s">
        <v>78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9"/>
      <c r="I59" s="19"/>
      <c r="J59" s="19"/>
      <c r="K59" s="19"/>
      <c r="L59" s="19"/>
      <c r="M59" s="19"/>
      <c r="N59" s="19"/>
      <c r="O59" s="19"/>
      <c r="P59" s="19"/>
      <c r="Q59" s="18"/>
      <c r="R59" s="18"/>
      <c r="S59" s="18"/>
      <c r="T59" s="4"/>
    </row>
    <row r="60" spans="1:20" x14ac:dyDescent="0.35">
      <c r="A60" s="16" t="s">
        <v>115</v>
      </c>
      <c r="B60" s="15" t="s">
        <v>79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9"/>
      <c r="I60" s="19"/>
      <c r="J60" s="19"/>
      <c r="K60" s="19"/>
      <c r="L60" s="19"/>
      <c r="M60" s="19"/>
      <c r="N60" s="19"/>
      <c r="O60" s="19"/>
      <c r="P60" s="19"/>
      <c r="Q60" s="18"/>
      <c r="R60" s="18"/>
      <c r="S60" s="18"/>
      <c r="T60" s="4"/>
    </row>
    <row r="61" spans="1:20" x14ac:dyDescent="0.35">
      <c r="A61" s="16" t="s">
        <v>115</v>
      </c>
      <c r="B61" s="15" t="s">
        <v>80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9"/>
      <c r="I61" s="19"/>
      <c r="J61" s="19"/>
      <c r="K61" s="19"/>
      <c r="L61" s="19"/>
      <c r="M61" s="19"/>
      <c r="N61" s="19"/>
      <c r="O61" s="19"/>
      <c r="P61" s="19"/>
      <c r="Q61" s="18"/>
      <c r="R61" s="18"/>
      <c r="S61" s="18"/>
      <c r="T61" s="4"/>
    </row>
    <row r="62" spans="1:20" x14ac:dyDescent="0.35">
      <c r="A62" s="16" t="s">
        <v>115</v>
      </c>
      <c r="B62" s="15" t="s">
        <v>81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9"/>
      <c r="I62" s="19"/>
      <c r="J62" s="19"/>
      <c r="K62" s="19"/>
      <c r="L62" s="19"/>
      <c r="M62" s="19"/>
      <c r="N62" s="19"/>
      <c r="O62" s="19"/>
      <c r="P62" s="19"/>
      <c r="Q62" s="18"/>
      <c r="R62" s="18"/>
      <c r="S62" s="18"/>
      <c r="T62" s="4"/>
    </row>
    <row r="63" spans="1:20" x14ac:dyDescent="0.35">
      <c r="A63" s="16" t="s">
        <v>115</v>
      </c>
      <c r="B63" s="15" t="s">
        <v>82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9"/>
      <c r="I63" s="19"/>
      <c r="J63" s="19"/>
      <c r="K63" s="19"/>
      <c r="L63" s="19"/>
      <c r="M63" s="19"/>
      <c r="N63" s="19"/>
      <c r="O63" s="19"/>
      <c r="P63" s="19"/>
      <c r="Q63" s="18"/>
      <c r="R63" s="18"/>
      <c r="S63" s="18"/>
      <c r="T63" s="4"/>
    </row>
    <row r="64" spans="1:20" x14ac:dyDescent="0.35">
      <c r="A64" s="16" t="s">
        <v>115</v>
      </c>
      <c r="B64" s="15" t="s">
        <v>83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9"/>
      <c r="I64" s="19"/>
      <c r="J64" s="19"/>
      <c r="K64" s="19"/>
      <c r="L64" s="19"/>
      <c r="M64" s="19"/>
      <c r="N64" s="19"/>
      <c r="O64" s="19"/>
      <c r="P64" s="19"/>
      <c r="Q64" s="18"/>
      <c r="R64" s="18"/>
      <c r="S64" s="18"/>
      <c r="T64" s="4"/>
    </row>
    <row r="65" spans="1:20" x14ac:dyDescent="0.35">
      <c r="A65" s="16" t="s">
        <v>115</v>
      </c>
      <c r="B65" s="15" t="s">
        <v>84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9"/>
      <c r="I65" s="19"/>
      <c r="J65" s="19"/>
      <c r="K65" s="19"/>
      <c r="L65" s="19"/>
      <c r="M65" s="19"/>
      <c r="N65" s="19"/>
      <c r="O65" s="19"/>
      <c r="P65" s="19"/>
      <c r="Q65" s="18"/>
      <c r="R65" s="18"/>
      <c r="S65" s="18"/>
      <c r="T65" s="4"/>
    </row>
    <row r="66" spans="1:20" x14ac:dyDescent="0.35">
      <c r="A66" s="16" t="s">
        <v>115</v>
      </c>
      <c r="B66" s="15" t="s">
        <v>86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9"/>
      <c r="I66" s="19"/>
      <c r="J66" s="19"/>
      <c r="K66" s="19"/>
      <c r="L66" s="19"/>
      <c r="M66" s="19"/>
      <c r="N66" s="19"/>
      <c r="O66" s="19"/>
      <c r="P66" s="19"/>
      <c r="Q66" s="18"/>
      <c r="R66" s="18"/>
      <c r="S66" s="18"/>
      <c r="T66" s="4"/>
    </row>
    <row r="67" spans="1:20" x14ac:dyDescent="0.35">
      <c r="A67" s="16" t="s">
        <v>115</v>
      </c>
      <c r="B67" s="15" t="s">
        <v>89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9"/>
      <c r="I67" s="19"/>
      <c r="J67" s="19"/>
      <c r="K67" s="19"/>
      <c r="L67" s="19"/>
      <c r="M67" s="19"/>
      <c r="N67" s="19"/>
      <c r="O67" s="19"/>
      <c r="P67" s="19"/>
      <c r="Q67" s="18"/>
      <c r="R67" s="18"/>
      <c r="S67" s="18"/>
      <c r="T67" s="4"/>
    </row>
    <row r="68" spans="1:20" x14ac:dyDescent="0.35">
      <c r="A68" s="16" t="s">
        <v>115</v>
      </c>
      <c r="B68" s="15" t="s">
        <v>91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9"/>
      <c r="I68" s="19"/>
      <c r="J68" s="19"/>
      <c r="K68" s="19"/>
      <c r="L68" s="19"/>
      <c r="M68" s="19"/>
      <c r="N68" s="19"/>
      <c r="O68" s="19"/>
      <c r="P68" s="19"/>
      <c r="Q68" s="18"/>
      <c r="R68" s="18"/>
      <c r="S68" s="18"/>
      <c r="T68" s="4"/>
    </row>
    <row r="69" spans="1:20" x14ac:dyDescent="0.35">
      <c r="A69" s="16" t="s">
        <v>115</v>
      </c>
      <c r="B69" s="15" t="s">
        <v>92</v>
      </c>
      <c r="C69" s="15" t="e">
        <f>VLOOKUP(B69,Mapping!A:B,2,0)</f>
        <v>#N/A</v>
      </c>
      <c r="D69" s="15" t="e">
        <f>VLOOKUP(B69,Mapping!A:C,3,0)</f>
        <v>#N/A</v>
      </c>
      <c r="E69" s="16" t="e">
        <f>VLOOKUP(B69,Mapping!A:D,4,0)</f>
        <v>#N/A</v>
      </c>
      <c r="F69" s="16" t="e">
        <f>VLOOKUP(B69,Mapping!A:E,5,0)</f>
        <v>#N/A</v>
      </c>
      <c r="G69" s="16" t="e">
        <f>VLOOKUP(B69,Mapping!A:F,6,0)</f>
        <v>#N/A</v>
      </c>
      <c r="H69" s="19"/>
      <c r="I69" s="19"/>
      <c r="J69" s="19"/>
      <c r="K69" s="19"/>
      <c r="L69" s="19"/>
      <c r="M69" s="19"/>
      <c r="N69" s="19"/>
      <c r="O69" s="19"/>
      <c r="P69" s="19"/>
      <c r="Q69" s="18"/>
      <c r="R69" s="18"/>
      <c r="S69" s="18"/>
      <c r="T69" s="4"/>
    </row>
    <row r="70" spans="1:20" x14ac:dyDescent="0.35">
      <c r="A70" s="16" t="s">
        <v>115</v>
      </c>
      <c r="B70" s="15" t="s">
        <v>93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9"/>
      <c r="I70" s="19"/>
      <c r="J70" s="19"/>
      <c r="K70" s="19"/>
      <c r="L70" s="19"/>
      <c r="M70" s="19"/>
      <c r="N70" s="19"/>
      <c r="O70" s="19"/>
      <c r="P70" s="19"/>
      <c r="Q70" s="18"/>
      <c r="R70" s="18"/>
      <c r="S70" s="18"/>
      <c r="T70" s="4"/>
    </row>
    <row r="71" spans="1:20" x14ac:dyDescent="0.35">
      <c r="A71" s="16" t="s">
        <v>115</v>
      </c>
      <c r="B71" s="15" t="s">
        <v>94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9"/>
      <c r="I71" s="19"/>
      <c r="J71" s="19"/>
      <c r="K71" s="19"/>
      <c r="L71" s="19"/>
      <c r="M71" s="19"/>
      <c r="N71" s="19"/>
      <c r="O71" s="19"/>
      <c r="P71" s="19"/>
      <c r="Q71" s="18"/>
      <c r="R71" s="18"/>
      <c r="S71" s="18"/>
      <c r="T71" s="4"/>
    </row>
    <row r="72" spans="1:20" x14ac:dyDescent="0.35">
      <c r="A72" s="16" t="s">
        <v>115</v>
      </c>
      <c r="B72" s="15" t="s">
        <v>95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9"/>
      <c r="I72" s="19"/>
      <c r="J72" s="19"/>
      <c r="K72" s="19"/>
      <c r="L72" s="19"/>
      <c r="M72" s="19"/>
      <c r="N72" s="19"/>
      <c r="O72" s="19"/>
      <c r="P72" s="19"/>
      <c r="Q72" s="18"/>
      <c r="R72" s="18"/>
      <c r="S72" s="18"/>
      <c r="T72" s="4"/>
    </row>
    <row r="73" spans="1:20" x14ac:dyDescent="0.35">
      <c r="A73" s="16" t="s">
        <v>115</v>
      </c>
      <c r="B73" s="15" t="s">
        <v>97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9"/>
      <c r="I73" s="19"/>
      <c r="J73" s="19"/>
      <c r="K73" s="19"/>
      <c r="L73" s="19"/>
      <c r="M73" s="19"/>
      <c r="N73" s="19"/>
      <c r="O73" s="19"/>
      <c r="P73" s="19"/>
      <c r="Q73" s="18"/>
      <c r="R73" s="18"/>
      <c r="S73" s="18"/>
      <c r="T73" s="4"/>
    </row>
    <row r="74" spans="1:20" x14ac:dyDescent="0.35">
      <c r="A74" s="16" t="s">
        <v>115</v>
      </c>
      <c r="B74" s="15" t="s">
        <v>98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9"/>
      <c r="I74" s="19"/>
      <c r="J74" s="19"/>
      <c r="K74" s="19"/>
      <c r="L74" s="19"/>
      <c r="M74" s="19"/>
      <c r="N74" s="19"/>
      <c r="O74" s="19"/>
      <c r="P74" s="19"/>
      <c r="Q74" s="18"/>
      <c r="R74" s="18"/>
      <c r="S74" s="18"/>
      <c r="T74" s="4"/>
    </row>
    <row r="75" spans="1:20" x14ac:dyDescent="0.35">
      <c r="A75" s="16" t="s">
        <v>115</v>
      </c>
      <c r="B75" s="15" t="s">
        <v>99</v>
      </c>
      <c r="C75" s="15" t="e">
        <f>VLOOKUP(B75,Mapping!A:B,2,0)</f>
        <v>#N/A</v>
      </c>
      <c r="D75" s="15" t="e">
        <f>VLOOKUP(B75,Mapping!A:C,3,0)</f>
        <v>#N/A</v>
      </c>
      <c r="E75" s="16" t="e">
        <f>VLOOKUP(B75,Mapping!A:D,4,0)</f>
        <v>#N/A</v>
      </c>
      <c r="F75" s="16" t="e">
        <f>VLOOKUP(B75,Mapping!A:E,5,0)</f>
        <v>#N/A</v>
      </c>
      <c r="G75" s="16" t="e">
        <f>VLOOKUP(B75,Mapping!A:F,6,0)</f>
        <v>#N/A</v>
      </c>
      <c r="H75" s="19"/>
      <c r="I75" s="19"/>
      <c r="J75" s="19"/>
      <c r="K75" s="19"/>
      <c r="L75" s="19"/>
      <c r="M75" s="19"/>
      <c r="N75" s="19"/>
      <c r="O75" s="19"/>
      <c r="P75" s="19"/>
      <c r="Q75" s="18"/>
      <c r="R75" s="18"/>
      <c r="S75" s="18"/>
      <c r="T75" s="4"/>
    </row>
    <row r="76" spans="1:20" x14ac:dyDescent="0.35">
      <c r="A76" s="16" t="s">
        <v>115</v>
      </c>
      <c r="B76" s="15" t="s">
        <v>100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9"/>
      <c r="I76" s="19"/>
      <c r="J76" s="19"/>
      <c r="K76" s="19"/>
      <c r="L76" s="19"/>
      <c r="M76" s="19"/>
      <c r="N76" s="19"/>
      <c r="O76" s="19"/>
      <c r="P76" s="19"/>
      <c r="Q76" s="18"/>
      <c r="R76" s="18"/>
      <c r="S76" s="18"/>
      <c r="T76" s="4"/>
    </row>
  </sheetData>
  <conditionalFormatting sqref="A1:B1 I1:S1 E1:G1">
    <cfRule type="duplicateValues" dxfId="46" priority="1"/>
  </conditionalFormatting>
  <conditionalFormatting sqref="B51:B73 B2:B41">
    <cfRule type="duplicateValues" dxfId="45" priority="4"/>
  </conditionalFormatting>
  <conditionalFormatting sqref="B74:B76 B42:B50">
    <cfRule type="duplicateValues" dxfId="44" priority="5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75729-E698-45AB-9117-35181C63B0B6}">
  <sheetPr codeName="Sheet11">
    <tabColor rgb="FF92D050"/>
  </sheetPr>
  <dimension ref="A1:T78"/>
  <sheetViews>
    <sheetView topLeftCell="C1" workbookViewId="0">
      <selection activeCell="Q24" sqref="Q24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2.1796875" bestFit="1" customWidth="1"/>
    <col min="7" max="7" width="13.1796875" bestFit="1" customWidth="1"/>
    <col min="8" max="8" width="6.81640625" bestFit="1" customWidth="1"/>
    <col min="9" max="9" width="7.453125" bestFit="1" customWidth="1"/>
    <col min="10" max="10" width="6.7265625" bestFit="1" customWidth="1"/>
    <col min="11" max="11" width="6.1796875" bestFit="1" customWidth="1"/>
    <col min="12" max="12" width="7.1796875" bestFit="1" customWidth="1"/>
    <col min="13" max="13" width="7" bestFit="1" customWidth="1"/>
    <col min="14" max="14" width="6.7265625" bestFit="1" customWidth="1"/>
    <col min="15" max="15" width="7.26953125" bestFit="1" customWidth="1"/>
    <col min="16" max="16" width="7" bestFit="1" customWidth="1"/>
    <col min="17" max="17" width="6.54296875" bestFit="1" customWidth="1"/>
    <col min="18" max="18" width="7" bestFit="1" customWidth="1"/>
    <col min="19" max="19" width="7.1796875" bestFit="1" customWidth="1"/>
  </cols>
  <sheetData>
    <row r="1" spans="1:20" x14ac:dyDescent="0.35">
      <c r="A1" s="13" t="str">
        <f>Revenue_Budget!A2</f>
        <v>FY</v>
      </c>
      <c r="B1" s="13" t="str">
        <f>Revenue_Budget!B2</f>
        <v>Project</v>
      </c>
      <c r="C1" s="13" t="str">
        <f>Revenue_Budget!C2</f>
        <v>Vertical</v>
      </c>
      <c r="D1" s="13" t="str">
        <f>Revenue_Budget!D2</f>
        <v>Region</v>
      </c>
      <c r="E1" s="13" t="str">
        <f>Revenue_Budget!E2</f>
        <v>Sub Region</v>
      </c>
      <c r="F1" s="13" t="str">
        <f>Revenue_Budget!F2</f>
        <v>Region Head</v>
      </c>
      <c r="G1" s="13" t="str">
        <f>Revenue_Budget!G2</f>
        <v>Practice Head</v>
      </c>
      <c r="H1" s="14">
        <f>Revenue_Budget!H2</f>
        <v>46113</v>
      </c>
      <c r="I1" s="14">
        <f>Revenue_Budget!I2</f>
        <v>46143</v>
      </c>
      <c r="J1" s="14">
        <f>Revenue_Budget!J2</f>
        <v>46174</v>
      </c>
      <c r="K1" s="14">
        <f>Revenue_Budget!K2</f>
        <v>46204</v>
      </c>
      <c r="L1" s="14">
        <f>Revenue_Budget!L2</f>
        <v>46235</v>
      </c>
      <c r="M1" s="14">
        <f>Revenue_Budget!M2</f>
        <v>46266</v>
      </c>
      <c r="N1" s="14">
        <f>Revenue_Budget!N2</f>
        <v>46296</v>
      </c>
      <c r="O1" s="14">
        <f>Revenue_Budget!O2</f>
        <v>46327</v>
      </c>
      <c r="P1" s="14">
        <f>Revenue_Budget!P2</f>
        <v>46357</v>
      </c>
      <c r="Q1" s="14">
        <f>Revenue_Budget!Q2</f>
        <v>46388</v>
      </c>
      <c r="R1" s="14">
        <f>Revenue_Budget!R2</f>
        <v>46419</v>
      </c>
      <c r="S1" s="14">
        <f>Revenue_Budget!S2</f>
        <v>46447</v>
      </c>
      <c r="T1" t="s">
        <v>117</v>
      </c>
    </row>
    <row r="2" spans="1:20" x14ac:dyDescent="0.35">
      <c r="A2" s="16" t="s">
        <v>115</v>
      </c>
      <c r="B2" s="1" t="s">
        <v>2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6"/>
      <c r="I2" s="6"/>
      <c r="J2" s="6"/>
      <c r="K2" s="6"/>
      <c r="L2" s="6"/>
      <c r="M2" s="6"/>
      <c r="N2" s="6"/>
      <c r="O2" s="6"/>
      <c r="P2" s="6"/>
      <c r="Q2" s="2"/>
      <c r="R2" s="2"/>
      <c r="S2" s="2"/>
      <c r="T2" s="22"/>
    </row>
    <row r="3" spans="1:20" x14ac:dyDescent="0.35">
      <c r="A3" s="16" t="s">
        <v>115</v>
      </c>
      <c r="B3" s="1" t="s">
        <v>4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6"/>
      <c r="I3" s="6"/>
      <c r="J3" s="6"/>
      <c r="K3" s="6"/>
      <c r="L3" s="6"/>
      <c r="M3" s="6"/>
      <c r="N3" s="6"/>
      <c r="O3" s="6"/>
      <c r="P3" s="6"/>
      <c r="Q3" s="2"/>
      <c r="R3" s="2"/>
      <c r="S3" s="2"/>
      <c r="T3" s="22"/>
    </row>
    <row r="4" spans="1:20" x14ac:dyDescent="0.35">
      <c r="A4" s="16" t="s">
        <v>115</v>
      </c>
      <c r="B4" s="1" t="s">
        <v>8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6"/>
      <c r="I4" s="6"/>
      <c r="J4" s="6"/>
      <c r="K4" s="6"/>
      <c r="L4" s="6"/>
      <c r="M4" s="6"/>
      <c r="N4" s="6"/>
      <c r="O4" s="6"/>
      <c r="P4" s="6"/>
      <c r="Q4" s="2"/>
      <c r="R4" s="2"/>
      <c r="S4" s="2"/>
      <c r="T4" s="22"/>
    </row>
    <row r="5" spans="1:20" x14ac:dyDescent="0.35">
      <c r="A5" s="16" t="s">
        <v>115</v>
      </c>
      <c r="B5" s="1" t="s">
        <v>10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6"/>
      <c r="I5" s="6"/>
      <c r="J5" s="6"/>
      <c r="K5" s="6"/>
      <c r="L5" s="6"/>
      <c r="M5" s="6"/>
      <c r="N5" s="6"/>
      <c r="O5" s="6"/>
      <c r="P5" s="6"/>
      <c r="Q5" s="2"/>
      <c r="R5" s="2"/>
      <c r="S5" s="2"/>
      <c r="T5" s="22"/>
    </row>
    <row r="6" spans="1:20" x14ac:dyDescent="0.35">
      <c r="A6" s="16" t="s">
        <v>115</v>
      </c>
      <c r="B6" s="1" t="s">
        <v>12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6"/>
      <c r="I6" s="6"/>
      <c r="J6" s="6"/>
      <c r="K6" s="6"/>
      <c r="L6" s="6"/>
      <c r="M6" s="6"/>
      <c r="N6" s="6"/>
      <c r="O6" s="6"/>
      <c r="P6" s="6"/>
      <c r="Q6" s="2"/>
      <c r="R6" s="2"/>
      <c r="S6" s="2"/>
      <c r="T6" s="22"/>
    </row>
    <row r="7" spans="1:20" x14ac:dyDescent="0.35">
      <c r="A7" s="16" t="s">
        <v>115</v>
      </c>
      <c r="B7" s="1" t="s">
        <v>16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6"/>
      <c r="I7" s="6"/>
      <c r="J7" s="6"/>
      <c r="K7" s="6"/>
      <c r="L7" s="6"/>
      <c r="M7" s="6"/>
      <c r="N7" s="6"/>
      <c r="O7" s="6"/>
      <c r="P7" s="6"/>
      <c r="Q7" s="2"/>
      <c r="R7" s="2"/>
      <c r="S7" s="2"/>
      <c r="T7" s="22"/>
    </row>
    <row r="8" spans="1:20" x14ac:dyDescent="0.35">
      <c r="A8" s="16" t="s">
        <v>115</v>
      </c>
      <c r="B8" s="1" t="s">
        <v>17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6"/>
      <c r="I8" s="6"/>
      <c r="J8" s="6"/>
      <c r="K8" s="6"/>
      <c r="L8" s="6"/>
      <c r="M8" s="6"/>
      <c r="N8" s="6"/>
      <c r="O8" s="6"/>
      <c r="P8" s="6"/>
      <c r="Q8" s="2"/>
      <c r="R8" s="2"/>
      <c r="S8" s="2"/>
      <c r="T8" s="22"/>
    </row>
    <row r="9" spans="1:20" x14ac:dyDescent="0.35">
      <c r="A9" s="16" t="s">
        <v>115</v>
      </c>
      <c r="B9" s="1" t="s">
        <v>18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6"/>
      <c r="I9" s="6"/>
      <c r="J9" s="6"/>
      <c r="K9" s="6"/>
      <c r="L9" s="6"/>
      <c r="M9" s="6"/>
      <c r="N9" s="6"/>
      <c r="O9" s="6"/>
      <c r="P9" s="6"/>
      <c r="Q9" s="2"/>
      <c r="R9" s="2"/>
      <c r="S9" s="2"/>
      <c r="T9" s="22"/>
    </row>
    <row r="10" spans="1:20" x14ac:dyDescent="0.35">
      <c r="A10" s="16" t="s">
        <v>115</v>
      </c>
      <c r="B10" s="1" t="s">
        <v>20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6"/>
      <c r="I10" s="6"/>
      <c r="J10" s="6"/>
      <c r="K10" s="6"/>
      <c r="L10" s="6"/>
      <c r="M10" s="6"/>
      <c r="N10" s="6"/>
      <c r="O10" s="6"/>
      <c r="P10" s="6"/>
      <c r="Q10" s="2"/>
      <c r="R10" s="2"/>
      <c r="S10" s="2"/>
      <c r="T10" s="22"/>
    </row>
    <row r="11" spans="1:20" x14ac:dyDescent="0.35">
      <c r="A11" s="16" t="s">
        <v>115</v>
      </c>
      <c r="B11" s="1" t="s">
        <v>21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6"/>
      <c r="I11" s="6"/>
      <c r="J11" s="6"/>
      <c r="K11" s="6"/>
      <c r="L11" s="6"/>
      <c r="M11" s="6"/>
      <c r="N11" s="6"/>
      <c r="O11" s="6"/>
      <c r="P11" s="6"/>
      <c r="Q11" s="2"/>
      <c r="R11" s="2"/>
      <c r="S11" s="2"/>
      <c r="T11" s="22"/>
    </row>
    <row r="12" spans="1:20" x14ac:dyDescent="0.35">
      <c r="A12" s="16" t="s">
        <v>115</v>
      </c>
      <c r="B12" s="1" t="s">
        <v>23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6"/>
      <c r="I12" s="6"/>
      <c r="J12" s="6"/>
      <c r="K12" s="6"/>
      <c r="L12" s="6"/>
      <c r="M12" s="6"/>
      <c r="N12" s="6"/>
      <c r="O12" s="6"/>
      <c r="P12" s="6"/>
      <c r="Q12" s="2"/>
      <c r="R12" s="2"/>
      <c r="S12" s="2"/>
      <c r="T12" s="22"/>
    </row>
    <row r="13" spans="1:20" x14ac:dyDescent="0.35">
      <c r="A13" s="16" t="s">
        <v>115</v>
      </c>
      <c r="B13" s="1" t="s">
        <v>25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6"/>
      <c r="I13" s="6"/>
      <c r="J13" s="6"/>
      <c r="K13" s="6"/>
      <c r="L13" s="6"/>
      <c r="M13" s="6"/>
      <c r="N13" s="6"/>
      <c r="O13" s="6"/>
      <c r="P13" s="6"/>
      <c r="Q13" s="2"/>
      <c r="R13" s="2"/>
      <c r="S13" s="2"/>
      <c r="T13" s="22"/>
    </row>
    <row r="14" spans="1:20" x14ac:dyDescent="0.35">
      <c r="A14" s="16" t="s">
        <v>115</v>
      </c>
      <c r="B14" s="1" t="s">
        <v>26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6"/>
      <c r="I14" s="6"/>
      <c r="J14" s="6"/>
      <c r="K14" s="6"/>
      <c r="L14" s="6"/>
      <c r="M14" s="6"/>
      <c r="N14" s="6"/>
      <c r="O14" s="6"/>
      <c r="P14" s="6"/>
      <c r="Q14" s="2"/>
      <c r="R14" s="2"/>
      <c r="S14" s="2"/>
      <c r="T14" s="22"/>
    </row>
    <row r="15" spans="1:20" x14ac:dyDescent="0.35">
      <c r="A15" s="16" t="s">
        <v>115</v>
      </c>
      <c r="B15" s="1" t="s">
        <v>28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6"/>
      <c r="I15" s="6"/>
      <c r="J15" s="6"/>
      <c r="K15" s="6"/>
      <c r="L15" s="6"/>
      <c r="M15" s="6"/>
      <c r="N15" s="6"/>
      <c r="O15" s="6"/>
      <c r="P15" s="6"/>
      <c r="Q15" s="2"/>
      <c r="R15" s="2"/>
      <c r="S15" s="2"/>
      <c r="T15" s="22"/>
    </row>
    <row r="16" spans="1:20" x14ac:dyDescent="0.35">
      <c r="A16" s="16" t="s">
        <v>115</v>
      </c>
      <c r="B16" s="1" t="s">
        <v>29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6"/>
      <c r="I16" s="6"/>
      <c r="J16" s="6"/>
      <c r="K16" s="6"/>
      <c r="L16" s="6"/>
      <c r="M16" s="6"/>
      <c r="N16" s="6"/>
      <c r="O16" s="6"/>
      <c r="P16" s="6"/>
      <c r="Q16" s="2"/>
      <c r="R16" s="2"/>
      <c r="S16" s="2"/>
      <c r="T16" s="22"/>
    </row>
    <row r="17" spans="1:20" x14ac:dyDescent="0.35">
      <c r="A17" s="16" t="s">
        <v>115</v>
      </c>
      <c r="B17" s="1" t="s">
        <v>30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6"/>
      <c r="I17" s="6"/>
      <c r="J17" s="6"/>
      <c r="K17" s="6"/>
      <c r="L17" s="6"/>
      <c r="M17" s="6"/>
      <c r="N17" s="6"/>
      <c r="O17" s="6"/>
      <c r="P17" s="6"/>
      <c r="Q17" s="2"/>
      <c r="R17" s="2"/>
      <c r="S17" s="2"/>
      <c r="T17" s="22"/>
    </row>
    <row r="18" spans="1:20" x14ac:dyDescent="0.35">
      <c r="A18" s="16" t="s">
        <v>115</v>
      </c>
      <c r="B18" s="1" t="s">
        <v>32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6"/>
      <c r="I18" s="6"/>
      <c r="J18" s="6"/>
      <c r="K18" s="6"/>
      <c r="L18" s="6"/>
      <c r="M18" s="6"/>
      <c r="N18" s="6"/>
      <c r="O18" s="6"/>
      <c r="P18" s="6"/>
      <c r="Q18" s="2"/>
      <c r="R18" s="2"/>
      <c r="S18" s="2"/>
      <c r="T18" s="22"/>
    </row>
    <row r="19" spans="1:20" x14ac:dyDescent="0.35">
      <c r="A19" s="16" t="s">
        <v>115</v>
      </c>
      <c r="B19" s="1" t="s">
        <v>33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6"/>
      <c r="I19" s="6"/>
      <c r="J19" s="6"/>
      <c r="K19" s="6"/>
      <c r="L19" s="6"/>
      <c r="M19" s="6"/>
      <c r="N19" s="6"/>
      <c r="O19" s="6"/>
      <c r="P19" s="6"/>
      <c r="Q19" s="2"/>
      <c r="R19" s="2"/>
      <c r="S19" s="2"/>
      <c r="T19" s="22"/>
    </row>
    <row r="20" spans="1:20" x14ac:dyDescent="0.35">
      <c r="A20" s="16" t="s">
        <v>115</v>
      </c>
      <c r="B20" s="1" t="s">
        <v>34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6"/>
      <c r="I20" s="6"/>
      <c r="J20" s="6"/>
      <c r="K20" s="6"/>
      <c r="L20" s="6"/>
      <c r="M20" s="6"/>
      <c r="N20" s="6"/>
      <c r="O20" s="6"/>
      <c r="P20" s="6"/>
      <c r="Q20" s="2"/>
      <c r="R20" s="2"/>
      <c r="S20" s="2"/>
      <c r="T20" s="22"/>
    </row>
    <row r="21" spans="1:20" x14ac:dyDescent="0.35">
      <c r="A21" s="16" t="s">
        <v>115</v>
      </c>
      <c r="B21" s="1" t="s">
        <v>35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6"/>
      <c r="I21" s="6"/>
      <c r="J21" s="6"/>
      <c r="K21" s="6"/>
      <c r="L21" s="6"/>
      <c r="M21" s="6"/>
      <c r="N21" s="6"/>
      <c r="O21" s="6"/>
      <c r="P21" s="6"/>
      <c r="Q21" s="2"/>
      <c r="R21" s="2"/>
      <c r="S21" s="2"/>
      <c r="T21" s="22"/>
    </row>
    <row r="22" spans="1:20" x14ac:dyDescent="0.35">
      <c r="A22" s="16" t="s">
        <v>115</v>
      </c>
      <c r="B22" s="1" t="s">
        <v>37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6"/>
      <c r="I22" s="6"/>
      <c r="J22" s="6"/>
      <c r="K22" s="6"/>
      <c r="L22" s="6"/>
      <c r="M22" s="6"/>
      <c r="N22" s="6"/>
      <c r="O22" s="6"/>
      <c r="P22" s="6"/>
      <c r="Q22" s="2"/>
      <c r="R22" s="2"/>
      <c r="S22" s="2"/>
      <c r="T22" s="22"/>
    </row>
    <row r="23" spans="1:20" x14ac:dyDescent="0.35">
      <c r="A23" s="16" t="s">
        <v>115</v>
      </c>
      <c r="B23" s="1" t="s">
        <v>38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6"/>
      <c r="I23" s="6"/>
      <c r="J23" s="6"/>
      <c r="K23" s="6"/>
      <c r="L23" s="6"/>
      <c r="M23" s="6"/>
      <c r="N23" s="6"/>
      <c r="O23" s="6"/>
      <c r="P23" s="6"/>
      <c r="Q23" s="2"/>
      <c r="R23" s="2"/>
      <c r="S23" s="2"/>
      <c r="T23" s="22"/>
    </row>
    <row r="24" spans="1:20" x14ac:dyDescent="0.35">
      <c r="A24" s="16" t="s">
        <v>115</v>
      </c>
      <c r="B24" s="1" t="s">
        <v>39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6"/>
      <c r="I24" s="6"/>
      <c r="J24" s="6"/>
      <c r="K24" s="6"/>
      <c r="L24" s="6"/>
      <c r="M24" s="6"/>
      <c r="N24" s="6"/>
      <c r="O24" s="6"/>
      <c r="P24" s="6"/>
      <c r="Q24" s="2"/>
      <c r="R24" s="2"/>
      <c r="S24" s="2"/>
      <c r="T24" s="22"/>
    </row>
    <row r="25" spans="1:20" x14ac:dyDescent="0.35">
      <c r="A25" s="16" t="s">
        <v>115</v>
      </c>
      <c r="B25" s="1" t="s">
        <v>40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6"/>
      <c r="I25" s="6"/>
      <c r="J25" s="6"/>
      <c r="K25" s="6"/>
      <c r="L25" s="6"/>
      <c r="M25" s="6"/>
      <c r="N25" s="6"/>
      <c r="O25" s="6"/>
      <c r="P25" s="6"/>
      <c r="Q25" s="2"/>
      <c r="R25" s="2"/>
      <c r="S25" s="2"/>
      <c r="T25" s="22"/>
    </row>
    <row r="26" spans="1:20" x14ac:dyDescent="0.35">
      <c r="A26" s="16" t="s">
        <v>115</v>
      </c>
      <c r="B26" s="1" t="s">
        <v>41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6"/>
      <c r="I26" s="6"/>
      <c r="J26" s="6"/>
      <c r="K26" s="6"/>
      <c r="L26" s="6"/>
      <c r="M26" s="6"/>
      <c r="N26" s="6"/>
      <c r="O26" s="6"/>
      <c r="P26" s="6"/>
      <c r="Q26" s="2"/>
      <c r="R26" s="2"/>
      <c r="S26" s="2"/>
      <c r="T26" s="22"/>
    </row>
    <row r="27" spans="1:20" x14ac:dyDescent="0.35">
      <c r="A27" s="16" t="s">
        <v>115</v>
      </c>
      <c r="B27" s="1" t="s">
        <v>42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6"/>
      <c r="I27" s="6"/>
      <c r="J27" s="6"/>
      <c r="K27" s="6"/>
      <c r="L27" s="6"/>
      <c r="M27" s="6"/>
      <c r="N27" s="6"/>
      <c r="O27" s="6"/>
      <c r="P27" s="6"/>
      <c r="Q27" s="2"/>
      <c r="R27" s="2"/>
      <c r="S27" s="2"/>
      <c r="T27" s="22"/>
    </row>
    <row r="28" spans="1:20" x14ac:dyDescent="0.35">
      <c r="A28" s="16" t="s">
        <v>115</v>
      </c>
      <c r="B28" s="1" t="s">
        <v>43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6"/>
      <c r="I28" s="6"/>
      <c r="J28" s="6"/>
      <c r="K28" s="6"/>
      <c r="L28" s="6"/>
      <c r="M28" s="6"/>
      <c r="N28" s="6"/>
      <c r="O28" s="6"/>
      <c r="P28" s="6"/>
      <c r="Q28" s="2"/>
      <c r="R28" s="2"/>
      <c r="S28" s="2"/>
      <c r="T28" s="22"/>
    </row>
    <row r="29" spans="1:20" x14ac:dyDescent="0.35">
      <c r="A29" s="16" t="s">
        <v>115</v>
      </c>
      <c r="B29" s="1" t="s">
        <v>44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6"/>
      <c r="I29" s="6"/>
      <c r="J29" s="6"/>
      <c r="K29" s="6"/>
      <c r="L29" s="6"/>
      <c r="M29" s="6"/>
      <c r="N29" s="6"/>
      <c r="O29" s="6"/>
      <c r="P29" s="6"/>
      <c r="Q29" s="2"/>
      <c r="R29" s="2"/>
      <c r="S29" s="2"/>
      <c r="T29" s="22"/>
    </row>
    <row r="30" spans="1:20" x14ac:dyDescent="0.35">
      <c r="A30" s="16" t="s">
        <v>115</v>
      </c>
      <c r="B30" s="1" t="s">
        <v>45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6"/>
      <c r="I30" s="6"/>
      <c r="J30" s="6"/>
      <c r="K30" s="6"/>
      <c r="L30" s="6"/>
      <c r="M30" s="6"/>
      <c r="N30" s="6"/>
      <c r="O30" s="6"/>
      <c r="P30" s="6"/>
      <c r="Q30" s="2"/>
      <c r="R30" s="2"/>
      <c r="S30" s="2"/>
      <c r="T30" s="22"/>
    </row>
    <row r="31" spans="1:20" x14ac:dyDescent="0.35">
      <c r="A31" s="16" t="s">
        <v>115</v>
      </c>
      <c r="B31" s="1" t="s">
        <v>46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6"/>
      <c r="I31" s="6"/>
      <c r="J31" s="6"/>
      <c r="K31" s="6"/>
      <c r="L31" s="6"/>
      <c r="M31" s="6"/>
      <c r="N31" s="6"/>
      <c r="O31" s="6"/>
      <c r="P31" s="6"/>
      <c r="Q31" s="2"/>
      <c r="R31" s="2"/>
      <c r="S31" s="2"/>
      <c r="T31" s="22"/>
    </row>
    <row r="32" spans="1:20" x14ac:dyDescent="0.35">
      <c r="A32" s="16" t="s">
        <v>115</v>
      </c>
      <c r="B32" s="1" t="s">
        <v>47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6"/>
      <c r="I32" s="6"/>
      <c r="J32" s="6"/>
      <c r="K32" s="6"/>
      <c r="L32" s="6"/>
      <c r="M32" s="6"/>
      <c r="N32" s="6"/>
      <c r="O32" s="6"/>
      <c r="P32" s="6"/>
      <c r="Q32" s="2"/>
      <c r="R32" s="2"/>
      <c r="S32" s="2"/>
      <c r="T32" s="22"/>
    </row>
    <row r="33" spans="1:20" x14ac:dyDescent="0.35">
      <c r="A33" s="16" t="s">
        <v>115</v>
      </c>
      <c r="B33" s="1" t="s">
        <v>48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6"/>
      <c r="I33" s="6"/>
      <c r="J33" s="6"/>
      <c r="K33" s="6"/>
      <c r="L33" s="6"/>
      <c r="M33" s="6"/>
      <c r="N33" s="6"/>
      <c r="O33" s="6"/>
      <c r="P33" s="6"/>
      <c r="Q33" s="2"/>
      <c r="R33" s="2"/>
      <c r="S33" s="2"/>
      <c r="T33" s="22"/>
    </row>
    <row r="34" spans="1:20" x14ac:dyDescent="0.35">
      <c r="A34" s="16" t="s">
        <v>115</v>
      </c>
      <c r="B34" s="1" t="s">
        <v>49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6"/>
      <c r="I34" s="6"/>
      <c r="J34" s="6"/>
      <c r="K34" s="6"/>
      <c r="L34" s="6"/>
      <c r="M34" s="6"/>
      <c r="N34" s="6"/>
      <c r="O34" s="6"/>
      <c r="P34" s="6"/>
      <c r="Q34" s="2"/>
      <c r="R34" s="2"/>
      <c r="S34" s="2"/>
      <c r="T34" s="22"/>
    </row>
    <row r="35" spans="1:20" x14ac:dyDescent="0.35">
      <c r="A35" s="16" t="s">
        <v>115</v>
      </c>
      <c r="B35" s="1" t="s">
        <v>50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6"/>
      <c r="I35" s="6"/>
      <c r="J35" s="6"/>
      <c r="K35" s="6"/>
      <c r="L35" s="6"/>
      <c r="M35" s="6"/>
      <c r="N35" s="6"/>
      <c r="O35" s="6"/>
      <c r="P35" s="6"/>
      <c r="Q35" s="2"/>
      <c r="R35" s="2"/>
      <c r="S35" s="2"/>
      <c r="T35" s="22"/>
    </row>
    <row r="36" spans="1:20" x14ac:dyDescent="0.35">
      <c r="A36" s="16" t="s">
        <v>115</v>
      </c>
      <c r="B36" s="1" t="s">
        <v>51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6"/>
      <c r="I36" s="6"/>
      <c r="J36" s="6"/>
      <c r="K36" s="6"/>
      <c r="L36" s="6"/>
      <c r="M36" s="6"/>
      <c r="N36" s="6"/>
      <c r="O36" s="6"/>
      <c r="P36" s="6"/>
      <c r="Q36" s="2"/>
      <c r="R36" s="2"/>
      <c r="S36" s="2"/>
      <c r="T36" s="22"/>
    </row>
    <row r="37" spans="1:20" x14ac:dyDescent="0.35">
      <c r="A37" s="16" t="s">
        <v>115</v>
      </c>
      <c r="B37" s="1" t="s">
        <v>52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6"/>
      <c r="I37" s="6"/>
      <c r="J37" s="6"/>
      <c r="K37" s="6"/>
      <c r="L37" s="6"/>
      <c r="M37" s="6"/>
      <c r="N37" s="6"/>
      <c r="O37" s="6"/>
      <c r="P37" s="6"/>
      <c r="Q37" s="2"/>
      <c r="R37" s="2"/>
      <c r="S37" s="2"/>
      <c r="T37" s="22"/>
    </row>
    <row r="38" spans="1:20" x14ac:dyDescent="0.35">
      <c r="A38" s="16" t="s">
        <v>115</v>
      </c>
      <c r="B38" s="1" t="s">
        <v>53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6"/>
      <c r="I38" s="6"/>
      <c r="J38" s="6"/>
      <c r="K38" s="6"/>
      <c r="L38" s="6"/>
      <c r="M38" s="6"/>
      <c r="N38" s="6"/>
      <c r="O38" s="6"/>
      <c r="P38" s="6"/>
      <c r="Q38" s="2"/>
      <c r="R38" s="2"/>
      <c r="S38" s="2"/>
      <c r="T38" s="22"/>
    </row>
    <row r="39" spans="1:20" x14ac:dyDescent="0.35">
      <c r="A39" s="16" t="s">
        <v>115</v>
      </c>
      <c r="B39" s="1" t="s">
        <v>55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6"/>
      <c r="I39" s="6"/>
      <c r="J39" s="6"/>
      <c r="K39" s="6"/>
      <c r="L39" s="6"/>
      <c r="M39" s="6"/>
      <c r="N39" s="6"/>
      <c r="O39" s="6"/>
      <c r="P39" s="6"/>
      <c r="Q39" s="2"/>
      <c r="R39" s="2"/>
      <c r="S39" s="2"/>
      <c r="T39" s="22"/>
    </row>
    <row r="40" spans="1:20" x14ac:dyDescent="0.35">
      <c r="A40" s="16" t="s">
        <v>115</v>
      </c>
      <c r="B40" s="1" t="s">
        <v>56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6"/>
      <c r="I40" s="6"/>
      <c r="J40" s="6"/>
      <c r="K40" s="6"/>
      <c r="L40" s="6"/>
      <c r="M40" s="6"/>
      <c r="N40" s="6"/>
      <c r="O40" s="6"/>
      <c r="P40" s="6"/>
      <c r="Q40" s="2"/>
      <c r="R40" s="2"/>
      <c r="S40" s="2"/>
      <c r="T40" s="22"/>
    </row>
    <row r="41" spans="1:20" x14ac:dyDescent="0.35">
      <c r="A41" s="16" t="s">
        <v>115</v>
      </c>
      <c r="B41" s="1" t="s">
        <v>57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6"/>
      <c r="I41" s="6"/>
      <c r="J41" s="6"/>
      <c r="K41" s="6"/>
      <c r="L41" s="6"/>
      <c r="M41" s="6"/>
      <c r="N41" s="6"/>
      <c r="O41" s="6"/>
      <c r="P41" s="6"/>
      <c r="Q41" s="2"/>
      <c r="R41" s="2"/>
      <c r="S41" s="2"/>
      <c r="T41" s="22"/>
    </row>
    <row r="42" spans="1:20" x14ac:dyDescent="0.35">
      <c r="A42" s="16" t="s">
        <v>115</v>
      </c>
      <c r="B42" s="1" t="s">
        <v>58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6"/>
      <c r="I42" s="6"/>
      <c r="J42" s="6"/>
      <c r="K42" s="6"/>
      <c r="L42" s="6"/>
      <c r="M42" s="6"/>
      <c r="N42" s="6"/>
      <c r="O42" s="6"/>
      <c r="P42" s="6"/>
      <c r="Q42" s="2"/>
      <c r="R42" s="2"/>
      <c r="S42" s="2"/>
      <c r="T42" s="22"/>
    </row>
    <row r="43" spans="1:20" x14ac:dyDescent="0.35">
      <c r="A43" s="16" t="s">
        <v>115</v>
      </c>
      <c r="B43" s="1" t="s">
        <v>60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6"/>
      <c r="I43" s="6"/>
      <c r="J43" s="6"/>
      <c r="K43" s="6"/>
      <c r="L43" s="6"/>
      <c r="M43" s="6"/>
      <c r="N43" s="6"/>
      <c r="O43" s="6"/>
      <c r="P43" s="6"/>
      <c r="Q43" s="2"/>
      <c r="R43" s="2"/>
      <c r="S43" s="2"/>
      <c r="T43" s="22"/>
    </row>
    <row r="44" spans="1:20" x14ac:dyDescent="0.35">
      <c r="A44" s="16" t="s">
        <v>115</v>
      </c>
      <c r="B44" s="1" t="s">
        <v>61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6"/>
      <c r="I44" s="6"/>
      <c r="J44" s="6"/>
      <c r="K44" s="6"/>
      <c r="L44" s="6"/>
      <c r="M44" s="6"/>
      <c r="N44" s="6"/>
      <c r="O44" s="6"/>
      <c r="P44" s="6"/>
      <c r="Q44" s="2"/>
      <c r="R44" s="2"/>
      <c r="S44" s="2"/>
      <c r="T44" s="22"/>
    </row>
    <row r="45" spans="1:20" x14ac:dyDescent="0.35">
      <c r="A45" s="16" t="s">
        <v>115</v>
      </c>
      <c r="B45" s="1" t="s">
        <v>62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6"/>
      <c r="I45" s="6"/>
      <c r="J45" s="6"/>
      <c r="K45" s="6"/>
      <c r="L45" s="6"/>
      <c r="M45" s="6"/>
      <c r="N45" s="6"/>
      <c r="O45" s="6"/>
      <c r="P45" s="6"/>
      <c r="Q45" s="2"/>
      <c r="R45" s="2"/>
      <c r="S45" s="2"/>
      <c r="T45" s="22"/>
    </row>
    <row r="46" spans="1:20" x14ac:dyDescent="0.35">
      <c r="A46" s="16" t="s">
        <v>115</v>
      </c>
      <c r="B46" s="1" t="s">
        <v>63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6"/>
      <c r="I46" s="6"/>
      <c r="J46" s="6"/>
      <c r="K46" s="6"/>
      <c r="L46" s="6"/>
      <c r="M46" s="6"/>
      <c r="N46" s="6"/>
      <c r="O46" s="6"/>
      <c r="P46" s="6"/>
      <c r="Q46" s="2"/>
      <c r="R46" s="2"/>
      <c r="S46" s="2"/>
      <c r="T46" s="22"/>
    </row>
    <row r="47" spans="1:20" x14ac:dyDescent="0.35">
      <c r="A47" s="16" t="s">
        <v>115</v>
      </c>
      <c r="B47" s="1" t="s">
        <v>64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6"/>
      <c r="I47" s="6"/>
      <c r="J47" s="6"/>
      <c r="K47" s="6"/>
      <c r="L47" s="6"/>
      <c r="M47" s="6"/>
      <c r="N47" s="6"/>
      <c r="O47" s="6"/>
      <c r="P47" s="6"/>
      <c r="Q47" s="2"/>
      <c r="R47" s="2"/>
      <c r="S47" s="2"/>
      <c r="T47" s="22"/>
    </row>
    <row r="48" spans="1:20" x14ac:dyDescent="0.35">
      <c r="A48" s="16" t="s">
        <v>115</v>
      </c>
      <c r="B48" s="1" t="s">
        <v>65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6"/>
      <c r="I48" s="6"/>
      <c r="J48" s="6"/>
      <c r="K48" s="6"/>
      <c r="L48" s="6"/>
      <c r="M48" s="6"/>
      <c r="N48" s="6"/>
      <c r="O48" s="6"/>
      <c r="P48" s="6"/>
      <c r="Q48" s="2"/>
      <c r="R48" s="2"/>
      <c r="S48" s="2"/>
      <c r="T48" s="22"/>
    </row>
    <row r="49" spans="1:20" x14ac:dyDescent="0.35">
      <c r="A49" s="16" t="s">
        <v>115</v>
      </c>
      <c r="B49" s="1" t="s">
        <v>66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6"/>
      <c r="I49" s="6"/>
      <c r="J49" s="6"/>
      <c r="K49" s="6"/>
      <c r="L49" s="6"/>
      <c r="M49" s="6"/>
      <c r="N49" s="6"/>
      <c r="O49" s="6"/>
      <c r="P49" s="6"/>
      <c r="Q49" s="2"/>
      <c r="R49" s="2"/>
      <c r="S49" s="2"/>
      <c r="T49" s="22"/>
    </row>
    <row r="50" spans="1:20" x14ac:dyDescent="0.35">
      <c r="A50" s="16" t="s">
        <v>115</v>
      </c>
      <c r="B50" s="1" t="s">
        <v>68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6"/>
      <c r="I50" s="6"/>
      <c r="J50" s="6"/>
      <c r="K50" s="6"/>
      <c r="L50" s="6"/>
      <c r="M50" s="6"/>
      <c r="N50" s="6"/>
      <c r="O50" s="6"/>
      <c r="P50" s="6"/>
      <c r="Q50" s="2"/>
      <c r="R50" s="2"/>
      <c r="S50" s="2"/>
      <c r="T50" s="22"/>
    </row>
    <row r="51" spans="1:20" x14ac:dyDescent="0.35">
      <c r="A51" s="16" t="s">
        <v>115</v>
      </c>
      <c r="B51" s="1" t="s">
        <v>69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6"/>
      <c r="I51" s="6"/>
      <c r="J51" s="6"/>
      <c r="K51" s="6"/>
      <c r="L51" s="6"/>
      <c r="M51" s="6"/>
      <c r="N51" s="6"/>
      <c r="O51" s="6"/>
      <c r="P51" s="6"/>
      <c r="Q51" s="2"/>
      <c r="R51" s="2"/>
      <c r="S51" s="2"/>
      <c r="T51" s="22"/>
    </row>
    <row r="52" spans="1:20" x14ac:dyDescent="0.35">
      <c r="A52" s="16" t="s">
        <v>115</v>
      </c>
      <c r="B52" s="1" t="s">
        <v>71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6"/>
      <c r="I52" s="6"/>
      <c r="J52" s="6"/>
      <c r="K52" s="6"/>
      <c r="L52" s="6"/>
      <c r="M52" s="6"/>
      <c r="N52" s="6"/>
      <c r="O52" s="6"/>
      <c r="P52" s="6"/>
      <c r="Q52" s="2"/>
      <c r="R52" s="2"/>
      <c r="S52" s="2"/>
      <c r="T52" s="22"/>
    </row>
    <row r="53" spans="1:20" x14ac:dyDescent="0.35">
      <c r="A53" s="16" t="s">
        <v>115</v>
      </c>
      <c r="B53" s="1" t="s">
        <v>72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6"/>
      <c r="I53" s="6"/>
      <c r="J53" s="6"/>
      <c r="K53" s="6"/>
      <c r="L53" s="6"/>
      <c r="M53" s="6"/>
      <c r="N53" s="6"/>
      <c r="O53" s="6"/>
      <c r="P53" s="6"/>
      <c r="Q53" s="2"/>
      <c r="R53" s="2"/>
      <c r="S53" s="2"/>
      <c r="T53" s="22"/>
    </row>
    <row r="54" spans="1:20" x14ac:dyDescent="0.35">
      <c r="A54" s="16" t="s">
        <v>115</v>
      </c>
      <c r="B54" s="1" t="s">
        <v>73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6"/>
      <c r="I54" s="6"/>
      <c r="J54" s="6"/>
      <c r="K54" s="6"/>
      <c r="L54" s="6"/>
      <c r="M54" s="6"/>
      <c r="N54" s="6"/>
      <c r="O54" s="6"/>
      <c r="P54" s="6"/>
      <c r="Q54" s="2"/>
      <c r="R54" s="2"/>
      <c r="S54" s="2"/>
      <c r="T54" s="22"/>
    </row>
    <row r="55" spans="1:20" x14ac:dyDescent="0.35">
      <c r="A55" s="16" t="s">
        <v>115</v>
      </c>
      <c r="B55" s="1" t="s">
        <v>74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6"/>
      <c r="I55" s="6"/>
      <c r="J55" s="6"/>
      <c r="K55" s="6"/>
      <c r="L55" s="6"/>
      <c r="M55" s="6"/>
      <c r="N55" s="6"/>
      <c r="O55" s="6"/>
      <c r="P55" s="6"/>
      <c r="Q55" s="2"/>
      <c r="R55" s="2"/>
      <c r="S55" s="2"/>
      <c r="T55" s="22"/>
    </row>
    <row r="56" spans="1:20" x14ac:dyDescent="0.35">
      <c r="A56" s="16" t="s">
        <v>115</v>
      </c>
      <c r="B56" s="1" t="s">
        <v>75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6"/>
      <c r="I56" s="6"/>
      <c r="J56" s="6"/>
      <c r="K56" s="6"/>
      <c r="L56" s="6"/>
      <c r="M56" s="6"/>
      <c r="N56" s="6"/>
      <c r="O56" s="6"/>
      <c r="P56" s="6"/>
      <c r="Q56" s="2"/>
      <c r="R56" s="2"/>
      <c r="S56" s="2"/>
      <c r="T56" s="22"/>
    </row>
    <row r="57" spans="1:20" x14ac:dyDescent="0.35">
      <c r="A57" s="16" t="s">
        <v>115</v>
      </c>
      <c r="B57" s="1" t="s">
        <v>76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6"/>
      <c r="I57" s="6"/>
      <c r="J57" s="6"/>
      <c r="K57" s="6"/>
      <c r="L57" s="6"/>
      <c r="M57" s="6"/>
      <c r="N57" s="6"/>
      <c r="O57" s="6"/>
      <c r="P57" s="6"/>
      <c r="Q57" s="2"/>
      <c r="R57" s="2"/>
      <c r="S57" s="2"/>
      <c r="T57" s="22"/>
    </row>
    <row r="58" spans="1:20" x14ac:dyDescent="0.35">
      <c r="A58" s="16" t="s">
        <v>115</v>
      </c>
      <c r="B58" s="1" t="s">
        <v>77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6"/>
      <c r="I58" s="6"/>
      <c r="J58" s="6"/>
      <c r="K58" s="6"/>
      <c r="L58" s="6"/>
      <c r="M58" s="6"/>
      <c r="N58" s="6"/>
      <c r="O58" s="6"/>
      <c r="P58" s="6"/>
      <c r="Q58" s="2"/>
      <c r="R58" s="2"/>
      <c r="S58" s="2"/>
      <c r="T58" s="22"/>
    </row>
    <row r="59" spans="1:20" x14ac:dyDescent="0.35">
      <c r="A59" s="16" t="s">
        <v>115</v>
      </c>
      <c r="B59" s="1" t="s">
        <v>78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6"/>
      <c r="I59" s="6"/>
      <c r="J59" s="6"/>
      <c r="K59" s="6"/>
      <c r="L59" s="6"/>
      <c r="M59" s="6"/>
      <c r="N59" s="6"/>
      <c r="O59" s="6"/>
      <c r="P59" s="6"/>
      <c r="Q59" s="2"/>
      <c r="R59" s="2"/>
      <c r="S59" s="2"/>
      <c r="T59" s="22"/>
    </row>
    <row r="60" spans="1:20" x14ac:dyDescent="0.35">
      <c r="A60" s="16" t="s">
        <v>115</v>
      </c>
      <c r="B60" s="1" t="s">
        <v>79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6"/>
      <c r="I60" s="6"/>
      <c r="J60" s="6"/>
      <c r="K60" s="6"/>
      <c r="L60" s="6"/>
      <c r="M60" s="6"/>
      <c r="N60" s="6"/>
      <c r="O60" s="6"/>
      <c r="P60" s="6"/>
      <c r="Q60" s="2"/>
      <c r="R60" s="2"/>
      <c r="S60" s="2"/>
      <c r="T60" s="22"/>
    </row>
    <row r="61" spans="1:20" x14ac:dyDescent="0.35">
      <c r="A61" s="16" t="s">
        <v>115</v>
      </c>
      <c r="B61" s="1" t="s">
        <v>80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6"/>
      <c r="I61" s="6"/>
      <c r="J61" s="6"/>
      <c r="K61" s="6"/>
      <c r="L61" s="6"/>
      <c r="M61" s="6"/>
      <c r="N61" s="6"/>
      <c r="O61" s="6"/>
      <c r="P61" s="6"/>
      <c r="Q61" s="2"/>
      <c r="R61" s="2"/>
      <c r="S61" s="2"/>
      <c r="T61" s="22"/>
    </row>
    <row r="62" spans="1:20" x14ac:dyDescent="0.35">
      <c r="A62" s="16" t="s">
        <v>115</v>
      </c>
      <c r="B62" s="1" t="s">
        <v>81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6"/>
      <c r="I62" s="6"/>
      <c r="J62" s="6"/>
      <c r="K62" s="6"/>
      <c r="L62" s="6"/>
      <c r="M62" s="6"/>
      <c r="N62" s="6"/>
      <c r="O62" s="6"/>
      <c r="P62" s="6"/>
      <c r="Q62" s="2"/>
      <c r="R62" s="2"/>
      <c r="S62" s="2"/>
      <c r="T62" s="22"/>
    </row>
    <row r="63" spans="1:20" x14ac:dyDescent="0.35">
      <c r="A63" s="16" t="s">
        <v>115</v>
      </c>
      <c r="B63" s="1" t="s">
        <v>82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6"/>
      <c r="I63" s="6"/>
      <c r="J63" s="6"/>
      <c r="K63" s="6"/>
      <c r="L63" s="6"/>
      <c r="M63" s="6"/>
      <c r="N63" s="6"/>
      <c r="O63" s="6"/>
      <c r="P63" s="6"/>
      <c r="Q63" s="2"/>
      <c r="R63" s="2"/>
      <c r="S63" s="2"/>
      <c r="T63" s="22"/>
    </row>
    <row r="64" spans="1:20" x14ac:dyDescent="0.35">
      <c r="A64" s="16" t="s">
        <v>115</v>
      </c>
      <c r="B64" s="1" t="s">
        <v>83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6"/>
      <c r="I64" s="6"/>
      <c r="J64" s="6"/>
      <c r="K64" s="6"/>
      <c r="L64" s="6"/>
      <c r="M64" s="6"/>
      <c r="N64" s="6"/>
      <c r="O64" s="6"/>
      <c r="P64" s="6"/>
      <c r="Q64" s="2"/>
      <c r="R64" s="2"/>
      <c r="S64" s="2"/>
      <c r="T64" s="22"/>
    </row>
    <row r="65" spans="1:20" x14ac:dyDescent="0.35">
      <c r="A65" s="16" t="s">
        <v>115</v>
      </c>
      <c r="B65" s="1" t="s">
        <v>84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6"/>
      <c r="I65" s="6"/>
      <c r="J65" s="6"/>
      <c r="K65" s="6"/>
      <c r="L65" s="6"/>
      <c r="M65" s="6"/>
      <c r="N65" s="6"/>
      <c r="O65" s="6"/>
      <c r="P65" s="6"/>
      <c r="Q65" s="2"/>
      <c r="R65" s="2"/>
      <c r="S65" s="2"/>
      <c r="T65" s="22"/>
    </row>
    <row r="66" spans="1:20" x14ac:dyDescent="0.35">
      <c r="A66" s="16" t="s">
        <v>115</v>
      </c>
      <c r="B66" s="1" t="s">
        <v>86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6"/>
      <c r="I66" s="6"/>
      <c r="J66" s="6"/>
      <c r="K66" s="6"/>
      <c r="L66" s="6"/>
      <c r="M66" s="6"/>
      <c r="N66" s="6"/>
      <c r="O66" s="6"/>
      <c r="P66" s="6"/>
      <c r="Q66" s="2"/>
      <c r="R66" s="2"/>
      <c r="S66" s="2"/>
      <c r="T66" s="22"/>
    </row>
    <row r="67" spans="1:20" x14ac:dyDescent="0.35">
      <c r="A67" s="16" t="s">
        <v>115</v>
      </c>
      <c r="B67" s="1" t="s">
        <v>89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6"/>
      <c r="I67" s="6"/>
      <c r="J67" s="6"/>
      <c r="K67" s="6"/>
      <c r="L67" s="6"/>
      <c r="M67" s="6"/>
      <c r="N67" s="6"/>
      <c r="O67" s="6"/>
      <c r="P67" s="6"/>
      <c r="Q67" s="2"/>
      <c r="R67" s="2"/>
      <c r="S67" s="2"/>
      <c r="T67" s="22"/>
    </row>
    <row r="68" spans="1:20" x14ac:dyDescent="0.35">
      <c r="A68" s="16" t="s">
        <v>115</v>
      </c>
      <c r="B68" s="1" t="s">
        <v>91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6"/>
      <c r="I68" s="6"/>
      <c r="J68" s="6"/>
      <c r="K68" s="6"/>
      <c r="L68" s="6"/>
      <c r="M68" s="6"/>
      <c r="N68" s="6"/>
      <c r="O68" s="6"/>
      <c r="P68" s="6"/>
      <c r="Q68" s="2"/>
      <c r="R68" s="2"/>
      <c r="S68" s="2"/>
      <c r="T68" s="22"/>
    </row>
    <row r="69" spans="1:20" x14ac:dyDescent="0.35">
      <c r="A69" s="16" t="s">
        <v>115</v>
      </c>
      <c r="B69" s="1" t="s">
        <v>92</v>
      </c>
      <c r="C69" s="15" t="e">
        <f>VLOOKUP(B69,Mapping!A:B,2,0)</f>
        <v>#N/A</v>
      </c>
      <c r="D69" s="15" t="e">
        <f>VLOOKUP(B69,Mapping!A:C,3,0)</f>
        <v>#N/A</v>
      </c>
      <c r="E69" s="16" t="e">
        <f>VLOOKUP(B69,Mapping!A:D,4,0)</f>
        <v>#N/A</v>
      </c>
      <c r="F69" s="16" t="e">
        <f>VLOOKUP(B69,Mapping!A:E,5,0)</f>
        <v>#N/A</v>
      </c>
      <c r="G69" s="16" t="e">
        <f>VLOOKUP(B69,Mapping!A:F,6,0)</f>
        <v>#N/A</v>
      </c>
      <c r="H69" s="6"/>
      <c r="I69" s="6"/>
      <c r="J69" s="6"/>
      <c r="K69" s="6"/>
      <c r="L69" s="6"/>
      <c r="M69" s="6"/>
      <c r="N69" s="6"/>
      <c r="O69" s="6"/>
      <c r="P69" s="6"/>
      <c r="Q69" s="2"/>
      <c r="R69" s="2"/>
      <c r="S69" s="2"/>
      <c r="T69" s="22"/>
    </row>
    <row r="70" spans="1:20" x14ac:dyDescent="0.35">
      <c r="A70" s="16" t="s">
        <v>115</v>
      </c>
      <c r="B70" s="1" t="s">
        <v>93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6"/>
      <c r="I70" s="6"/>
      <c r="J70" s="6"/>
      <c r="K70" s="6"/>
      <c r="L70" s="6"/>
      <c r="M70" s="6"/>
      <c r="N70" s="6"/>
      <c r="O70" s="6"/>
      <c r="P70" s="6"/>
      <c r="Q70" s="2"/>
      <c r="R70" s="2"/>
      <c r="S70" s="2"/>
      <c r="T70" s="22"/>
    </row>
    <row r="71" spans="1:20" x14ac:dyDescent="0.35">
      <c r="A71" s="16" t="s">
        <v>115</v>
      </c>
      <c r="B71" s="1" t="s">
        <v>94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6"/>
      <c r="I71" s="6"/>
      <c r="J71" s="6"/>
      <c r="K71" s="6"/>
      <c r="L71" s="6"/>
      <c r="M71" s="6"/>
      <c r="N71" s="6"/>
      <c r="O71" s="6"/>
      <c r="P71" s="6"/>
      <c r="Q71" s="2"/>
      <c r="R71" s="2"/>
      <c r="S71" s="2"/>
      <c r="T71" s="22"/>
    </row>
    <row r="72" spans="1:20" x14ac:dyDescent="0.35">
      <c r="A72" s="16" t="s">
        <v>115</v>
      </c>
      <c r="B72" s="1" t="s">
        <v>95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6"/>
      <c r="I72" s="6"/>
      <c r="J72" s="6"/>
      <c r="K72" s="6"/>
      <c r="L72" s="6"/>
      <c r="M72" s="6"/>
      <c r="N72" s="6"/>
      <c r="O72" s="6"/>
      <c r="P72" s="6"/>
      <c r="Q72" s="2"/>
      <c r="R72" s="2"/>
      <c r="S72" s="2"/>
      <c r="T72" s="22"/>
    </row>
    <row r="73" spans="1:20" x14ac:dyDescent="0.35">
      <c r="A73" s="16" t="s">
        <v>115</v>
      </c>
      <c r="B73" s="1" t="s">
        <v>97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6"/>
      <c r="I73" s="6"/>
      <c r="J73" s="6"/>
      <c r="K73" s="6"/>
      <c r="L73" s="6"/>
      <c r="M73" s="6"/>
      <c r="N73" s="6"/>
      <c r="O73" s="6"/>
      <c r="P73" s="6"/>
      <c r="Q73" s="2"/>
      <c r="R73" s="2"/>
      <c r="S73" s="2"/>
      <c r="T73" s="22"/>
    </row>
    <row r="74" spans="1:20" x14ac:dyDescent="0.35">
      <c r="A74" s="16" t="s">
        <v>115</v>
      </c>
      <c r="B74" s="1" t="s">
        <v>98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6"/>
      <c r="I74" s="6"/>
      <c r="J74" s="6"/>
      <c r="K74" s="6"/>
      <c r="L74" s="6"/>
      <c r="M74" s="6"/>
      <c r="N74" s="6"/>
      <c r="O74" s="6"/>
      <c r="P74" s="6"/>
      <c r="Q74" s="2"/>
      <c r="R74" s="2"/>
      <c r="S74" s="2"/>
      <c r="T74" s="22"/>
    </row>
    <row r="75" spans="1:20" x14ac:dyDescent="0.35">
      <c r="A75" s="16" t="s">
        <v>115</v>
      </c>
      <c r="B75" s="1" t="s">
        <v>99</v>
      </c>
      <c r="C75" s="15" t="e">
        <f>VLOOKUP(B75,Mapping!A:B,2,0)</f>
        <v>#N/A</v>
      </c>
      <c r="D75" s="15" t="e">
        <f>VLOOKUP(B75,Mapping!A:C,3,0)</f>
        <v>#N/A</v>
      </c>
      <c r="E75" s="16" t="e">
        <f>VLOOKUP(B75,Mapping!A:D,4,0)</f>
        <v>#N/A</v>
      </c>
      <c r="F75" s="16" t="e">
        <f>VLOOKUP(B75,Mapping!A:E,5,0)</f>
        <v>#N/A</v>
      </c>
      <c r="G75" s="16" t="e">
        <f>VLOOKUP(B75,Mapping!A:F,6,0)</f>
        <v>#N/A</v>
      </c>
      <c r="H75" s="6"/>
      <c r="I75" s="6"/>
      <c r="J75" s="6"/>
      <c r="K75" s="6"/>
      <c r="L75" s="6"/>
      <c r="M75" s="6"/>
      <c r="N75" s="6"/>
      <c r="O75" s="6"/>
      <c r="P75" s="6"/>
      <c r="Q75" s="2"/>
      <c r="R75" s="2"/>
      <c r="S75" s="2"/>
      <c r="T75" s="22"/>
    </row>
    <row r="76" spans="1:20" x14ac:dyDescent="0.35">
      <c r="A76" s="16" t="s">
        <v>115</v>
      </c>
      <c r="B76" s="1" t="s">
        <v>100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6"/>
      <c r="I76" s="6"/>
      <c r="J76" s="6"/>
      <c r="K76" s="6"/>
      <c r="L76" s="6"/>
      <c r="M76" s="6"/>
      <c r="N76" s="6"/>
      <c r="O76" s="6"/>
      <c r="P76" s="6"/>
      <c r="Q76" s="2"/>
      <c r="R76" s="2"/>
      <c r="S76" s="2"/>
      <c r="T76" s="22"/>
    </row>
    <row r="77" spans="1:20" x14ac:dyDescent="0.35">
      <c r="A77" s="16" t="s">
        <v>115</v>
      </c>
      <c r="B77" s="32" t="s">
        <v>118</v>
      </c>
      <c r="C77" s="31" t="s">
        <v>127</v>
      </c>
      <c r="D77" s="31" t="s">
        <v>127</v>
      </c>
      <c r="E77" s="31" t="s">
        <v>127</v>
      </c>
      <c r="F77" t="s">
        <v>129</v>
      </c>
      <c r="G77" t="s">
        <v>128</v>
      </c>
      <c r="T77" s="22"/>
    </row>
    <row r="78" spans="1:20" x14ac:dyDescent="0.35">
      <c r="A78" s="16" t="s">
        <v>115</v>
      </c>
      <c r="B78" s="32" t="s">
        <v>136</v>
      </c>
      <c r="C78" s="31" t="s">
        <v>127</v>
      </c>
      <c r="D78" s="31" t="s">
        <v>127</v>
      </c>
      <c r="E78" s="31" t="s">
        <v>127</v>
      </c>
      <c r="F78" t="s">
        <v>129</v>
      </c>
      <c r="G78" t="s">
        <v>128</v>
      </c>
      <c r="T78" s="22"/>
    </row>
  </sheetData>
  <conditionalFormatting sqref="A1:B1 I1:S1 E1:G1">
    <cfRule type="duplicateValues" dxfId="43" priority="1"/>
  </conditionalFormatting>
  <conditionalFormatting sqref="B42:B50 B74:B78">
    <cfRule type="duplicateValues" dxfId="42" priority="7"/>
  </conditionalFormatting>
  <conditionalFormatting sqref="B51:B73 B2:B41">
    <cfRule type="duplicateValues" dxfId="41" priority="6"/>
  </conditionalFormatting>
  <conditionalFormatting sqref="Q2:S76">
    <cfRule type="cellIs" dxfId="40" priority="5" operator="greaterThan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45C25-0760-4BB2-98B6-E13A40ABD989}">
  <sheetPr codeName="Sheet12">
    <tabColor rgb="FF92D050"/>
  </sheetPr>
  <dimension ref="A1:T87"/>
  <sheetViews>
    <sheetView topLeftCell="C1" workbookViewId="0">
      <selection activeCell="H24" sqref="H24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2.1796875" bestFit="1" customWidth="1"/>
    <col min="7" max="7" width="13.1796875" bestFit="1" customWidth="1"/>
    <col min="8" max="8" width="6.81640625" bestFit="1" customWidth="1"/>
    <col min="9" max="9" width="7.453125" bestFit="1" customWidth="1"/>
    <col min="10" max="10" width="6.7265625" bestFit="1" customWidth="1"/>
    <col min="11" max="11" width="6.1796875" bestFit="1" customWidth="1"/>
    <col min="12" max="12" width="7.1796875" bestFit="1" customWidth="1"/>
    <col min="13" max="13" width="7" bestFit="1" customWidth="1"/>
    <col min="14" max="14" width="6.7265625" bestFit="1" customWidth="1"/>
    <col min="15" max="15" width="7.26953125" bestFit="1" customWidth="1"/>
    <col min="16" max="16" width="7" bestFit="1" customWidth="1"/>
    <col min="17" max="17" width="6.54296875" bestFit="1" customWidth="1"/>
    <col min="18" max="18" width="7" bestFit="1" customWidth="1"/>
    <col min="19" max="19" width="7.1796875" bestFit="1" customWidth="1"/>
  </cols>
  <sheetData>
    <row r="1" spans="1:20" x14ac:dyDescent="0.35">
      <c r="H1" s="23">
        <f t="shared" ref="H1:S1" si="0">SUM(H3:H86)</f>
        <v>0</v>
      </c>
      <c r="I1" s="23">
        <f t="shared" si="0"/>
        <v>0</v>
      </c>
      <c r="J1" s="23">
        <f t="shared" si="0"/>
        <v>0</v>
      </c>
      <c r="K1" s="23">
        <f t="shared" si="0"/>
        <v>0</v>
      </c>
      <c r="L1" s="23">
        <f t="shared" si="0"/>
        <v>0</v>
      </c>
      <c r="M1" s="23">
        <f t="shared" si="0"/>
        <v>0</v>
      </c>
      <c r="N1" s="23">
        <f t="shared" si="0"/>
        <v>0</v>
      </c>
      <c r="O1" s="23">
        <f t="shared" si="0"/>
        <v>0</v>
      </c>
      <c r="P1" s="23">
        <f t="shared" si="0"/>
        <v>0</v>
      </c>
      <c r="Q1" s="23">
        <f t="shared" si="0"/>
        <v>0</v>
      </c>
      <c r="R1" s="23">
        <f t="shared" si="0"/>
        <v>0</v>
      </c>
      <c r="S1" s="23">
        <f t="shared" si="0"/>
        <v>0</v>
      </c>
    </row>
    <row r="2" spans="1:20" x14ac:dyDescent="0.35">
      <c r="A2" s="25" t="str">
        <f>Revenue_Budget!A2</f>
        <v>FY</v>
      </c>
      <c r="B2" s="25" t="str">
        <f>Revenue_Budget!B2</f>
        <v>Project</v>
      </c>
      <c r="C2" s="25" t="str">
        <f>Revenue_Budget!C2</f>
        <v>Vertical</v>
      </c>
      <c r="D2" s="25" t="str">
        <f>Revenue_Budget!D2</f>
        <v>Region</v>
      </c>
      <c r="E2" s="25" t="str">
        <f>Revenue_Budget!E2</f>
        <v>Sub Region</v>
      </c>
      <c r="F2" s="25" t="str">
        <f>Revenue_Budget!F2</f>
        <v>Region Head</v>
      </c>
      <c r="G2" s="25" t="str">
        <f>Revenue_Budget!G2</f>
        <v>Practice Head</v>
      </c>
      <c r="H2" s="26">
        <f>Revenue_Budget!H2</f>
        <v>46113</v>
      </c>
      <c r="I2" s="26">
        <f>Revenue_Budget!I2</f>
        <v>46143</v>
      </c>
      <c r="J2" s="26">
        <f>Revenue_Budget!J2</f>
        <v>46174</v>
      </c>
      <c r="K2" s="26">
        <f>Revenue_Budget!K2</f>
        <v>46204</v>
      </c>
      <c r="L2" s="26">
        <f>Revenue_Budget!L2</f>
        <v>46235</v>
      </c>
      <c r="M2" s="26">
        <f>Revenue_Budget!M2</f>
        <v>46266</v>
      </c>
      <c r="N2" s="26">
        <f>Revenue_Budget!N2</f>
        <v>46296</v>
      </c>
      <c r="O2" s="26">
        <f>Revenue_Budget!O2</f>
        <v>46327</v>
      </c>
      <c r="P2" s="26">
        <f>Revenue_Budget!P2</f>
        <v>46357</v>
      </c>
      <c r="Q2" s="26">
        <f>Revenue_Budget!Q2</f>
        <v>46388</v>
      </c>
      <c r="R2" s="26">
        <f>Revenue_Budget!R2</f>
        <v>46419</v>
      </c>
      <c r="S2" s="26">
        <f>Revenue_Budget!S2</f>
        <v>46447</v>
      </c>
    </row>
    <row r="3" spans="1:20" x14ac:dyDescent="0.35">
      <c r="A3" s="1" t="s">
        <v>115</v>
      </c>
      <c r="B3" s="1" t="s">
        <v>2</v>
      </c>
      <c r="C3" s="1" t="str">
        <f>VLOOKUP(B3,Mapping!A:B,2,0)</f>
        <v>Lateral</v>
      </c>
      <c r="D3" s="1" t="str">
        <f>VLOOKUP(B3,Mapping!A:C,3,0)</f>
        <v>South</v>
      </c>
      <c r="E3" s="1" t="str">
        <f>VLOOKUP(B3,Mapping!A:D,4,0)</f>
        <v>South 1</v>
      </c>
      <c r="F3" s="1" t="str">
        <f>VLOOKUP(B3,Mapping!A:E,5,0)</f>
        <v>Bapi</v>
      </c>
      <c r="G3" s="1" t="str">
        <f>VLOOKUP(B3,Mapping!A:F,6,0)</f>
        <v>Bapi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5"/>
    </row>
    <row r="4" spans="1:20" x14ac:dyDescent="0.35">
      <c r="A4" s="1" t="s">
        <v>115</v>
      </c>
      <c r="B4" s="1" t="s">
        <v>4</v>
      </c>
      <c r="C4" s="1" t="str">
        <f>VLOOKUP(B4,Mapping!A:B,2,0)</f>
        <v>Lateral</v>
      </c>
      <c r="D4" s="1" t="str">
        <f>VLOOKUP(B4,Mapping!A:C,3,0)</f>
        <v>West</v>
      </c>
      <c r="E4" s="1" t="str">
        <f>VLOOKUP(B4,Mapping!A:D,4,0)</f>
        <v>West 1</v>
      </c>
      <c r="F4" s="1" t="str">
        <f>VLOOKUP(B4,Mapping!A:E,5,0)</f>
        <v>Anjli</v>
      </c>
      <c r="G4" s="1" t="str">
        <f>VLOOKUP(B4,Mapping!A:F,6,0)</f>
        <v>Usha</v>
      </c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5"/>
    </row>
    <row r="5" spans="1:20" x14ac:dyDescent="0.35">
      <c r="A5" s="1" t="s">
        <v>115</v>
      </c>
      <c r="B5" s="1" t="s">
        <v>8</v>
      </c>
      <c r="C5" s="1" t="str">
        <f>VLOOKUP(B5,Mapping!A:B,2,0)</f>
        <v>Lateral</v>
      </c>
      <c r="D5" s="1" t="str">
        <f>VLOOKUP(B5,Mapping!A:C,3,0)</f>
        <v>West</v>
      </c>
      <c r="E5" s="1" t="str">
        <f>VLOOKUP(B5,Mapping!A:D,4,0)</f>
        <v>West 2</v>
      </c>
      <c r="F5" s="1" t="str">
        <f>VLOOKUP(B5,Mapping!A:E,5,0)</f>
        <v>Anjli</v>
      </c>
      <c r="G5" s="1" t="str">
        <f>VLOOKUP(B5,Mapping!A:F,6,0)</f>
        <v>Shweta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5"/>
    </row>
    <row r="6" spans="1:20" x14ac:dyDescent="0.35">
      <c r="A6" s="1" t="s">
        <v>115</v>
      </c>
      <c r="B6" s="1" t="s">
        <v>10</v>
      </c>
      <c r="C6" s="1" t="str">
        <f>VLOOKUP(B6,Mapping!A:B,2,0)</f>
        <v>Lateral</v>
      </c>
      <c r="D6" s="1" t="str">
        <f>VLOOKUP(B6,Mapping!A:C,3,0)</f>
        <v>North</v>
      </c>
      <c r="E6" s="1" t="str">
        <f>VLOOKUP(B6,Mapping!A:D,4,0)</f>
        <v>North</v>
      </c>
      <c r="F6" s="1" t="str">
        <f>VLOOKUP(B6,Mapping!A:E,5,0)</f>
        <v>Anjli</v>
      </c>
      <c r="G6" s="1" t="str">
        <f>VLOOKUP(B6,Mapping!A:F,6,0)</f>
        <v>Archana</v>
      </c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5"/>
    </row>
    <row r="7" spans="1:20" x14ac:dyDescent="0.35">
      <c r="A7" s="1" t="s">
        <v>115</v>
      </c>
      <c r="B7" s="1" t="s">
        <v>12</v>
      </c>
      <c r="C7" s="1" t="str">
        <f>VLOOKUP(B7,Mapping!A:B,2,0)</f>
        <v>Lateral</v>
      </c>
      <c r="D7" s="1" t="str">
        <f>VLOOKUP(B7,Mapping!A:C,3,0)</f>
        <v>South</v>
      </c>
      <c r="E7" s="1" t="str">
        <f>VLOOKUP(B7,Mapping!A:D,4,0)</f>
        <v>South 1</v>
      </c>
      <c r="F7" s="1" t="str">
        <f>VLOOKUP(B7,Mapping!A:E,5,0)</f>
        <v>Sulabh</v>
      </c>
      <c r="G7" s="1" t="str">
        <f>VLOOKUP(B7,Mapping!A:F,6,0)</f>
        <v>Kunal</v>
      </c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5"/>
    </row>
    <row r="8" spans="1:20" x14ac:dyDescent="0.35">
      <c r="A8" s="1" t="s">
        <v>115</v>
      </c>
      <c r="B8" s="1" t="s">
        <v>16</v>
      </c>
      <c r="C8" s="1" t="str">
        <f>VLOOKUP(B8,Mapping!A:B,2,0)</f>
        <v>Lateral</v>
      </c>
      <c r="D8" s="1" t="str">
        <f>VLOOKUP(B8,Mapping!A:C,3,0)</f>
        <v>West</v>
      </c>
      <c r="E8" s="1" t="str">
        <f>VLOOKUP(B8,Mapping!A:D,4,0)</f>
        <v>West 1</v>
      </c>
      <c r="F8" s="1" t="str">
        <f>VLOOKUP(B8,Mapping!A:E,5,0)</f>
        <v>Anjli</v>
      </c>
      <c r="G8" s="1" t="str">
        <f>VLOOKUP(B8,Mapping!A:F,6,0)</f>
        <v>Usha</v>
      </c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5"/>
    </row>
    <row r="9" spans="1:20" x14ac:dyDescent="0.35">
      <c r="A9" s="1" t="s">
        <v>115</v>
      </c>
      <c r="B9" s="1" t="s">
        <v>17</v>
      </c>
      <c r="C9" s="1" t="str">
        <f>VLOOKUP(B9,Mapping!A:B,2,0)</f>
        <v>Lateral</v>
      </c>
      <c r="D9" s="1" t="str">
        <f>VLOOKUP(B9,Mapping!A:C,3,0)</f>
        <v>West</v>
      </c>
      <c r="E9" s="1" t="str">
        <f>VLOOKUP(B9,Mapping!A:D,4,0)</f>
        <v>West 2</v>
      </c>
      <c r="F9" s="1" t="str">
        <f>VLOOKUP(B9,Mapping!A:E,5,0)</f>
        <v>Anjli</v>
      </c>
      <c r="G9" s="1" t="str">
        <f>VLOOKUP(B9,Mapping!A:F,6,0)</f>
        <v>Shweta</v>
      </c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5"/>
    </row>
    <row r="10" spans="1:20" x14ac:dyDescent="0.35">
      <c r="A10" s="1" t="s">
        <v>115</v>
      </c>
      <c r="B10" s="1" t="s">
        <v>18</v>
      </c>
      <c r="C10" s="1" t="str">
        <f>VLOOKUP(B10,Mapping!A:B,2,0)</f>
        <v>Lateral</v>
      </c>
      <c r="D10" s="1" t="str">
        <f>VLOOKUP(B10,Mapping!A:C,3,0)</f>
        <v>West</v>
      </c>
      <c r="E10" s="1" t="str">
        <f>VLOOKUP(B10,Mapping!A:D,4,0)</f>
        <v>West 1</v>
      </c>
      <c r="F10" s="1" t="str">
        <f>VLOOKUP(B10,Mapping!A:E,5,0)</f>
        <v>Anjli</v>
      </c>
      <c r="G10" s="1" t="str">
        <f>VLOOKUP(B10,Mapping!A:F,6,0)</f>
        <v>Geetu</v>
      </c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5"/>
    </row>
    <row r="11" spans="1:20" x14ac:dyDescent="0.35">
      <c r="A11" s="1" t="s">
        <v>115</v>
      </c>
      <c r="B11" s="1" t="s">
        <v>20</v>
      </c>
      <c r="C11" s="1" t="str">
        <f>VLOOKUP(B11,Mapping!A:B,2,0)</f>
        <v>Lateral</v>
      </c>
      <c r="D11" s="1" t="str">
        <f>VLOOKUP(B11,Mapping!A:C,3,0)</f>
        <v>West</v>
      </c>
      <c r="E11" s="1" t="str">
        <f>VLOOKUP(B11,Mapping!A:D,4,0)</f>
        <v>West 1</v>
      </c>
      <c r="F11" s="1" t="str">
        <f>VLOOKUP(B11,Mapping!A:E,5,0)</f>
        <v>Anjli</v>
      </c>
      <c r="G11" s="1" t="str">
        <f>VLOOKUP(B11,Mapping!A:F,6,0)</f>
        <v>Geetu</v>
      </c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5"/>
    </row>
    <row r="12" spans="1:20" x14ac:dyDescent="0.35">
      <c r="A12" s="1" t="s">
        <v>115</v>
      </c>
      <c r="B12" s="1" t="s">
        <v>21</v>
      </c>
      <c r="C12" s="1" t="str">
        <f>VLOOKUP(B12,Mapping!A:B,2,0)</f>
        <v>Lateral</v>
      </c>
      <c r="D12" s="1" t="str">
        <f>VLOOKUP(B12,Mapping!A:C,3,0)</f>
        <v>South</v>
      </c>
      <c r="E12" s="1" t="str">
        <f>VLOOKUP(B12,Mapping!A:D,4,0)</f>
        <v>South 1</v>
      </c>
      <c r="F12" s="1" t="str">
        <f>VLOOKUP(B12,Mapping!A:E,5,0)</f>
        <v>Mahak</v>
      </c>
      <c r="G12" s="1" t="str">
        <f>VLOOKUP(B12,Mapping!A:F,6,0)</f>
        <v>Mahak</v>
      </c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5"/>
    </row>
    <row r="13" spans="1:20" x14ac:dyDescent="0.35">
      <c r="A13" s="1" t="s">
        <v>115</v>
      </c>
      <c r="B13" s="1" t="s">
        <v>23</v>
      </c>
      <c r="C13" s="1" t="str">
        <f>VLOOKUP(B13,Mapping!A:B,2,0)</f>
        <v>Lateral</v>
      </c>
      <c r="D13" s="1" t="str">
        <f>VLOOKUP(B13,Mapping!A:C,3,0)</f>
        <v>South</v>
      </c>
      <c r="E13" s="1" t="str">
        <f>VLOOKUP(B13,Mapping!A:D,4,0)</f>
        <v>South 1</v>
      </c>
      <c r="F13" s="1" t="str">
        <f>VLOOKUP(B13,Mapping!A:E,5,0)</f>
        <v>Anjli</v>
      </c>
      <c r="G13" s="1" t="str">
        <f>VLOOKUP(B13,Mapping!A:F,6,0)</f>
        <v>Satya</v>
      </c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5"/>
    </row>
    <row r="14" spans="1:20" x14ac:dyDescent="0.35">
      <c r="A14" s="1" t="s">
        <v>115</v>
      </c>
      <c r="B14" s="1" t="s">
        <v>25</v>
      </c>
      <c r="C14" s="1" t="str">
        <f>VLOOKUP(B14,Mapping!A:B,2,0)</f>
        <v>Lateral</v>
      </c>
      <c r="D14" s="1" t="str">
        <f>VLOOKUP(B14,Mapping!A:C,3,0)</f>
        <v>West</v>
      </c>
      <c r="E14" s="1" t="str">
        <f>VLOOKUP(B14,Mapping!A:D,4,0)</f>
        <v>West 1</v>
      </c>
      <c r="F14" s="1" t="str">
        <f>VLOOKUP(B14,Mapping!A:E,5,0)</f>
        <v>Anjli</v>
      </c>
      <c r="G14" s="1" t="str">
        <f>VLOOKUP(B14,Mapping!A:F,6,0)</f>
        <v>Geetu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5"/>
    </row>
    <row r="15" spans="1:20" x14ac:dyDescent="0.35">
      <c r="A15" s="1" t="s">
        <v>115</v>
      </c>
      <c r="B15" s="1" t="s">
        <v>26</v>
      </c>
      <c r="C15" s="1" t="str">
        <f>VLOOKUP(B15,Mapping!A:B,2,0)</f>
        <v>Lateral</v>
      </c>
      <c r="D15" s="1" t="str">
        <f>VLOOKUP(B15,Mapping!A:C,3,0)</f>
        <v>South</v>
      </c>
      <c r="E15" s="1" t="str">
        <f>VLOOKUP(B15,Mapping!A:D,4,0)</f>
        <v>South 2</v>
      </c>
      <c r="F15" s="1" t="str">
        <f>VLOOKUP(B15,Mapping!A:E,5,0)</f>
        <v>Sulabh</v>
      </c>
      <c r="G15" s="1" t="str">
        <f>VLOOKUP(B15,Mapping!A:F,6,0)</f>
        <v>Krishna</v>
      </c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5"/>
    </row>
    <row r="16" spans="1:20" x14ac:dyDescent="0.35">
      <c r="A16" s="1" t="s">
        <v>115</v>
      </c>
      <c r="B16" s="1" t="s">
        <v>28</v>
      </c>
      <c r="C16" s="1" t="str">
        <f>VLOOKUP(B16,Mapping!A:B,2,0)</f>
        <v>Lateral</v>
      </c>
      <c r="D16" s="1" t="str">
        <f>VLOOKUP(B16,Mapping!A:C,3,0)</f>
        <v>West</v>
      </c>
      <c r="E16" s="1" t="str">
        <f>VLOOKUP(B16,Mapping!A:D,4,0)</f>
        <v>West 1</v>
      </c>
      <c r="F16" s="1" t="str">
        <f>VLOOKUP(B16,Mapping!A:E,5,0)</f>
        <v>Anjli</v>
      </c>
      <c r="G16" s="1" t="str">
        <f>VLOOKUP(B16,Mapping!A:F,6,0)</f>
        <v>Dhriti</v>
      </c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5"/>
    </row>
    <row r="17" spans="1:20" x14ac:dyDescent="0.35">
      <c r="A17" s="1" t="s">
        <v>115</v>
      </c>
      <c r="B17" s="1" t="s">
        <v>29</v>
      </c>
      <c r="C17" s="1" t="str">
        <f>VLOOKUP(B17,Mapping!A:B,2,0)</f>
        <v>Lateral</v>
      </c>
      <c r="D17" s="1" t="str">
        <f>VLOOKUP(B17,Mapping!A:C,3,0)</f>
        <v>South</v>
      </c>
      <c r="E17" s="1" t="str">
        <f>VLOOKUP(B17,Mapping!A:D,4,0)</f>
        <v>South 2</v>
      </c>
      <c r="F17" s="1" t="str">
        <f>VLOOKUP(B17,Mapping!A:E,5,0)</f>
        <v>Sulabh</v>
      </c>
      <c r="G17" s="1" t="str">
        <f>VLOOKUP(B17,Mapping!A:F,6,0)</f>
        <v>Krishna</v>
      </c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5"/>
    </row>
    <row r="18" spans="1:20" x14ac:dyDescent="0.35">
      <c r="A18" s="1" t="s">
        <v>115</v>
      </c>
      <c r="B18" s="1" t="s">
        <v>30</v>
      </c>
      <c r="C18" s="1" t="str">
        <f>VLOOKUP(B18,Mapping!A:B,2,0)</f>
        <v>Lateral</v>
      </c>
      <c r="D18" s="1" t="str">
        <f>VLOOKUP(B18,Mapping!A:C,3,0)</f>
        <v>South</v>
      </c>
      <c r="E18" s="1" t="str">
        <f>VLOOKUP(B18,Mapping!A:D,4,0)</f>
        <v>South 1</v>
      </c>
      <c r="F18" s="1" t="str">
        <f>VLOOKUP(B18,Mapping!A:E,5,0)</f>
        <v>Sulabh</v>
      </c>
      <c r="G18" s="1" t="str">
        <f>VLOOKUP(B18,Mapping!A:F,6,0)</f>
        <v>Subu</v>
      </c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5"/>
    </row>
    <row r="19" spans="1:20" x14ac:dyDescent="0.35">
      <c r="A19" s="1" t="s">
        <v>115</v>
      </c>
      <c r="B19" s="1" t="s">
        <v>32</v>
      </c>
      <c r="C19" s="1" t="str">
        <f>VLOOKUP(B19,Mapping!A:B,2,0)</f>
        <v>Lateral</v>
      </c>
      <c r="D19" s="1" t="str">
        <f>VLOOKUP(B19,Mapping!A:C,3,0)</f>
        <v>West</v>
      </c>
      <c r="E19" s="1" t="str">
        <f>VLOOKUP(B19,Mapping!A:D,4,0)</f>
        <v>West 2</v>
      </c>
      <c r="F19" s="1" t="str">
        <f>VLOOKUP(B19,Mapping!A:E,5,0)</f>
        <v>Anjli</v>
      </c>
      <c r="G19" s="1" t="str">
        <f>VLOOKUP(B19,Mapping!A:F,6,0)</f>
        <v>Anjli</v>
      </c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5"/>
    </row>
    <row r="20" spans="1:20" x14ac:dyDescent="0.35">
      <c r="A20" s="1" t="s">
        <v>115</v>
      </c>
      <c r="B20" s="1" t="s">
        <v>33</v>
      </c>
      <c r="C20" s="1" t="str">
        <f>VLOOKUP(B20,Mapping!A:B,2,0)</f>
        <v>Lateral</v>
      </c>
      <c r="D20" s="1" t="str">
        <f>VLOOKUP(B20,Mapping!A:C,3,0)</f>
        <v>West</v>
      </c>
      <c r="E20" s="1" t="str">
        <f>VLOOKUP(B20,Mapping!A:D,4,0)</f>
        <v>West 1</v>
      </c>
      <c r="F20" s="1" t="str">
        <f>VLOOKUP(B20,Mapping!A:E,5,0)</f>
        <v>Anjli</v>
      </c>
      <c r="G20" s="1" t="str">
        <f>VLOOKUP(B20,Mapping!A:F,6,0)</f>
        <v>Geetu</v>
      </c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5"/>
    </row>
    <row r="21" spans="1:20" x14ac:dyDescent="0.35">
      <c r="A21" s="1" t="s">
        <v>115</v>
      </c>
      <c r="B21" s="1" t="s">
        <v>34</v>
      </c>
      <c r="C21" s="1" t="str">
        <f>VLOOKUP(B21,Mapping!A:B,2,0)</f>
        <v>Lateral</v>
      </c>
      <c r="D21" s="1" t="str">
        <f>VLOOKUP(B21,Mapping!A:C,3,0)</f>
        <v>South</v>
      </c>
      <c r="E21" s="1" t="str">
        <f>VLOOKUP(B21,Mapping!A:D,4,0)</f>
        <v>South 1</v>
      </c>
      <c r="F21" s="1" t="str">
        <f>VLOOKUP(B21,Mapping!A:E,5,0)</f>
        <v>Sulabh</v>
      </c>
      <c r="G21" s="1" t="str">
        <f>VLOOKUP(B21,Mapping!A:F,6,0)</f>
        <v>Satya</v>
      </c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5"/>
    </row>
    <row r="22" spans="1:20" x14ac:dyDescent="0.35">
      <c r="A22" s="1" t="s">
        <v>115</v>
      </c>
      <c r="B22" s="1" t="s">
        <v>35</v>
      </c>
      <c r="C22" s="1" t="str">
        <f>VLOOKUP(B22,Mapping!A:B,2,0)</f>
        <v>Lateral</v>
      </c>
      <c r="D22" s="1" t="str">
        <f>VLOOKUP(B22,Mapping!A:C,3,0)</f>
        <v>West</v>
      </c>
      <c r="E22" s="1" t="str">
        <f>VLOOKUP(B22,Mapping!A:D,4,0)</f>
        <v>West 1</v>
      </c>
      <c r="F22" s="1" t="str">
        <f>VLOOKUP(B22,Mapping!A:E,5,0)</f>
        <v>Anjli</v>
      </c>
      <c r="G22" s="1" t="str">
        <f>VLOOKUP(B22,Mapping!A:F,6,0)</f>
        <v>Alifia</v>
      </c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5"/>
    </row>
    <row r="23" spans="1:20" x14ac:dyDescent="0.35">
      <c r="A23" s="1" t="s">
        <v>115</v>
      </c>
      <c r="B23" s="1" t="s">
        <v>37</v>
      </c>
      <c r="C23" s="1" t="str">
        <f>VLOOKUP(B23,Mapping!A:B,2,0)</f>
        <v>Lateral</v>
      </c>
      <c r="D23" s="1" t="str">
        <f>VLOOKUP(B23,Mapping!A:C,3,0)</f>
        <v>South</v>
      </c>
      <c r="E23" s="1" t="str">
        <f>VLOOKUP(B23,Mapping!A:D,4,0)</f>
        <v>South 2</v>
      </c>
      <c r="F23" s="1" t="str">
        <f>VLOOKUP(B23,Mapping!A:E,5,0)</f>
        <v>Sulabh</v>
      </c>
      <c r="G23" s="1" t="str">
        <f>VLOOKUP(B23,Mapping!A:F,6,0)</f>
        <v>Subu</v>
      </c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5"/>
    </row>
    <row r="24" spans="1:20" x14ac:dyDescent="0.35">
      <c r="A24" s="1" t="s">
        <v>115</v>
      </c>
      <c r="B24" s="1" t="s">
        <v>38</v>
      </c>
      <c r="C24" s="1" t="str">
        <f>VLOOKUP(B24,Mapping!A:B,2,0)</f>
        <v>Lateral</v>
      </c>
      <c r="D24" s="1" t="str">
        <f>VLOOKUP(B24,Mapping!A:C,3,0)</f>
        <v>North</v>
      </c>
      <c r="E24" s="1" t="str">
        <f>VLOOKUP(B24,Mapping!A:D,4,0)</f>
        <v>North</v>
      </c>
      <c r="F24" s="1" t="str">
        <f>VLOOKUP(B24,Mapping!A:E,5,0)</f>
        <v>Anjli</v>
      </c>
      <c r="G24" s="1" t="str">
        <f>VLOOKUP(B24,Mapping!A:F,6,0)</f>
        <v>Archana</v>
      </c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5"/>
    </row>
    <row r="25" spans="1:20" x14ac:dyDescent="0.35">
      <c r="A25" s="1" t="s">
        <v>115</v>
      </c>
      <c r="B25" s="1" t="s">
        <v>39</v>
      </c>
      <c r="C25" s="1" t="str">
        <f>VLOOKUP(B25,Mapping!A:B,2,0)</f>
        <v>Lateral</v>
      </c>
      <c r="D25" s="1" t="str">
        <f>VLOOKUP(B25,Mapping!A:C,3,0)</f>
        <v>South</v>
      </c>
      <c r="E25" s="1" t="str">
        <f>VLOOKUP(B25,Mapping!A:D,4,0)</f>
        <v>South 2</v>
      </c>
      <c r="F25" s="1" t="str">
        <f>VLOOKUP(B25,Mapping!A:E,5,0)</f>
        <v>Sulabh</v>
      </c>
      <c r="G25" s="1" t="str">
        <f>VLOOKUP(B25,Mapping!A:F,6,0)</f>
        <v>Krishna</v>
      </c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5"/>
    </row>
    <row r="26" spans="1:20" x14ac:dyDescent="0.35">
      <c r="A26" s="1" t="s">
        <v>115</v>
      </c>
      <c r="B26" s="1" t="s">
        <v>40</v>
      </c>
      <c r="C26" s="1" t="str">
        <f>VLOOKUP(B26,Mapping!A:B,2,0)</f>
        <v>Lateral</v>
      </c>
      <c r="D26" s="1" t="str">
        <f>VLOOKUP(B26,Mapping!A:C,3,0)</f>
        <v>West</v>
      </c>
      <c r="E26" s="1" t="str">
        <f>VLOOKUP(B26,Mapping!A:D,4,0)</f>
        <v>West 2</v>
      </c>
      <c r="F26" s="1" t="str">
        <f>VLOOKUP(B26,Mapping!A:E,5,0)</f>
        <v>Anjli</v>
      </c>
      <c r="G26" s="1" t="str">
        <f>VLOOKUP(B26,Mapping!A:F,6,0)</f>
        <v>Shweta</v>
      </c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5"/>
    </row>
    <row r="27" spans="1:20" x14ac:dyDescent="0.35">
      <c r="A27" s="1" t="s">
        <v>115</v>
      </c>
      <c r="B27" s="1" t="s">
        <v>41</v>
      </c>
      <c r="C27" s="1" t="str">
        <f>VLOOKUP(B27,Mapping!A:B,2,0)</f>
        <v>Lateral</v>
      </c>
      <c r="D27" s="1" t="str">
        <f>VLOOKUP(B27,Mapping!A:C,3,0)</f>
        <v>South</v>
      </c>
      <c r="E27" s="1" t="str">
        <f>VLOOKUP(B27,Mapping!A:D,4,0)</f>
        <v>South 2</v>
      </c>
      <c r="F27" s="1" t="str">
        <f>VLOOKUP(B27,Mapping!A:E,5,0)</f>
        <v>Sulabh</v>
      </c>
      <c r="G27" s="1" t="str">
        <f>VLOOKUP(B27,Mapping!A:F,6,0)</f>
        <v>Krishna</v>
      </c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5"/>
    </row>
    <row r="28" spans="1:20" x14ac:dyDescent="0.35">
      <c r="A28" s="1" t="s">
        <v>115</v>
      </c>
      <c r="B28" s="1" t="s">
        <v>42</v>
      </c>
      <c r="C28" s="1" t="str">
        <f>VLOOKUP(B28,Mapping!A:B,2,0)</f>
        <v>Lateral</v>
      </c>
      <c r="D28" s="1" t="str">
        <f>VLOOKUP(B28,Mapping!A:C,3,0)</f>
        <v>North</v>
      </c>
      <c r="E28" s="1" t="str">
        <f>VLOOKUP(B28,Mapping!A:D,4,0)</f>
        <v>North</v>
      </c>
      <c r="F28" s="1" t="str">
        <f>VLOOKUP(B28,Mapping!A:E,5,0)</f>
        <v>Anjli</v>
      </c>
      <c r="G28" s="1" t="str">
        <f>VLOOKUP(B28,Mapping!A:F,6,0)</f>
        <v>Archana</v>
      </c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5"/>
    </row>
    <row r="29" spans="1:20" x14ac:dyDescent="0.35">
      <c r="A29" s="1" t="s">
        <v>115</v>
      </c>
      <c r="B29" s="1" t="s">
        <v>43</v>
      </c>
      <c r="C29" s="1" t="str">
        <f>VLOOKUP(B29,Mapping!A:B,2,0)</f>
        <v>Lateral</v>
      </c>
      <c r="D29" s="1" t="str">
        <f>VLOOKUP(B29,Mapping!A:C,3,0)</f>
        <v>West</v>
      </c>
      <c r="E29" s="1" t="str">
        <f>VLOOKUP(B29,Mapping!A:D,4,0)</f>
        <v>West 2</v>
      </c>
      <c r="F29" s="1" t="str">
        <f>VLOOKUP(B29,Mapping!A:E,5,0)</f>
        <v>Anjli</v>
      </c>
      <c r="G29" s="1" t="str">
        <f>VLOOKUP(B29,Mapping!A:F,6,0)</f>
        <v>Shweta</v>
      </c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5"/>
    </row>
    <row r="30" spans="1:20" x14ac:dyDescent="0.35">
      <c r="A30" s="1" t="s">
        <v>115</v>
      </c>
      <c r="B30" s="1" t="s">
        <v>44</v>
      </c>
      <c r="C30" s="1" t="str">
        <f>VLOOKUP(B30,Mapping!A:B,2,0)</f>
        <v>Lateral</v>
      </c>
      <c r="D30" s="1" t="str">
        <f>VLOOKUP(B30,Mapping!A:C,3,0)</f>
        <v>North</v>
      </c>
      <c r="E30" s="1" t="str">
        <f>VLOOKUP(B30,Mapping!A:D,4,0)</f>
        <v>North</v>
      </c>
      <c r="F30" s="1" t="str">
        <f>VLOOKUP(B30,Mapping!A:E,5,0)</f>
        <v>Anjli</v>
      </c>
      <c r="G30" s="1" t="str">
        <f>VLOOKUP(B30,Mapping!A:F,6,0)</f>
        <v>Archana</v>
      </c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5"/>
    </row>
    <row r="31" spans="1:20" x14ac:dyDescent="0.35">
      <c r="A31" s="1" t="s">
        <v>115</v>
      </c>
      <c r="B31" s="1" t="s">
        <v>45</v>
      </c>
      <c r="C31" s="1" t="str">
        <f>VLOOKUP(B31,Mapping!A:B,2,0)</f>
        <v>Lateral</v>
      </c>
      <c r="D31" s="1" t="str">
        <f>VLOOKUP(B31,Mapping!A:C,3,0)</f>
        <v>South</v>
      </c>
      <c r="E31" s="1" t="str">
        <f>VLOOKUP(B31,Mapping!A:D,4,0)</f>
        <v>South 2</v>
      </c>
      <c r="F31" s="1" t="str">
        <f>VLOOKUP(B31,Mapping!A:E,5,0)</f>
        <v>Sulabh</v>
      </c>
      <c r="G31" s="1" t="str">
        <f>VLOOKUP(B31,Mapping!A:F,6,0)</f>
        <v>Krishna</v>
      </c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5"/>
    </row>
    <row r="32" spans="1:20" x14ac:dyDescent="0.35">
      <c r="A32" s="1" t="s">
        <v>115</v>
      </c>
      <c r="B32" s="1" t="s">
        <v>46</v>
      </c>
      <c r="C32" s="1" t="str">
        <f>VLOOKUP(B32,Mapping!A:B,2,0)</f>
        <v>Lateral</v>
      </c>
      <c r="D32" s="1" t="str">
        <f>VLOOKUP(B32,Mapping!A:C,3,0)</f>
        <v>West</v>
      </c>
      <c r="E32" s="1" t="str">
        <f>VLOOKUP(B32,Mapping!A:D,4,0)</f>
        <v>West 1</v>
      </c>
      <c r="F32" s="1" t="str">
        <f>VLOOKUP(B32,Mapping!A:E,5,0)</f>
        <v>Anjli</v>
      </c>
      <c r="G32" s="1" t="str">
        <f>VLOOKUP(B32,Mapping!A:F,6,0)</f>
        <v>Geetu</v>
      </c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5"/>
    </row>
    <row r="33" spans="1:20" x14ac:dyDescent="0.35">
      <c r="A33" s="1" t="s">
        <v>115</v>
      </c>
      <c r="B33" s="1" t="s">
        <v>47</v>
      </c>
      <c r="C33" s="1" t="str">
        <f>VLOOKUP(B33,Mapping!A:B,2,0)</f>
        <v>Lateral</v>
      </c>
      <c r="D33" s="1" t="str">
        <f>VLOOKUP(B33,Mapping!A:C,3,0)</f>
        <v>West</v>
      </c>
      <c r="E33" s="1" t="str">
        <f>VLOOKUP(B33,Mapping!A:D,4,0)</f>
        <v>West 1</v>
      </c>
      <c r="F33" s="1" t="str">
        <f>VLOOKUP(B33,Mapping!A:E,5,0)</f>
        <v>Anjli</v>
      </c>
      <c r="G33" s="1" t="str">
        <f>VLOOKUP(B33,Mapping!A:F,6,0)</f>
        <v>Geetu</v>
      </c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5"/>
    </row>
    <row r="34" spans="1:20" x14ac:dyDescent="0.35">
      <c r="A34" s="1" t="s">
        <v>115</v>
      </c>
      <c r="B34" s="1" t="s">
        <v>48</v>
      </c>
      <c r="C34" s="1" t="str">
        <f>VLOOKUP(B34,Mapping!A:B,2,0)</f>
        <v>Lateral</v>
      </c>
      <c r="D34" s="1" t="str">
        <f>VLOOKUP(B34,Mapping!A:C,3,0)</f>
        <v>West</v>
      </c>
      <c r="E34" s="1" t="str">
        <f>VLOOKUP(B34,Mapping!A:D,4,0)</f>
        <v>West 1</v>
      </c>
      <c r="F34" s="1" t="str">
        <f>VLOOKUP(B34,Mapping!A:E,5,0)</f>
        <v>Anjli</v>
      </c>
      <c r="G34" s="1" t="str">
        <f>VLOOKUP(B34,Mapping!A:F,6,0)</f>
        <v>Geetu</v>
      </c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5"/>
    </row>
    <row r="35" spans="1:20" x14ac:dyDescent="0.35">
      <c r="A35" s="1" t="s">
        <v>115</v>
      </c>
      <c r="B35" s="1" t="s">
        <v>49</v>
      </c>
      <c r="C35" s="1" t="str">
        <f>VLOOKUP(B35,Mapping!A:B,2,0)</f>
        <v>Lateral</v>
      </c>
      <c r="D35" s="1" t="str">
        <f>VLOOKUP(B35,Mapping!A:C,3,0)</f>
        <v>North</v>
      </c>
      <c r="E35" s="1" t="str">
        <f>VLOOKUP(B35,Mapping!A:D,4,0)</f>
        <v>North</v>
      </c>
      <c r="F35" s="1" t="str">
        <f>VLOOKUP(B35,Mapping!A:E,5,0)</f>
        <v>Anjli</v>
      </c>
      <c r="G35" s="1" t="str">
        <f>VLOOKUP(B35,Mapping!A:F,6,0)</f>
        <v>Archana</v>
      </c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5"/>
    </row>
    <row r="36" spans="1:20" x14ac:dyDescent="0.35">
      <c r="A36" s="1" t="s">
        <v>115</v>
      </c>
      <c r="B36" s="1" t="s">
        <v>50</v>
      </c>
      <c r="C36" s="1" t="str">
        <f>VLOOKUP(B36,Mapping!A:B,2,0)</f>
        <v>Lateral</v>
      </c>
      <c r="D36" s="1" t="str">
        <f>VLOOKUP(B36,Mapping!A:C,3,0)</f>
        <v>North</v>
      </c>
      <c r="E36" s="1" t="str">
        <f>VLOOKUP(B36,Mapping!A:D,4,0)</f>
        <v>North</v>
      </c>
      <c r="F36" s="1" t="str">
        <f>VLOOKUP(B36,Mapping!A:E,5,0)</f>
        <v>Anjli</v>
      </c>
      <c r="G36" s="1" t="str">
        <f>VLOOKUP(B36,Mapping!A:F,6,0)</f>
        <v>Archana</v>
      </c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5"/>
    </row>
    <row r="37" spans="1:20" x14ac:dyDescent="0.35">
      <c r="A37" s="1" t="s">
        <v>115</v>
      </c>
      <c r="B37" s="1" t="s">
        <v>51</v>
      </c>
      <c r="C37" s="1" t="str">
        <f>VLOOKUP(B37,Mapping!A:B,2,0)</f>
        <v>Lateral</v>
      </c>
      <c r="D37" s="1" t="str">
        <f>VLOOKUP(B37,Mapping!A:C,3,0)</f>
        <v>West</v>
      </c>
      <c r="E37" s="1" t="str">
        <f>VLOOKUP(B37,Mapping!A:D,4,0)</f>
        <v>West 1</v>
      </c>
      <c r="F37" s="1" t="str">
        <f>VLOOKUP(B37,Mapping!A:E,5,0)</f>
        <v>Anjli</v>
      </c>
      <c r="G37" s="1" t="str">
        <f>VLOOKUP(B37,Mapping!A:F,6,0)</f>
        <v>Geetu</v>
      </c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5"/>
    </row>
    <row r="38" spans="1:20" x14ac:dyDescent="0.35">
      <c r="A38" s="1" t="s">
        <v>115</v>
      </c>
      <c r="B38" s="1" t="s">
        <v>52</v>
      </c>
      <c r="C38" s="1" t="str">
        <f>VLOOKUP(B38,Mapping!A:B,2,0)</f>
        <v>Lateral</v>
      </c>
      <c r="D38" s="1" t="str">
        <f>VLOOKUP(B38,Mapping!A:C,3,0)</f>
        <v>West</v>
      </c>
      <c r="E38" s="1" t="str">
        <f>VLOOKUP(B38,Mapping!A:D,4,0)</f>
        <v>West 2</v>
      </c>
      <c r="F38" s="1" t="str">
        <f>VLOOKUP(B38,Mapping!A:E,5,0)</f>
        <v>Anjli</v>
      </c>
      <c r="G38" s="1" t="str">
        <f>VLOOKUP(B38,Mapping!A:F,6,0)</f>
        <v>Shweta</v>
      </c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5"/>
    </row>
    <row r="39" spans="1:20" x14ac:dyDescent="0.35">
      <c r="A39" s="1" t="s">
        <v>115</v>
      </c>
      <c r="B39" s="1" t="s">
        <v>53</v>
      </c>
      <c r="C39" s="1" t="str">
        <f>VLOOKUP(B39,Mapping!A:B,2,0)</f>
        <v>Lateral</v>
      </c>
      <c r="D39" s="1" t="str">
        <f>VLOOKUP(B39,Mapping!A:C,3,0)</f>
        <v>West</v>
      </c>
      <c r="E39" s="1" t="str">
        <f>VLOOKUP(B39,Mapping!A:D,4,0)</f>
        <v>West 1</v>
      </c>
      <c r="F39" s="1" t="str">
        <f>VLOOKUP(B39,Mapping!A:E,5,0)</f>
        <v>Anjli</v>
      </c>
      <c r="G39" s="1" t="str">
        <f>VLOOKUP(B39,Mapping!A:F,6,0)</f>
        <v>Ankit</v>
      </c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5"/>
    </row>
    <row r="40" spans="1:20" x14ac:dyDescent="0.35">
      <c r="A40" s="1" t="s">
        <v>115</v>
      </c>
      <c r="B40" s="1" t="s">
        <v>55</v>
      </c>
      <c r="C40" s="1" t="str">
        <f>VLOOKUP(B40,Mapping!A:B,2,0)</f>
        <v>Lateral</v>
      </c>
      <c r="D40" s="1" t="str">
        <f>VLOOKUP(B40,Mapping!A:C,3,0)</f>
        <v>South</v>
      </c>
      <c r="E40" s="1" t="str">
        <f>VLOOKUP(B40,Mapping!A:D,4,0)</f>
        <v>South 2</v>
      </c>
      <c r="F40" s="1" t="str">
        <f>VLOOKUP(B40,Mapping!A:E,5,0)</f>
        <v>Sulabh</v>
      </c>
      <c r="G40" s="1" t="str">
        <f>VLOOKUP(B40,Mapping!A:F,6,0)</f>
        <v>Krishna</v>
      </c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5"/>
    </row>
    <row r="41" spans="1:20" x14ac:dyDescent="0.35">
      <c r="A41" s="1" t="s">
        <v>115</v>
      </c>
      <c r="B41" s="1" t="s">
        <v>56</v>
      </c>
      <c r="C41" s="1" t="str">
        <f>VLOOKUP(B41,Mapping!A:B,2,0)</f>
        <v>Lateral</v>
      </c>
      <c r="D41" s="1" t="str">
        <f>VLOOKUP(B41,Mapping!A:C,3,0)</f>
        <v>North</v>
      </c>
      <c r="E41" s="1" t="str">
        <f>VLOOKUP(B41,Mapping!A:D,4,0)</f>
        <v>North</v>
      </c>
      <c r="F41" s="1" t="str">
        <f>VLOOKUP(B41,Mapping!A:E,5,0)</f>
        <v>Anjli</v>
      </c>
      <c r="G41" s="1" t="str">
        <f>VLOOKUP(B41,Mapping!A:F,6,0)</f>
        <v>Archana</v>
      </c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5"/>
    </row>
    <row r="42" spans="1:20" x14ac:dyDescent="0.35">
      <c r="A42" s="1" t="s">
        <v>115</v>
      </c>
      <c r="B42" s="1" t="s">
        <v>57</v>
      </c>
      <c r="C42" s="1" t="str">
        <f>VLOOKUP(B42,Mapping!A:B,2,0)</f>
        <v>Lateral</v>
      </c>
      <c r="D42" s="1" t="str">
        <f>VLOOKUP(B42,Mapping!A:C,3,0)</f>
        <v>South</v>
      </c>
      <c r="E42" s="1" t="str">
        <f>VLOOKUP(B42,Mapping!A:D,4,0)</f>
        <v>South 2</v>
      </c>
      <c r="F42" s="1" t="str">
        <f>VLOOKUP(B42,Mapping!A:E,5,0)</f>
        <v>Sulabh</v>
      </c>
      <c r="G42" s="1" t="str">
        <f>VLOOKUP(B42,Mapping!A:F,6,0)</f>
        <v>Krishna</v>
      </c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5"/>
    </row>
    <row r="43" spans="1:20" x14ac:dyDescent="0.35">
      <c r="A43" s="1" t="s">
        <v>115</v>
      </c>
      <c r="B43" s="1" t="s">
        <v>58</v>
      </c>
      <c r="C43" s="1" t="str">
        <f>VLOOKUP(B43,Mapping!A:B,2,0)</f>
        <v>Lateral</v>
      </c>
      <c r="D43" s="1" t="str">
        <f>VLOOKUP(B43,Mapping!A:C,3,0)</f>
        <v>West</v>
      </c>
      <c r="E43" s="1" t="str">
        <f>VLOOKUP(B43,Mapping!A:D,4,0)</f>
        <v>West 1</v>
      </c>
      <c r="F43" s="1" t="str">
        <f>VLOOKUP(B43,Mapping!A:E,5,0)</f>
        <v>Anjli</v>
      </c>
      <c r="G43" s="1" t="str">
        <f>VLOOKUP(B43,Mapping!A:F,6,0)</f>
        <v>Elton</v>
      </c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5"/>
    </row>
    <row r="44" spans="1:20" x14ac:dyDescent="0.35">
      <c r="A44" s="1" t="s">
        <v>115</v>
      </c>
      <c r="B44" s="1" t="s">
        <v>60</v>
      </c>
      <c r="C44" s="1" t="str">
        <f>VLOOKUP(B44,Mapping!A:B,2,0)</f>
        <v>Lateral</v>
      </c>
      <c r="D44" s="1" t="str">
        <f>VLOOKUP(B44,Mapping!A:C,3,0)</f>
        <v>West</v>
      </c>
      <c r="E44" s="1" t="str">
        <f>VLOOKUP(B44,Mapping!A:D,4,0)</f>
        <v>West 2</v>
      </c>
      <c r="F44" s="1" t="str">
        <f>VLOOKUP(B44,Mapping!A:E,5,0)</f>
        <v>Anjli</v>
      </c>
      <c r="G44" s="1" t="str">
        <f>VLOOKUP(B44,Mapping!A:F,6,0)</f>
        <v>Shweta</v>
      </c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5"/>
    </row>
    <row r="45" spans="1:20" x14ac:dyDescent="0.35">
      <c r="A45" s="1" t="s">
        <v>115</v>
      </c>
      <c r="B45" s="1" t="s">
        <v>61</v>
      </c>
      <c r="C45" s="1" t="str">
        <f>VLOOKUP(B45,Mapping!A:B,2,0)</f>
        <v>Lateral</v>
      </c>
      <c r="D45" s="1" t="str">
        <f>VLOOKUP(B45,Mapping!A:C,3,0)</f>
        <v>West</v>
      </c>
      <c r="E45" s="1" t="str">
        <f>VLOOKUP(B45,Mapping!A:D,4,0)</f>
        <v>West 1</v>
      </c>
      <c r="F45" s="1" t="str">
        <f>VLOOKUP(B45,Mapping!A:E,5,0)</f>
        <v>Anjli</v>
      </c>
      <c r="G45" s="1" t="str">
        <f>VLOOKUP(B45,Mapping!A:F,6,0)</f>
        <v>Elton</v>
      </c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5"/>
    </row>
    <row r="46" spans="1:20" x14ac:dyDescent="0.35">
      <c r="A46" s="1" t="s">
        <v>115</v>
      </c>
      <c r="B46" s="1" t="s">
        <v>62</v>
      </c>
      <c r="C46" s="1" t="str">
        <f>VLOOKUP(B46,Mapping!A:B,2,0)</f>
        <v>Lateral</v>
      </c>
      <c r="D46" s="1" t="str">
        <f>VLOOKUP(B46,Mapping!A:C,3,0)</f>
        <v>South</v>
      </c>
      <c r="E46" s="1" t="str">
        <f>VLOOKUP(B46,Mapping!A:D,4,0)</f>
        <v>South 2</v>
      </c>
      <c r="F46" s="1" t="str">
        <f>VLOOKUP(B46,Mapping!A:E,5,0)</f>
        <v>Sulabh</v>
      </c>
      <c r="G46" s="1" t="str">
        <f>VLOOKUP(B46,Mapping!A:F,6,0)</f>
        <v>Subu</v>
      </c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5"/>
    </row>
    <row r="47" spans="1:20" x14ac:dyDescent="0.35">
      <c r="A47" s="1" t="s">
        <v>115</v>
      </c>
      <c r="B47" s="1" t="s">
        <v>63</v>
      </c>
      <c r="C47" s="1" t="str">
        <f>VLOOKUP(B47,Mapping!A:B,2,0)</f>
        <v>Lateral</v>
      </c>
      <c r="D47" s="1" t="str">
        <f>VLOOKUP(B47,Mapping!A:C,3,0)</f>
        <v>West</v>
      </c>
      <c r="E47" s="1" t="str">
        <f>VLOOKUP(B47,Mapping!A:D,4,0)</f>
        <v>West 1</v>
      </c>
      <c r="F47" s="1" t="str">
        <f>VLOOKUP(B47,Mapping!A:E,5,0)</f>
        <v>Anjli</v>
      </c>
      <c r="G47" s="1" t="str">
        <f>VLOOKUP(B47,Mapping!A:F,6,0)</f>
        <v>Elton</v>
      </c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5"/>
    </row>
    <row r="48" spans="1:20" x14ac:dyDescent="0.35">
      <c r="A48" s="1" t="s">
        <v>115</v>
      </c>
      <c r="B48" s="1" t="s">
        <v>64</v>
      </c>
      <c r="C48" s="1" t="str">
        <f>VLOOKUP(B48,Mapping!A:B,2,0)</f>
        <v>Lateral</v>
      </c>
      <c r="D48" s="1" t="str">
        <f>VLOOKUP(B48,Mapping!A:C,3,0)</f>
        <v>South</v>
      </c>
      <c r="E48" s="1" t="str">
        <f>VLOOKUP(B48,Mapping!A:D,4,0)</f>
        <v>South 2</v>
      </c>
      <c r="F48" s="1" t="str">
        <f>VLOOKUP(B48,Mapping!A:E,5,0)</f>
        <v>Sulabh</v>
      </c>
      <c r="G48" s="1" t="str">
        <f>VLOOKUP(B48,Mapping!A:F,6,0)</f>
        <v>Sulabh</v>
      </c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5"/>
    </row>
    <row r="49" spans="1:20" x14ac:dyDescent="0.35">
      <c r="A49" s="1" t="s">
        <v>115</v>
      </c>
      <c r="B49" s="1" t="s">
        <v>65</v>
      </c>
      <c r="C49" s="1" t="str">
        <f>VLOOKUP(B49,Mapping!A:B,2,0)</f>
        <v>Lateral</v>
      </c>
      <c r="D49" s="1" t="str">
        <f>VLOOKUP(B49,Mapping!A:C,3,0)</f>
        <v>South</v>
      </c>
      <c r="E49" s="1" t="str">
        <f>VLOOKUP(B49,Mapping!A:D,4,0)</f>
        <v>South 2</v>
      </c>
      <c r="F49" s="1" t="str">
        <f>VLOOKUP(B49,Mapping!A:E,5,0)</f>
        <v>Sulabh</v>
      </c>
      <c r="G49" s="1" t="str">
        <f>VLOOKUP(B49,Mapping!A:F,6,0)</f>
        <v>Sulabh</v>
      </c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5"/>
    </row>
    <row r="50" spans="1:20" x14ac:dyDescent="0.35">
      <c r="A50" s="1" t="s">
        <v>115</v>
      </c>
      <c r="B50" s="1" t="s">
        <v>66</v>
      </c>
      <c r="C50" s="1" t="str">
        <f>VLOOKUP(B50,Mapping!A:B,2,0)</f>
        <v>Lateral</v>
      </c>
      <c r="D50" s="1" t="str">
        <f>VLOOKUP(B50,Mapping!A:C,3,0)</f>
        <v>South</v>
      </c>
      <c r="E50" s="1" t="str">
        <f>VLOOKUP(B50,Mapping!A:D,4,0)</f>
        <v>South 2</v>
      </c>
      <c r="F50" s="1" t="str">
        <f>VLOOKUP(B50,Mapping!A:E,5,0)</f>
        <v>Sulabh</v>
      </c>
      <c r="G50" s="1" t="str">
        <f>VLOOKUP(B50,Mapping!A:F,6,0)</f>
        <v>Abhilash</v>
      </c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5"/>
    </row>
    <row r="51" spans="1:20" x14ac:dyDescent="0.35">
      <c r="A51" s="1" t="s">
        <v>115</v>
      </c>
      <c r="B51" s="1" t="s">
        <v>68</v>
      </c>
      <c r="C51" s="1" t="str">
        <f>VLOOKUP(B51,Mapping!A:B,2,0)</f>
        <v>Lateral</v>
      </c>
      <c r="D51" s="1" t="str">
        <f>VLOOKUP(B51,Mapping!A:C,3,0)</f>
        <v>West</v>
      </c>
      <c r="E51" s="1" t="str">
        <f>VLOOKUP(B51,Mapping!A:D,4,0)</f>
        <v>West 1</v>
      </c>
      <c r="F51" s="1" t="str">
        <f>VLOOKUP(B51,Mapping!A:E,5,0)</f>
        <v>Anjli</v>
      </c>
      <c r="G51" s="1" t="str">
        <f>VLOOKUP(B51,Mapping!A:F,6,0)</f>
        <v>Elton</v>
      </c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5"/>
    </row>
    <row r="52" spans="1:20" x14ac:dyDescent="0.35">
      <c r="A52" s="1" t="s">
        <v>115</v>
      </c>
      <c r="B52" s="1" t="s">
        <v>69</v>
      </c>
      <c r="C52" s="1" t="str">
        <f>VLOOKUP(B52,Mapping!A:B,2,0)</f>
        <v>Leadership</v>
      </c>
      <c r="D52" s="1" t="str">
        <f>VLOOKUP(B52,Mapping!A:C,3,0)</f>
        <v>South</v>
      </c>
      <c r="E52" s="1" t="str">
        <f>VLOOKUP(B52,Mapping!A:D,4,0)</f>
        <v>South 1</v>
      </c>
      <c r="F52" s="1" t="str">
        <f>VLOOKUP(B52,Mapping!A:E,5,0)</f>
        <v>Bapi</v>
      </c>
      <c r="G52" s="1" t="str">
        <f>VLOOKUP(B52,Mapping!A:F,6,0)</f>
        <v>Parul</v>
      </c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5"/>
    </row>
    <row r="53" spans="1:20" x14ac:dyDescent="0.35">
      <c r="A53" s="1" t="s">
        <v>115</v>
      </c>
      <c r="B53" s="1" t="s">
        <v>71</v>
      </c>
      <c r="C53" s="1" t="str">
        <f>VLOOKUP(B53,Mapping!A:B,2,0)</f>
        <v>Leadership</v>
      </c>
      <c r="D53" s="1" t="str">
        <f>VLOOKUP(B53,Mapping!A:C,3,0)</f>
        <v>South</v>
      </c>
      <c r="E53" s="1" t="str">
        <f>VLOOKUP(B53,Mapping!A:D,4,0)</f>
        <v>South 2</v>
      </c>
      <c r="F53" s="1" t="str">
        <f>VLOOKUP(B53,Mapping!A:E,5,0)</f>
        <v>Sulabh</v>
      </c>
      <c r="G53" s="1" t="str">
        <f>VLOOKUP(B53,Mapping!A:F,6,0)</f>
        <v>Parul</v>
      </c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5"/>
    </row>
    <row r="54" spans="1:20" x14ac:dyDescent="0.35">
      <c r="A54" s="1" t="s">
        <v>115</v>
      </c>
      <c r="B54" s="1" t="s">
        <v>72</v>
      </c>
      <c r="C54" s="1" t="str">
        <f>VLOOKUP(B54,Mapping!A:B,2,0)</f>
        <v>Leadership</v>
      </c>
      <c r="D54" s="1" t="str">
        <f>VLOOKUP(B54,Mapping!A:C,3,0)</f>
        <v>West</v>
      </c>
      <c r="E54" s="1" t="str">
        <f>VLOOKUP(B54,Mapping!A:D,4,0)</f>
        <v>West 2</v>
      </c>
      <c r="F54" s="1" t="str">
        <f>VLOOKUP(B54,Mapping!A:E,5,0)</f>
        <v>Anjli</v>
      </c>
      <c r="G54" s="1" t="str">
        <f>VLOOKUP(B54,Mapping!A:F,6,0)</f>
        <v>Parul</v>
      </c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5"/>
    </row>
    <row r="55" spans="1:20" x14ac:dyDescent="0.35">
      <c r="A55" s="1" t="s">
        <v>115</v>
      </c>
      <c r="B55" s="1" t="s">
        <v>73</v>
      </c>
      <c r="C55" s="1" t="str">
        <f>VLOOKUP(B55,Mapping!A:B,2,0)</f>
        <v>Leadership</v>
      </c>
      <c r="D55" s="1" t="str">
        <f>VLOOKUP(B55,Mapping!A:C,3,0)</f>
        <v>West</v>
      </c>
      <c r="E55" s="1" t="str">
        <f>VLOOKUP(B55,Mapping!A:D,4,0)</f>
        <v>West 1</v>
      </c>
      <c r="F55" s="1" t="str">
        <f>VLOOKUP(B55,Mapping!A:E,5,0)</f>
        <v>Anjli</v>
      </c>
      <c r="G55" s="1" t="str">
        <f>VLOOKUP(B55,Mapping!A:F,6,0)</f>
        <v>Parul</v>
      </c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5"/>
    </row>
    <row r="56" spans="1:20" x14ac:dyDescent="0.35">
      <c r="A56" s="1" t="s">
        <v>115</v>
      </c>
      <c r="B56" s="1" t="s">
        <v>74</v>
      </c>
      <c r="C56" s="1" t="str">
        <f>VLOOKUP(B56,Mapping!A:B,2,0)</f>
        <v>Leadership</v>
      </c>
      <c r="D56" s="1" t="str">
        <f>VLOOKUP(B56,Mapping!A:C,3,0)</f>
        <v>West</v>
      </c>
      <c r="E56" s="1" t="str">
        <f>VLOOKUP(B56,Mapping!A:D,4,0)</f>
        <v>West 1</v>
      </c>
      <c r="F56" s="1" t="str">
        <f>VLOOKUP(B56,Mapping!A:E,5,0)</f>
        <v>Anjli</v>
      </c>
      <c r="G56" s="1" t="str">
        <f>VLOOKUP(B56,Mapping!A:F,6,0)</f>
        <v>Parul</v>
      </c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5"/>
    </row>
    <row r="57" spans="1:20" x14ac:dyDescent="0.35">
      <c r="A57" s="1" t="s">
        <v>115</v>
      </c>
      <c r="B57" s="1" t="s">
        <v>75</v>
      </c>
      <c r="C57" s="1" t="str">
        <f>VLOOKUP(B57,Mapping!A:B,2,0)</f>
        <v>Leadership</v>
      </c>
      <c r="D57" s="1" t="str">
        <f>VLOOKUP(B57,Mapping!A:C,3,0)</f>
        <v>South</v>
      </c>
      <c r="E57" s="1" t="str">
        <f>VLOOKUP(B57,Mapping!A:D,4,0)</f>
        <v>South 2</v>
      </c>
      <c r="F57" s="1" t="str">
        <f>VLOOKUP(B57,Mapping!A:E,5,0)</f>
        <v>Sulabh</v>
      </c>
      <c r="G57" s="1" t="str">
        <f>VLOOKUP(B57,Mapping!A:F,6,0)</f>
        <v>Parul</v>
      </c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5"/>
    </row>
    <row r="58" spans="1:20" x14ac:dyDescent="0.35">
      <c r="A58" s="1" t="s">
        <v>115</v>
      </c>
      <c r="B58" s="1" t="s">
        <v>76</v>
      </c>
      <c r="C58" s="1" t="str">
        <f>VLOOKUP(B58,Mapping!A:B,2,0)</f>
        <v>Leadership</v>
      </c>
      <c r="D58" s="1" t="str">
        <f>VLOOKUP(B58,Mapping!A:C,3,0)</f>
        <v>South</v>
      </c>
      <c r="E58" s="1" t="str">
        <f>VLOOKUP(B58,Mapping!A:D,4,0)</f>
        <v>South 2</v>
      </c>
      <c r="F58" s="1" t="str">
        <f>VLOOKUP(B58,Mapping!A:E,5,0)</f>
        <v>Sulabh</v>
      </c>
      <c r="G58" s="1" t="str">
        <f>VLOOKUP(B58,Mapping!A:F,6,0)</f>
        <v>Parul</v>
      </c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5"/>
    </row>
    <row r="59" spans="1:20" x14ac:dyDescent="0.35">
      <c r="A59" s="1" t="s">
        <v>115</v>
      </c>
      <c r="B59" s="1" t="s">
        <v>77</v>
      </c>
      <c r="C59" s="1" t="str">
        <f>VLOOKUP(B59,Mapping!A:B,2,0)</f>
        <v>Leadership</v>
      </c>
      <c r="D59" s="1" t="str">
        <f>VLOOKUP(B59,Mapping!A:C,3,0)</f>
        <v>North</v>
      </c>
      <c r="E59" s="1" t="str">
        <f>VLOOKUP(B59,Mapping!A:D,4,0)</f>
        <v>North</v>
      </c>
      <c r="F59" s="1" t="str">
        <f>VLOOKUP(B59,Mapping!A:E,5,0)</f>
        <v>Anjli</v>
      </c>
      <c r="G59" s="1" t="str">
        <f>VLOOKUP(B59,Mapping!A:F,6,0)</f>
        <v>Parul</v>
      </c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5"/>
    </row>
    <row r="60" spans="1:20" x14ac:dyDescent="0.35">
      <c r="A60" s="1" t="s">
        <v>115</v>
      </c>
      <c r="B60" s="1" t="s">
        <v>78</v>
      </c>
      <c r="C60" s="1" t="str">
        <f>VLOOKUP(B60,Mapping!A:B,2,0)</f>
        <v>Leadership</v>
      </c>
      <c r="D60" s="1" t="str">
        <f>VLOOKUP(B60,Mapping!A:C,3,0)</f>
        <v>West</v>
      </c>
      <c r="E60" s="1" t="str">
        <f>VLOOKUP(B60,Mapping!A:D,4,0)</f>
        <v>West 1</v>
      </c>
      <c r="F60" s="1" t="str">
        <f>VLOOKUP(B60,Mapping!A:E,5,0)</f>
        <v>Anjli</v>
      </c>
      <c r="G60" s="1" t="str">
        <f>VLOOKUP(B60,Mapping!A:F,6,0)</f>
        <v>Parul</v>
      </c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5"/>
    </row>
    <row r="61" spans="1:20" x14ac:dyDescent="0.35">
      <c r="A61" s="1" t="s">
        <v>115</v>
      </c>
      <c r="B61" s="1" t="s">
        <v>79</v>
      </c>
      <c r="C61" s="1" t="str">
        <f>VLOOKUP(B61,Mapping!A:B,2,0)</f>
        <v>Leadership</v>
      </c>
      <c r="D61" s="1" t="str">
        <f>VLOOKUP(B61,Mapping!A:C,3,0)</f>
        <v>West</v>
      </c>
      <c r="E61" s="1" t="str">
        <f>VLOOKUP(B61,Mapping!A:D,4,0)</f>
        <v>West 2</v>
      </c>
      <c r="F61" s="1" t="str">
        <f>VLOOKUP(B61,Mapping!A:E,5,0)</f>
        <v>Anjli</v>
      </c>
      <c r="G61" s="1" t="str">
        <f>VLOOKUP(B61,Mapping!A:F,6,0)</f>
        <v>Parul</v>
      </c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5"/>
    </row>
    <row r="62" spans="1:20" x14ac:dyDescent="0.35">
      <c r="A62" s="1" t="s">
        <v>115</v>
      </c>
      <c r="B62" s="1" t="s">
        <v>80</v>
      </c>
      <c r="C62" s="1" t="str">
        <f>VLOOKUP(B62,Mapping!A:B,2,0)</f>
        <v>Leadership</v>
      </c>
      <c r="D62" s="1" t="str">
        <f>VLOOKUP(B62,Mapping!A:C,3,0)</f>
        <v>North</v>
      </c>
      <c r="E62" s="1" t="str">
        <f>VLOOKUP(B62,Mapping!A:D,4,0)</f>
        <v>North</v>
      </c>
      <c r="F62" s="1" t="str">
        <f>VLOOKUP(B62,Mapping!A:E,5,0)</f>
        <v>Anjli</v>
      </c>
      <c r="G62" s="1" t="str">
        <f>VLOOKUP(B62,Mapping!A:F,6,0)</f>
        <v>Parul</v>
      </c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5"/>
    </row>
    <row r="63" spans="1:20" x14ac:dyDescent="0.35">
      <c r="A63" s="1" t="s">
        <v>115</v>
      </c>
      <c r="B63" s="1" t="s">
        <v>81</v>
      </c>
      <c r="C63" s="1" t="str">
        <f>VLOOKUP(B63,Mapping!A:B,2,0)</f>
        <v>Leadership</v>
      </c>
      <c r="D63" s="1" t="str">
        <f>VLOOKUP(B63,Mapping!A:C,3,0)</f>
        <v>North</v>
      </c>
      <c r="E63" s="1" t="str">
        <f>VLOOKUP(B63,Mapping!A:D,4,0)</f>
        <v>North</v>
      </c>
      <c r="F63" s="1" t="str">
        <f>VLOOKUP(B63,Mapping!A:E,5,0)</f>
        <v>Anjli</v>
      </c>
      <c r="G63" s="1" t="str">
        <f>VLOOKUP(B63,Mapping!A:F,6,0)</f>
        <v>Parul</v>
      </c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5"/>
    </row>
    <row r="64" spans="1:20" x14ac:dyDescent="0.35">
      <c r="A64" s="1" t="s">
        <v>115</v>
      </c>
      <c r="B64" s="1" t="s">
        <v>82</v>
      </c>
      <c r="C64" s="1" t="str">
        <f>VLOOKUP(B64,Mapping!A:B,2,0)</f>
        <v>Leadership</v>
      </c>
      <c r="D64" s="1" t="str">
        <f>VLOOKUP(B64,Mapping!A:C,3,0)</f>
        <v>West</v>
      </c>
      <c r="E64" s="1" t="str">
        <f>VLOOKUP(B64,Mapping!A:D,4,0)</f>
        <v>West 1</v>
      </c>
      <c r="F64" s="1" t="str">
        <f>VLOOKUP(B64,Mapping!A:E,5,0)</f>
        <v>Anjli</v>
      </c>
      <c r="G64" s="1" t="str">
        <f>VLOOKUP(B64,Mapping!A:F,6,0)</f>
        <v>Parul</v>
      </c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5"/>
    </row>
    <row r="65" spans="1:20" x14ac:dyDescent="0.35">
      <c r="A65" s="1" t="s">
        <v>115</v>
      </c>
      <c r="B65" s="1" t="s">
        <v>83</v>
      </c>
      <c r="C65" s="1" t="str">
        <f>VLOOKUP(B65,Mapping!A:B,2,0)</f>
        <v>Leadership</v>
      </c>
      <c r="D65" s="1" t="str">
        <f>VLOOKUP(B65,Mapping!A:C,3,0)</f>
        <v>North</v>
      </c>
      <c r="E65" s="1" t="str">
        <f>VLOOKUP(B65,Mapping!A:D,4,0)</f>
        <v>North</v>
      </c>
      <c r="F65" s="1" t="str">
        <f>VLOOKUP(B65,Mapping!A:E,5,0)</f>
        <v>Anjli</v>
      </c>
      <c r="G65" s="1" t="str">
        <f>VLOOKUP(B65,Mapping!A:F,6,0)</f>
        <v>Parul</v>
      </c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5"/>
    </row>
    <row r="66" spans="1:20" x14ac:dyDescent="0.35">
      <c r="A66" s="1" t="s">
        <v>115</v>
      </c>
      <c r="B66" s="1" t="s">
        <v>84</v>
      </c>
      <c r="C66" s="1" t="str">
        <f>VLOOKUP(B66,Mapping!A:B,2,0)</f>
        <v>Lateral</v>
      </c>
      <c r="D66" s="1" t="str">
        <f>VLOOKUP(B66,Mapping!A:C,3,0)</f>
        <v>South</v>
      </c>
      <c r="E66" s="1" t="str">
        <f>VLOOKUP(B66,Mapping!A:D,4,0)</f>
        <v>South 1</v>
      </c>
      <c r="F66" s="1" t="str">
        <f>VLOOKUP(B66,Mapping!A:E,5,0)</f>
        <v>Ashish</v>
      </c>
      <c r="G66" s="1" t="str">
        <f>VLOOKUP(B66,Mapping!A:F,6,0)</f>
        <v>Ashish</v>
      </c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5"/>
    </row>
    <row r="67" spans="1:20" x14ac:dyDescent="0.35">
      <c r="A67" s="1" t="s">
        <v>115</v>
      </c>
      <c r="B67" s="1" t="s">
        <v>86</v>
      </c>
      <c r="C67" s="1" t="str">
        <f>VLOOKUP(B67,Mapping!A:B,2,0)</f>
        <v>Lateral</v>
      </c>
      <c r="D67" s="1" t="str">
        <f>VLOOKUP(B67,Mapping!A:C,3,0)</f>
        <v>New Sales</v>
      </c>
      <c r="E67" s="1" t="str">
        <f>VLOOKUP(B67,Mapping!A:D,4,0)</f>
        <v>New Sales</v>
      </c>
      <c r="F67" s="1" t="str">
        <f>VLOOKUP(B67,Mapping!A:E,5,0)</f>
        <v>Nizar</v>
      </c>
      <c r="G67" s="1" t="str">
        <f>VLOOKUP(B67,Mapping!A:F,6,0)</f>
        <v>Nizar</v>
      </c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5"/>
    </row>
    <row r="68" spans="1:20" x14ac:dyDescent="0.35">
      <c r="A68" s="1" t="s">
        <v>115</v>
      </c>
      <c r="B68" s="1" t="s">
        <v>89</v>
      </c>
      <c r="C68" s="1" t="str">
        <f>VLOOKUP(B68,Mapping!A:B,2,0)</f>
        <v>Lateral</v>
      </c>
      <c r="D68" s="1" t="str">
        <f>VLOOKUP(B68,Mapping!A:C,3,0)</f>
        <v>North</v>
      </c>
      <c r="E68" s="1" t="str">
        <f>VLOOKUP(B68,Mapping!A:D,4,0)</f>
        <v>North</v>
      </c>
      <c r="F68" s="1" t="str">
        <f>VLOOKUP(B68,Mapping!A:E,5,0)</f>
        <v>Anjli</v>
      </c>
      <c r="G68" s="1" t="str">
        <f>VLOOKUP(B68,Mapping!A:F,6,0)</f>
        <v>Archana</v>
      </c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5"/>
    </row>
    <row r="69" spans="1:20" x14ac:dyDescent="0.35">
      <c r="A69" s="1" t="s">
        <v>115</v>
      </c>
      <c r="B69" s="1" t="s">
        <v>91</v>
      </c>
      <c r="C69" s="1" t="str">
        <f>VLOOKUP(B69,Mapping!A:B,2,0)</f>
        <v>Lateral</v>
      </c>
      <c r="D69" s="1" t="str">
        <f>VLOOKUP(B69,Mapping!A:C,3,0)</f>
        <v>North</v>
      </c>
      <c r="E69" s="1" t="str">
        <f>VLOOKUP(B69,Mapping!A:D,4,0)</f>
        <v>North</v>
      </c>
      <c r="F69" s="1" t="str">
        <f>VLOOKUP(B69,Mapping!A:E,5,0)</f>
        <v>Anjli</v>
      </c>
      <c r="G69" s="1" t="str">
        <f>VLOOKUP(B69,Mapping!A:F,6,0)</f>
        <v>Archana</v>
      </c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5"/>
    </row>
    <row r="70" spans="1:20" x14ac:dyDescent="0.35">
      <c r="A70" s="1" t="s">
        <v>115</v>
      </c>
      <c r="B70" s="1" t="s">
        <v>131</v>
      </c>
      <c r="C70" s="1" t="str">
        <f>VLOOKUP(B70,Mapping!A:B,2,0)</f>
        <v>Lateral</v>
      </c>
      <c r="D70" s="1" t="str">
        <f>VLOOKUP(B70,Mapping!A:C,3,0)</f>
        <v>West</v>
      </c>
      <c r="E70" s="1" t="str">
        <f>VLOOKUP(B70,Mapping!A:D,4,0)</f>
        <v>West 1</v>
      </c>
      <c r="F70" s="1" t="str">
        <f>VLOOKUP(B70,Mapping!A:E,5,0)</f>
        <v>Anjli</v>
      </c>
      <c r="G70" s="1" t="str">
        <f>VLOOKUP(B70,Mapping!A:F,6,0)</f>
        <v>Anjli</v>
      </c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5"/>
    </row>
    <row r="71" spans="1:20" x14ac:dyDescent="0.35">
      <c r="A71" s="1" t="s">
        <v>115</v>
      </c>
      <c r="B71" s="1" t="s">
        <v>93</v>
      </c>
      <c r="C71" s="1" t="str">
        <f>VLOOKUP(B71,Mapping!A:B,2,0)</f>
        <v>Lateral</v>
      </c>
      <c r="D71" s="1" t="str">
        <f>VLOOKUP(B71,Mapping!A:C,3,0)</f>
        <v>West</v>
      </c>
      <c r="E71" s="1" t="str">
        <f>VLOOKUP(B71,Mapping!A:D,4,0)</f>
        <v>West 1</v>
      </c>
      <c r="F71" s="1" t="str">
        <f>VLOOKUP(B71,Mapping!A:E,5,0)</f>
        <v>Anjli</v>
      </c>
      <c r="G71" s="1" t="str">
        <f>VLOOKUP(B71,Mapping!A:F,6,0)</f>
        <v>Geetu</v>
      </c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5"/>
    </row>
    <row r="72" spans="1:20" x14ac:dyDescent="0.35">
      <c r="A72" s="1" t="s">
        <v>115</v>
      </c>
      <c r="B72" s="1" t="s">
        <v>94</v>
      </c>
      <c r="C72" s="1" t="str">
        <f>VLOOKUP(B72,Mapping!A:B,2,0)</f>
        <v>Lateral</v>
      </c>
      <c r="D72" s="1" t="str">
        <f>VLOOKUP(B72,Mapping!A:C,3,0)</f>
        <v>West</v>
      </c>
      <c r="E72" s="1" t="str">
        <f>VLOOKUP(B72,Mapping!A:D,4,0)</f>
        <v>West 1</v>
      </c>
      <c r="F72" s="1" t="str">
        <f>VLOOKUP(B72,Mapping!A:E,5,0)</f>
        <v>Anjli</v>
      </c>
      <c r="G72" s="1" t="str">
        <f>VLOOKUP(B72,Mapping!A:F,6,0)</f>
        <v>Archana</v>
      </c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5"/>
    </row>
    <row r="73" spans="1:20" x14ac:dyDescent="0.35">
      <c r="A73" s="1" t="s">
        <v>115</v>
      </c>
      <c r="B73" s="1" t="s">
        <v>95</v>
      </c>
      <c r="C73" s="1" t="str">
        <f>VLOOKUP(B73,Mapping!A:B,2,0)</f>
        <v>Lateral</v>
      </c>
      <c r="D73" s="1" t="str">
        <f>VLOOKUP(B73,Mapping!A:C,3,0)</f>
        <v>South</v>
      </c>
      <c r="E73" s="1" t="str">
        <f>VLOOKUP(B73,Mapping!A:D,4,0)</f>
        <v>South 2</v>
      </c>
      <c r="F73" s="1" t="str">
        <f>VLOOKUP(B73,Mapping!A:E,5,0)</f>
        <v>Sulabh</v>
      </c>
      <c r="G73" s="1" t="str">
        <f>VLOOKUP(B73,Mapping!A:F,6,0)</f>
        <v>Lekhana</v>
      </c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5"/>
    </row>
    <row r="74" spans="1:20" x14ac:dyDescent="0.35">
      <c r="A74" s="1" t="s">
        <v>115</v>
      </c>
      <c r="B74" s="1" t="s">
        <v>97</v>
      </c>
      <c r="C74" s="1" t="str">
        <f>VLOOKUP(B74,Mapping!A:B,2,0)</f>
        <v>Lateral</v>
      </c>
      <c r="D74" s="1" t="str">
        <f>VLOOKUP(B74,Mapping!A:C,3,0)</f>
        <v>South</v>
      </c>
      <c r="E74" s="1" t="str">
        <f>VLOOKUP(B74,Mapping!A:D,4,0)</f>
        <v>South 2</v>
      </c>
      <c r="F74" s="1" t="str">
        <f>VLOOKUP(B74,Mapping!A:E,5,0)</f>
        <v>Sulabh</v>
      </c>
      <c r="G74" s="1" t="str">
        <f>VLOOKUP(B74,Mapping!A:F,6,0)</f>
        <v>Satya</v>
      </c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5"/>
    </row>
    <row r="75" spans="1:20" x14ac:dyDescent="0.35">
      <c r="A75" s="1" t="s">
        <v>115</v>
      </c>
      <c r="B75" s="1" t="s">
        <v>98</v>
      </c>
      <c r="C75" s="1" t="str">
        <f>VLOOKUP(B75,Mapping!A:B,2,0)</f>
        <v>Lateral</v>
      </c>
      <c r="D75" s="1" t="str">
        <f>VLOOKUP(B75,Mapping!A:C,3,0)</f>
        <v>West</v>
      </c>
      <c r="E75" s="1" t="str">
        <f>VLOOKUP(B75,Mapping!A:D,4,0)</f>
        <v>West 1</v>
      </c>
      <c r="F75" s="1" t="str">
        <f>VLOOKUP(B75,Mapping!A:E,5,0)</f>
        <v>Anjli</v>
      </c>
      <c r="G75" s="1" t="str">
        <f>VLOOKUP(B75,Mapping!A:F,6,0)</f>
        <v>Anjli</v>
      </c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5"/>
    </row>
    <row r="76" spans="1:20" x14ac:dyDescent="0.35">
      <c r="A76" s="1" t="s">
        <v>115</v>
      </c>
      <c r="B76" s="1" t="s">
        <v>130</v>
      </c>
      <c r="C76" s="1" t="str">
        <f>VLOOKUP(B76,Mapping!A:B,2,0)</f>
        <v>Lateral</v>
      </c>
      <c r="D76" s="1" t="str">
        <f>VLOOKUP(B76,Mapping!A:C,3,0)</f>
        <v>West</v>
      </c>
      <c r="E76" s="1" t="str">
        <f>VLOOKUP(B76,Mapping!A:D,4,0)</f>
        <v>West 1</v>
      </c>
      <c r="F76" s="1" t="str">
        <f>VLOOKUP(B76,Mapping!A:E,5,0)</f>
        <v>Anjli</v>
      </c>
      <c r="G76" s="1" t="str">
        <f>VLOOKUP(B76,Mapping!A:F,6,0)</f>
        <v>Anjli</v>
      </c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5"/>
    </row>
    <row r="77" spans="1:20" x14ac:dyDescent="0.35">
      <c r="A77" s="1" t="s">
        <v>115</v>
      </c>
      <c r="B77" s="1" t="s">
        <v>100</v>
      </c>
      <c r="C77" s="1" t="str">
        <f>VLOOKUP(B77,Mapping!A:B,2,0)</f>
        <v>Lateral</v>
      </c>
      <c r="D77" s="1" t="str">
        <f>VLOOKUP(B77,Mapping!A:C,3,0)</f>
        <v>West</v>
      </c>
      <c r="E77" s="1" t="str">
        <f>VLOOKUP(B77,Mapping!A:D,4,0)</f>
        <v>West 1</v>
      </c>
      <c r="F77" s="1" t="str">
        <f>VLOOKUP(B77,Mapping!A:E,5,0)</f>
        <v>Anjli</v>
      </c>
      <c r="G77" s="1" t="str">
        <f>VLOOKUP(B77,Mapping!A:F,6,0)</f>
        <v>Anjli</v>
      </c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5"/>
    </row>
    <row r="78" spans="1:20" x14ac:dyDescent="0.35">
      <c r="A78" s="1" t="s">
        <v>115</v>
      </c>
      <c r="B78" s="1" t="s">
        <v>118</v>
      </c>
      <c r="C78" s="1" t="s">
        <v>127</v>
      </c>
      <c r="D78" s="1" t="s">
        <v>127</v>
      </c>
      <c r="E78" s="1" t="s">
        <v>127</v>
      </c>
      <c r="F78" s="1" t="s">
        <v>129</v>
      </c>
      <c r="G78" s="1" t="s">
        <v>128</v>
      </c>
      <c r="H78" s="1"/>
      <c r="I78" s="1"/>
      <c r="J78" s="1"/>
      <c r="K78" s="1"/>
      <c r="L78" s="1"/>
      <c r="M78" s="1"/>
      <c r="N78" s="1"/>
      <c r="O78" s="1"/>
      <c r="P78" s="1"/>
      <c r="Q78" s="27"/>
      <c r="R78" s="27"/>
      <c r="S78" s="27"/>
    </row>
    <row r="79" spans="1:20" x14ac:dyDescent="0.35">
      <c r="A79" s="1" t="s">
        <v>115</v>
      </c>
      <c r="B79" s="1" t="s">
        <v>119</v>
      </c>
      <c r="C79" s="1" t="s">
        <v>127</v>
      </c>
      <c r="D79" s="1" t="s">
        <v>127</v>
      </c>
      <c r="E79" s="1" t="s">
        <v>127</v>
      </c>
      <c r="F79" s="1" t="s">
        <v>129</v>
      </c>
      <c r="G79" s="1" t="s">
        <v>128</v>
      </c>
      <c r="H79" s="1"/>
      <c r="I79" s="1"/>
      <c r="J79" s="1"/>
      <c r="K79" s="1"/>
      <c r="L79" s="1"/>
      <c r="M79" s="1"/>
      <c r="N79" s="1"/>
      <c r="O79" s="1"/>
      <c r="P79" s="1"/>
      <c r="Q79" s="27"/>
      <c r="R79" s="27"/>
      <c r="S79" s="27"/>
    </row>
    <row r="80" spans="1:20" x14ac:dyDescent="0.35">
      <c r="A80" s="1" t="s">
        <v>115</v>
      </c>
      <c r="B80" s="1" t="s">
        <v>120</v>
      </c>
      <c r="C80" s="1" t="s">
        <v>127</v>
      </c>
      <c r="D80" s="1" t="s">
        <v>127</v>
      </c>
      <c r="E80" s="1" t="s">
        <v>127</v>
      </c>
      <c r="F80" s="1" t="s">
        <v>129</v>
      </c>
      <c r="G80" s="1" t="s">
        <v>128</v>
      </c>
      <c r="H80" s="1"/>
      <c r="I80" s="1"/>
      <c r="J80" s="1"/>
      <c r="K80" s="1"/>
      <c r="L80" s="1"/>
      <c r="M80" s="1"/>
      <c r="N80" s="1"/>
      <c r="O80" s="1"/>
      <c r="P80" s="1"/>
      <c r="Q80" s="27"/>
      <c r="R80" s="27"/>
      <c r="S80" s="27"/>
    </row>
    <row r="81" spans="1:19" x14ac:dyDescent="0.35">
      <c r="A81" s="1" t="s">
        <v>115</v>
      </c>
      <c r="B81" s="1" t="s">
        <v>121</v>
      </c>
      <c r="C81" s="1" t="s">
        <v>127</v>
      </c>
      <c r="D81" s="1" t="s">
        <v>127</v>
      </c>
      <c r="E81" s="1" t="s">
        <v>127</v>
      </c>
      <c r="F81" s="1" t="s">
        <v>129</v>
      </c>
      <c r="G81" s="1" t="s">
        <v>128</v>
      </c>
      <c r="H81" s="1"/>
      <c r="I81" s="1"/>
      <c r="J81" s="1"/>
      <c r="K81" s="1"/>
      <c r="L81" s="1"/>
      <c r="M81" s="1"/>
      <c r="N81" s="1"/>
      <c r="O81" s="1"/>
      <c r="P81" s="1"/>
      <c r="Q81" s="27"/>
      <c r="R81" s="27"/>
      <c r="S81" s="27"/>
    </row>
    <row r="82" spans="1:19" x14ac:dyDescent="0.35">
      <c r="A82" s="1" t="s">
        <v>115</v>
      </c>
      <c r="B82" s="1" t="s">
        <v>122</v>
      </c>
      <c r="C82" s="1" t="s">
        <v>127</v>
      </c>
      <c r="D82" s="1" t="s">
        <v>127</v>
      </c>
      <c r="E82" s="1" t="s">
        <v>127</v>
      </c>
      <c r="F82" s="1" t="s">
        <v>129</v>
      </c>
      <c r="G82" s="1" t="s">
        <v>128</v>
      </c>
      <c r="H82" s="1"/>
      <c r="I82" s="1"/>
      <c r="J82" s="1"/>
      <c r="K82" s="1"/>
      <c r="L82" s="1"/>
      <c r="M82" s="1"/>
      <c r="N82" s="1"/>
      <c r="O82" s="1"/>
      <c r="P82" s="1"/>
      <c r="Q82" s="27"/>
      <c r="R82" s="27"/>
      <c r="S82" s="27"/>
    </row>
    <row r="83" spans="1:19" x14ac:dyDescent="0.35">
      <c r="A83" s="1" t="s">
        <v>115</v>
      </c>
      <c r="B83" s="1" t="s">
        <v>123</v>
      </c>
      <c r="C83" s="1" t="s">
        <v>127</v>
      </c>
      <c r="D83" s="1" t="s">
        <v>127</v>
      </c>
      <c r="E83" s="1" t="s">
        <v>127</v>
      </c>
      <c r="F83" s="1" t="s">
        <v>129</v>
      </c>
      <c r="G83" s="1" t="s">
        <v>128</v>
      </c>
      <c r="H83" s="1"/>
      <c r="I83" s="1"/>
      <c r="J83" s="1"/>
      <c r="K83" s="1"/>
      <c r="L83" s="1"/>
      <c r="M83" s="1"/>
      <c r="N83" s="1"/>
      <c r="O83" s="1"/>
      <c r="P83" s="1"/>
      <c r="Q83" s="27"/>
      <c r="R83" s="27"/>
      <c r="S83" s="27"/>
    </row>
    <row r="84" spans="1:19" x14ac:dyDescent="0.35">
      <c r="A84" s="1" t="s">
        <v>115</v>
      </c>
      <c r="B84" s="1" t="s">
        <v>124</v>
      </c>
      <c r="C84" s="1" t="s">
        <v>127</v>
      </c>
      <c r="D84" s="1" t="s">
        <v>127</v>
      </c>
      <c r="E84" s="1" t="s">
        <v>127</v>
      </c>
      <c r="F84" s="1" t="s">
        <v>129</v>
      </c>
      <c r="G84" s="1" t="s">
        <v>128</v>
      </c>
      <c r="H84" s="1"/>
      <c r="I84" s="1"/>
      <c r="J84" s="1"/>
      <c r="K84" s="1"/>
      <c r="L84" s="1"/>
      <c r="M84" s="1"/>
      <c r="N84" s="1"/>
      <c r="O84" s="1"/>
      <c r="P84" s="1"/>
      <c r="Q84" s="27"/>
      <c r="R84" s="27"/>
      <c r="S84" s="27"/>
    </row>
    <row r="85" spans="1:19" x14ac:dyDescent="0.35">
      <c r="A85" s="1" t="s">
        <v>115</v>
      </c>
      <c r="B85" s="1" t="s">
        <v>125</v>
      </c>
      <c r="C85" s="1" t="s">
        <v>127</v>
      </c>
      <c r="D85" s="1" t="s">
        <v>127</v>
      </c>
      <c r="E85" s="1" t="s">
        <v>127</v>
      </c>
      <c r="F85" s="1" t="s">
        <v>129</v>
      </c>
      <c r="G85" s="1" t="s">
        <v>128</v>
      </c>
      <c r="H85" s="1"/>
      <c r="I85" s="1"/>
      <c r="J85" s="1"/>
      <c r="K85" s="1"/>
      <c r="L85" s="1"/>
      <c r="M85" s="1"/>
      <c r="N85" s="1"/>
      <c r="O85" s="1"/>
      <c r="P85" s="1"/>
      <c r="Q85" s="27"/>
      <c r="R85" s="27"/>
      <c r="S85" s="27"/>
    </row>
    <row r="86" spans="1:19" x14ac:dyDescent="0.35">
      <c r="A86" s="1" t="s">
        <v>115</v>
      </c>
      <c r="B86" s="1" t="s">
        <v>126</v>
      </c>
      <c r="C86" s="1" t="s">
        <v>127</v>
      </c>
      <c r="D86" s="1" t="s">
        <v>127</v>
      </c>
      <c r="E86" s="1" t="s">
        <v>127</v>
      </c>
      <c r="F86" s="1" t="s">
        <v>129</v>
      </c>
      <c r="G86" s="1" t="s">
        <v>128</v>
      </c>
      <c r="H86" s="1"/>
      <c r="I86" s="1"/>
      <c r="J86" s="1"/>
      <c r="K86" s="1"/>
      <c r="L86" s="1"/>
      <c r="M86" s="1"/>
      <c r="N86" s="1"/>
      <c r="O86" s="1"/>
      <c r="P86" s="1"/>
      <c r="Q86" s="27"/>
      <c r="R86" s="27"/>
      <c r="S86" s="27"/>
    </row>
    <row r="87" spans="1:19" x14ac:dyDescent="0.35">
      <c r="A87" s="1" t="s">
        <v>115</v>
      </c>
      <c r="B87" t="s">
        <v>134</v>
      </c>
      <c r="C87" s="1" t="s">
        <v>127</v>
      </c>
      <c r="D87" s="1" t="s">
        <v>127</v>
      </c>
      <c r="E87" s="1" t="s">
        <v>127</v>
      </c>
      <c r="F87" s="1" t="s">
        <v>129</v>
      </c>
      <c r="G87" s="1" t="s">
        <v>128</v>
      </c>
      <c r="Q87" s="27"/>
      <c r="R87" s="27"/>
      <c r="S87" s="27"/>
    </row>
  </sheetData>
  <conditionalFormatting sqref="A2:B2 I2:S2 E2:G2">
    <cfRule type="duplicateValues" dxfId="39" priority="2"/>
  </conditionalFormatting>
  <conditionalFormatting sqref="B3:B87">
    <cfRule type="duplicateValues" dxfId="38" priority="1"/>
  </conditionalFormatting>
  <conditionalFormatting sqref="B52:B74 B3:B42">
    <cfRule type="duplicateValues" dxfId="37" priority="8"/>
  </conditionalFormatting>
  <conditionalFormatting sqref="B75:B77 B43:B51">
    <cfRule type="duplicateValues" dxfId="36" priority="9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1DD80-D289-44CB-8117-931190195A16}">
  <sheetPr codeName="Sheet13">
    <tabColor rgb="FF92D050"/>
  </sheetPr>
  <dimension ref="A1:T85"/>
  <sheetViews>
    <sheetView topLeftCell="E1" workbookViewId="0">
      <selection activeCell="H2" sqref="H2:S85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4" width="28.1796875" customWidth="1"/>
    <col min="5" max="5" width="10.54296875" bestFit="1" customWidth="1"/>
  </cols>
  <sheetData>
    <row r="1" spans="1:20" x14ac:dyDescent="0.35">
      <c r="A1" s="25" t="str">
        <f>Revenue_Budget!A2</f>
        <v>FY</v>
      </c>
      <c r="B1" s="25" t="str">
        <f>Revenue_Budget!B2</f>
        <v>Project</v>
      </c>
      <c r="C1" s="25" t="str">
        <f>Revenue_Budget!C2</f>
        <v>Vertical</v>
      </c>
      <c r="D1" s="25" t="str">
        <f>Revenue_Budget!D2</f>
        <v>Region</v>
      </c>
      <c r="E1" s="25" t="str">
        <f>Revenue_Budget!E2</f>
        <v>Sub Region</v>
      </c>
      <c r="F1" s="25" t="str">
        <f>Revenue_Budget!F2</f>
        <v>Region Head</v>
      </c>
      <c r="G1" s="25" t="str">
        <f>Revenue_Budget!G2</f>
        <v>Practice Head</v>
      </c>
      <c r="H1" s="26">
        <f>Revenue_Budget!H2</f>
        <v>46113</v>
      </c>
      <c r="I1" s="26">
        <f>Revenue_Budget!I2</f>
        <v>46143</v>
      </c>
      <c r="J1" s="26">
        <f>Revenue_Budget!J2</f>
        <v>46174</v>
      </c>
      <c r="K1" s="26">
        <f>Revenue_Budget!K2</f>
        <v>46204</v>
      </c>
      <c r="L1" s="26">
        <f>Revenue_Budget!L2</f>
        <v>46235</v>
      </c>
      <c r="M1" s="26">
        <f>Revenue_Budget!M2</f>
        <v>46266</v>
      </c>
      <c r="N1" s="26">
        <f>Revenue_Budget!N2</f>
        <v>46296</v>
      </c>
      <c r="O1" s="26">
        <f>Revenue_Budget!O2</f>
        <v>46327</v>
      </c>
      <c r="P1" s="26">
        <f>Revenue_Budget!P2</f>
        <v>46357</v>
      </c>
      <c r="Q1" s="26">
        <f>Revenue_Budget!Q2</f>
        <v>46388</v>
      </c>
      <c r="R1" s="26">
        <f>Revenue_Budget!R2</f>
        <v>46419</v>
      </c>
      <c r="S1" s="26">
        <f>Revenue_Budget!S2</f>
        <v>46447</v>
      </c>
    </row>
    <row r="2" spans="1:20" x14ac:dyDescent="0.35">
      <c r="A2" s="1" t="s">
        <v>115</v>
      </c>
      <c r="B2" s="1" t="s">
        <v>2</v>
      </c>
      <c r="C2" s="1" t="str">
        <f>VLOOKUP(B2,Mapping!A:B,2,0)</f>
        <v>Lateral</v>
      </c>
      <c r="D2" s="1" t="str">
        <f>VLOOKUP(B2,Mapping!A:C,3,0)</f>
        <v>South</v>
      </c>
      <c r="E2" s="1" t="str">
        <f>VLOOKUP(B2,Mapping!A:D,4,0)</f>
        <v>South 1</v>
      </c>
      <c r="F2" s="1" t="str">
        <f>VLOOKUP(B2,Mapping!A:E,5,0)</f>
        <v>Bapi</v>
      </c>
      <c r="G2" s="1" t="str">
        <f>VLOOKUP(B2,Mapping!A:F,6,0)</f>
        <v>Bapi</v>
      </c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5"/>
    </row>
    <row r="3" spans="1:20" x14ac:dyDescent="0.35">
      <c r="A3" s="1" t="s">
        <v>115</v>
      </c>
      <c r="B3" s="1" t="s">
        <v>4</v>
      </c>
      <c r="C3" s="1" t="str">
        <f>VLOOKUP(B3,Mapping!A:B,2,0)</f>
        <v>Lateral</v>
      </c>
      <c r="D3" s="1" t="str">
        <f>VLOOKUP(B3,Mapping!A:C,3,0)</f>
        <v>West</v>
      </c>
      <c r="E3" s="1" t="str">
        <f>VLOOKUP(B3,Mapping!A:D,4,0)</f>
        <v>West 1</v>
      </c>
      <c r="F3" s="1" t="str">
        <f>VLOOKUP(B3,Mapping!A:E,5,0)</f>
        <v>Anjli</v>
      </c>
      <c r="G3" s="1" t="str">
        <f>VLOOKUP(B3,Mapping!A:F,6,0)</f>
        <v>Usha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5"/>
    </row>
    <row r="4" spans="1:20" x14ac:dyDescent="0.35">
      <c r="A4" s="1" t="s">
        <v>115</v>
      </c>
      <c r="B4" s="1" t="s">
        <v>8</v>
      </c>
      <c r="C4" s="1" t="str">
        <f>VLOOKUP(B4,Mapping!A:B,2,0)</f>
        <v>Lateral</v>
      </c>
      <c r="D4" s="1" t="str">
        <f>VLOOKUP(B4,Mapping!A:C,3,0)</f>
        <v>West</v>
      </c>
      <c r="E4" s="1" t="str">
        <f>VLOOKUP(B4,Mapping!A:D,4,0)</f>
        <v>West 2</v>
      </c>
      <c r="F4" s="1" t="str">
        <f>VLOOKUP(B4,Mapping!A:E,5,0)</f>
        <v>Anjli</v>
      </c>
      <c r="G4" s="1" t="str">
        <f>VLOOKUP(B4,Mapping!A:F,6,0)</f>
        <v>Shweta</v>
      </c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5"/>
    </row>
    <row r="5" spans="1:20" x14ac:dyDescent="0.35">
      <c r="A5" s="1" t="s">
        <v>115</v>
      </c>
      <c r="B5" s="1" t="s">
        <v>10</v>
      </c>
      <c r="C5" s="1" t="str">
        <f>VLOOKUP(B5,Mapping!A:B,2,0)</f>
        <v>Lateral</v>
      </c>
      <c r="D5" s="1" t="str">
        <f>VLOOKUP(B5,Mapping!A:C,3,0)</f>
        <v>North</v>
      </c>
      <c r="E5" s="1" t="str">
        <f>VLOOKUP(B5,Mapping!A:D,4,0)</f>
        <v>North</v>
      </c>
      <c r="F5" s="1" t="str">
        <f>VLOOKUP(B5,Mapping!A:E,5,0)</f>
        <v>Anjli</v>
      </c>
      <c r="G5" s="1" t="str">
        <f>VLOOKUP(B5,Mapping!A:F,6,0)</f>
        <v>Archana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5"/>
    </row>
    <row r="6" spans="1:20" x14ac:dyDescent="0.35">
      <c r="A6" s="1" t="s">
        <v>115</v>
      </c>
      <c r="B6" s="1" t="s">
        <v>12</v>
      </c>
      <c r="C6" s="1" t="str">
        <f>VLOOKUP(B6,Mapping!A:B,2,0)</f>
        <v>Lateral</v>
      </c>
      <c r="D6" s="1" t="str">
        <f>VLOOKUP(B6,Mapping!A:C,3,0)</f>
        <v>South</v>
      </c>
      <c r="E6" s="1" t="str">
        <f>VLOOKUP(B6,Mapping!A:D,4,0)</f>
        <v>South 1</v>
      </c>
      <c r="F6" s="1" t="str">
        <f>VLOOKUP(B6,Mapping!A:E,5,0)</f>
        <v>Sulabh</v>
      </c>
      <c r="G6" s="1" t="str">
        <f>VLOOKUP(B6,Mapping!A:F,6,0)</f>
        <v>Kunal</v>
      </c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5"/>
    </row>
    <row r="7" spans="1:20" x14ac:dyDescent="0.35">
      <c r="A7" s="1" t="s">
        <v>115</v>
      </c>
      <c r="B7" s="1" t="s">
        <v>16</v>
      </c>
      <c r="C7" s="1" t="str">
        <f>VLOOKUP(B7,Mapping!A:B,2,0)</f>
        <v>Lateral</v>
      </c>
      <c r="D7" s="1" t="str">
        <f>VLOOKUP(B7,Mapping!A:C,3,0)</f>
        <v>West</v>
      </c>
      <c r="E7" s="1" t="str">
        <f>VLOOKUP(B7,Mapping!A:D,4,0)</f>
        <v>West 1</v>
      </c>
      <c r="F7" s="1" t="str">
        <f>VLOOKUP(B7,Mapping!A:E,5,0)</f>
        <v>Anjli</v>
      </c>
      <c r="G7" s="1" t="str">
        <f>VLOOKUP(B7,Mapping!A:F,6,0)</f>
        <v>Usha</v>
      </c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5"/>
    </row>
    <row r="8" spans="1:20" x14ac:dyDescent="0.35">
      <c r="A8" s="1" t="s">
        <v>115</v>
      </c>
      <c r="B8" s="1" t="s">
        <v>17</v>
      </c>
      <c r="C8" s="1" t="str">
        <f>VLOOKUP(B8,Mapping!A:B,2,0)</f>
        <v>Lateral</v>
      </c>
      <c r="D8" s="1" t="str">
        <f>VLOOKUP(B8,Mapping!A:C,3,0)</f>
        <v>West</v>
      </c>
      <c r="E8" s="1" t="str">
        <f>VLOOKUP(B8,Mapping!A:D,4,0)</f>
        <v>West 2</v>
      </c>
      <c r="F8" s="1" t="str">
        <f>VLOOKUP(B8,Mapping!A:E,5,0)</f>
        <v>Anjli</v>
      </c>
      <c r="G8" s="1" t="str">
        <f>VLOOKUP(B8,Mapping!A:F,6,0)</f>
        <v>Shweta</v>
      </c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5"/>
    </row>
    <row r="9" spans="1:20" x14ac:dyDescent="0.35">
      <c r="A9" s="1" t="s">
        <v>115</v>
      </c>
      <c r="B9" s="1" t="s">
        <v>18</v>
      </c>
      <c r="C9" s="1" t="str">
        <f>VLOOKUP(B9,Mapping!A:B,2,0)</f>
        <v>Lateral</v>
      </c>
      <c r="D9" s="1" t="str">
        <f>VLOOKUP(B9,Mapping!A:C,3,0)</f>
        <v>West</v>
      </c>
      <c r="E9" s="1" t="str">
        <f>VLOOKUP(B9,Mapping!A:D,4,0)</f>
        <v>West 1</v>
      </c>
      <c r="F9" s="1" t="str">
        <f>VLOOKUP(B9,Mapping!A:E,5,0)</f>
        <v>Anjli</v>
      </c>
      <c r="G9" s="1" t="str">
        <f>VLOOKUP(B9,Mapping!A:F,6,0)</f>
        <v>Geetu</v>
      </c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5"/>
    </row>
    <row r="10" spans="1:20" x14ac:dyDescent="0.35">
      <c r="A10" s="1" t="s">
        <v>115</v>
      </c>
      <c r="B10" s="1" t="s">
        <v>20</v>
      </c>
      <c r="C10" s="1" t="str">
        <f>VLOOKUP(B10,Mapping!A:B,2,0)</f>
        <v>Lateral</v>
      </c>
      <c r="D10" s="1" t="str">
        <f>VLOOKUP(B10,Mapping!A:C,3,0)</f>
        <v>West</v>
      </c>
      <c r="E10" s="1" t="str">
        <f>VLOOKUP(B10,Mapping!A:D,4,0)</f>
        <v>West 1</v>
      </c>
      <c r="F10" s="1" t="str">
        <f>VLOOKUP(B10,Mapping!A:E,5,0)</f>
        <v>Anjli</v>
      </c>
      <c r="G10" s="1" t="str">
        <f>VLOOKUP(B10,Mapping!A:F,6,0)</f>
        <v>Geetu</v>
      </c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5"/>
    </row>
    <row r="11" spans="1:20" x14ac:dyDescent="0.35">
      <c r="A11" s="1" t="s">
        <v>115</v>
      </c>
      <c r="B11" s="1" t="s">
        <v>21</v>
      </c>
      <c r="C11" s="1" t="str">
        <f>VLOOKUP(B11,Mapping!A:B,2,0)</f>
        <v>Lateral</v>
      </c>
      <c r="D11" s="1" t="str">
        <f>VLOOKUP(B11,Mapping!A:C,3,0)</f>
        <v>South</v>
      </c>
      <c r="E11" s="1" t="str">
        <f>VLOOKUP(B11,Mapping!A:D,4,0)</f>
        <v>South 1</v>
      </c>
      <c r="F11" s="1" t="str">
        <f>VLOOKUP(B11,Mapping!A:E,5,0)</f>
        <v>Mahak</v>
      </c>
      <c r="G11" s="1" t="str">
        <f>VLOOKUP(B11,Mapping!A:F,6,0)</f>
        <v>Mahak</v>
      </c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5"/>
    </row>
    <row r="12" spans="1:20" x14ac:dyDescent="0.35">
      <c r="A12" s="1" t="s">
        <v>115</v>
      </c>
      <c r="B12" s="1" t="s">
        <v>23</v>
      </c>
      <c r="C12" s="1" t="str">
        <f>VLOOKUP(B12,Mapping!A:B,2,0)</f>
        <v>Lateral</v>
      </c>
      <c r="D12" s="1" t="str">
        <f>VLOOKUP(B12,Mapping!A:C,3,0)</f>
        <v>South</v>
      </c>
      <c r="E12" s="1" t="str">
        <f>VLOOKUP(B12,Mapping!A:D,4,0)</f>
        <v>South 1</v>
      </c>
      <c r="F12" s="1" t="str">
        <f>VLOOKUP(B12,Mapping!A:E,5,0)</f>
        <v>Anjli</v>
      </c>
      <c r="G12" s="1" t="str">
        <f>VLOOKUP(B12,Mapping!A:F,6,0)</f>
        <v>Satya</v>
      </c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5"/>
    </row>
    <row r="13" spans="1:20" x14ac:dyDescent="0.35">
      <c r="A13" s="1" t="s">
        <v>115</v>
      </c>
      <c r="B13" s="1" t="s">
        <v>25</v>
      </c>
      <c r="C13" s="1" t="str">
        <f>VLOOKUP(B13,Mapping!A:B,2,0)</f>
        <v>Lateral</v>
      </c>
      <c r="D13" s="1" t="str">
        <f>VLOOKUP(B13,Mapping!A:C,3,0)</f>
        <v>West</v>
      </c>
      <c r="E13" s="1" t="str">
        <f>VLOOKUP(B13,Mapping!A:D,4,0)</f>
        <v>West 1</v>
      </c>
      <c r="F13" s="1" t="str">
        <f>VLOOKUP(B13,Mapping!A:E,5,0)</f>
        <v>Anjli</v>
      </c>
      <c r="G13" s="1" t="str">
        <f>VLOOKUP(B13,Mapping!A:F,6,0)</f>
        <v>Geetu</v>
      </c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1"/>
    </row>
    <row r="14" spans="1:20" x14ac:dyDescent="0.35">
      <c r="A14" s="1" t="s">
        <v>115</v>
      </c>
      <c r="B14" s="1" t="s">
        <v>26</v>
      </c>
      <c r="C14" s="1" t="str">
        <f>VLOOKUP(B14,Mapping!A:B,2,0)</f>
        <v>Lateral</v>
      </c>
      <c r="D14" s="1" t="str">
        <f>VLOOKUP(B14,Mapping!A:C,3,0)</f>
        <v>South</v>
      </c>
      <c r="E14" s="1" t="str">
        <f>VLOOKUP(B14,Mapping!A:D,4,0)</f>
        <v>South 2</v>
      </c>
      <c r="F14" s="1" t="str">
        <f>VLOOKUP(B14,Mapping!A:E,5,0)</f>
        <v>Sulabh</v>
      </c>
      <c r="G14" s="1" t="str">
        <f>VLOOKUP(B14,Mapping!A:F,6,0)</f>
        <v>Krishna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5"/>
    </row>
    <row r="15" spans="1:20" x14ac:dyDescent="0.35">
      <c r="A15" s="1" t="s">
        <v>115</v>
      </c>
      <c r="B15" s="1" t="s">
        <v>28</v>
      </c>
      <c r="C15" s="1" t="str">
        <f>VLOOKUP(B15,Mapping!A:B,2,0)</f>
        <v>Lateral</v>
      </c>
      <c r="D15" s="1" t="str">
        <f>VLOOKUP(B15,Mapping!A:C,3,0)</f>
        <v>West</v>
      </c>
      <c r="E15" s="1" t="str">
        <f>VLOOKUP(B15,Mapping!A:D,4,0)</f>
        <v>West 1</v>
      </c>
      <c r="F15" s="1" t="str">
        <f>VLOOKUP(B15,Mapping!A:E,5,0)</f>
        <v>Anjli</v>
      </c>
      <c r="G15" s="1" t="str">
        <f>VLOOKUP(B15,Mapping!A:F,6,0)</f>
        <v>Dhriti</v>
      </c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5"/>
    </row>
    <row r="16" spans="1:20" x14ac:dyDescent="0.35">
      <c r="A16" s="1" t="s">
        <v>115</v>
      </c>
      <c r="B16" s="1" t="s">
        <v>29</v>
      </c>
      <c r="C16" s="1" t="str">
        <f>VLOOKUP(B16,Mapping!A:B,2,0)</f>
        <v>Lateral</v>
      </c>
      <c r="D16" s="1" t="str">
        <f>VLOOKUP(B16,Mapping!A:C,3,0)</f>
        <v>South</v>
      </c>
      <c r="E16" s="1" t="str">
        <f>VLOOKUP(B16,Mapping!A:D,4,0)</f>
        <v>South 2</v>
      </c>
      <c r="F16" s="1" t="str">
        <f>VLOOKUP(B16,Mapping!A:E,5,0)</f>
        <v>Sulabh</v>
      </c>
      <c r="G16" s="1" t="str">
        <f>VLOOKUP(B16,Mapping!A:F,6,0)</f>
        <v>Krishna</v>
      </c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5"/>
    </row>
    <row r="17" spans="1:20" x14ac:dyDescent="0.35">
      <c r="A17" s="1" t="s">
        <v>115</v>
      </c>
      <c r="B17" s="1" t="s">
        <v>30</v>
      </c>
      <c r="C17" s="1" t="str">
        <f>VLOOKUP(B17,Mapping!A:B,2,0)</f>
        <v>Lateral</v>
      </c>
      <c r="D17" s="1" t="str">
        <f>VLOOKUP(B17,Mapping!A:C,3,0)</f>
        <v>South</v>
      </c>
      <c r="E17" s="1" t="str">
        <f>VLOOKUP(B17,Mapping!A:D,4,0)</f>
        <v>South 1</v>
      </c>
      <c r="F17" s="1" t="str">
        <f>VLOOKUP(B17,Mapping!A:E,5,0)</f>
        <v>Sulabh</v>
      </c>
      <c r="G17" s="1" t="str">
        <f>VLOOKUP(B17,Mapping!A:F,6,0)</f>
        <v>Subu</v>
      </c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5"/>
    </row>
    <row r="18" spans="1:20" x14ac:dyDescent="0.35">
      <c r="A18" s="1" t="s">
        <v>115</v>
      </c>
      <c r="B18" s="1" t="s">
        <v>32</v>
      </c>
      <c r="C18" s="1" t="str">
        <f>VLOOKUP(B18,Mapping!A:B,2,0)</f>
        <v>Lateral</v>
      </c>
      <c r="D18" s="1" t="str">
        <f>VLOOKUP(B18,Mapping!A:C,3,0)</f>
        <v>West</v>
      </c>
      <c r="E18" s="1" t="str">
        <f>VLOOKUP(B18,Mapping!A:D,4,0)</f>
        <v>West 2</v>
      </c>
      <c r="F18" s="1" t="str">
        <f>VLOOKUP(B18,Mapping!A:E,5,0)</f>
        <v>Anjli</v>
      </c>
      <c r="G18" s="1" t="str">
        <f>VLOOKUP(B18,Mapping!A:F,6,0)</f>
        <v>Anjli</v>
      </c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5"/>
    </row>
    <row r="19" spans="1:20" x14ac:dyDescent="0.35">
      <c r="A19" s="1" t="s">
        <v>115</v>
      </c>
      <c r="B19" s="1" t="s">
        <v>33</v>
      </c>
      <c r="C19" s="1" t="str">
        <f>VLOOKUP(B19,Mapping!A:B,2,0)</f>
        <v>Lateral</v>
      </c>
      <c r="D19" s="1" t="str">
        <f>VLOOKUP(B19,Mapping!A:C,3,0)</f>
        <v>West</v>
      </c>
      <c r="E19" s="1" t="str">
        <f>VLOOKUP(B19,Mapping!A:D,4,0)</f>
        <v>West 1</v>
      </c>
      <c r="F19" s="1" t="str">
        <f>VLOOKUP(B19,Mapping!A:E,5,0)</f>
        <v>Anjli</v>
      </c>
      <c r="G19" s="1" t="str">
        <f>VLOOKUP(B19,Mapping!A:F,6,0)</f>
        <v>Geetu</v>
      </c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5"/>
    </row>
    <row r="20" spans="1:20" x14ac:dyDescent="0.35">
      <c r="A20" s="1" t="s">
        <v>115</v>
      </c>
      <c r="B20" s="1" t="s">
        <v>34</v>
      </c>
      <c r="C20" s="1" t="str">
        <f>VLOOKUP(B20,Mapping!A:B,2,0)</f>
        <v>Lateral</v>
      </c>
      <c r="D20" s="1" t="str">
        <f>VLOOKUP(B20,Mapping!A:C,3,0)</f>
        <v>South</v>
      </c>
      <c r="E20" s="1" t="str">
        <f>VLOOKUP(B20,Mapping!A:D,4,0)</f>
        <v>South 1</v>
      </c>
      <c r="F20" s="1" t="str">
        <f>VLOOKUP(B20,Mapping!A:E,5,0)</f>
        <v>Sulabh</v>
      </c>
      <c r="G20" s="1" t="str">
        <f>VLOOKUP(B20,Mapping!A:F,6,0)</f>
        <v>Satya</v>
      </c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5"/>
    </row>
    <row r="21" spans="1:20" x14ac:dyDescent="0.35">
      <c r="A21" s="1" t="s">
        <v>115</v>
      </c>
      <c r="B21" s="1" t="s">
        <v>35</v>
      </c>
      <c r="C21" s="1" t="str">
        <f>VLOOKUP(B21,Mapping!A:B,2,0)</f>
        <v>Lateral</v>
      </c>
      <c r="D21" s="1" t="str">
        <f>VLOOKUP(B21,Mapping!A:C,3,0)</f>
        <v>West</v>
      </c>
      <c r="E21" s="1" t="str">
        <f>VLOOKUP(B21,Mapping!A:D,4,0)</f>
        <v>West 1</v>
      </c>
      <c r="F21" s="1" t="str">
        <f>VLOOKUP(B21,Mapping!A:E,5,0)</f>
        <v>Anjli</v>
      </c>
      <c r="G21" s="1" t="str">
        <f>VLOOKUP(B21,Mapping!A:F,6,0)</f>
        <v>Alifia</v>
      </c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5"/>
    </row>
    <row r="22" spans="1:20" x14ac:dyDescent="0.35">
      <c r="A22" s="1" t="s">
        <v>115</v>
      </c>
      <c r="B22" s="1" t="s">
        <v>37</v>
      </c>
      <c r="C22" s="1" t="str">
        <f>VLOOKUP(B22,Mapping!A:B,2,0)</f>
        <v>Lateral</v>
      </c>
      <c r="D22" s="1" t="str">
        <f>VLOOKUP(B22,Mapping!A:C,3,0)</f>
        <v>South</v>
      </c>
      <c r="E22" s="1" t="str">
        <f>VLOOKUP(B22,Mapping!A:D,4,0)</f>
        <v>South 2</v>
      </c>
      <c r="F22" s="1" t="str">
        <f>VLOOKUP(B22,Mapping!A:E,5,0)</f>
        <v>Sulabh</v>
      </c>
      <c r="G22" s="1" t="str">
        <f>VLOOKUP(B22,Mapping!A:F,6,0)</f>
        <v>Subu</v>
      </c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5"/>
    </row>
    <row r="23" spans="1:20" x14ac:dyDescent="0.35">
      <c r="A23" s="1" t="s">
        <v>115</v>
      </c>
      <c r="B23" s="1" t="s">
        <v>38</v>
      </c>
      <c r="C23" s="1" t="str">
        <f>VLOOKUP(B23,Mapping!A:B,2,0)</f>
        <v>Lateral</v>
      </c>
      <c r="D23" s="1" t="str">
        <f>VLOOKUP(B23,Mapping!A:C,3,0)</f>
        <v>North</v>
      </c>
      <c r="E23" s="1" t="str">
        <f>VLOOKUP(B23,Mapping!A:D,4,0)</f>
        <v>North</v>
      </c>
      <c r="F23" s="1" t="str">
        <f>VLOOKUP(B23,Mapping!A:E,5,0)</f>
        <v>Anjli</v>
      </c>
      <c r="G23" s="1" t="str">
        <f>VLOOKUP(B23,Mapping!A:F,6,0)</f>
        <v>Archana</v>
      </c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5"/>
    </row>
    <row r="24" spans="1:20" x14ac:dyDescent="0.35">
      <c r="A24" s="1" t="s">
        <v>115</v>
      </c>
      <c r="B24" s="1" t="s">
        <v>39</v>
      </c>
      <c r="C24" s="1" t="str">
        <f>VLOOKUP(B24,Mapping!A:B,2,0)</f>
        <v>Lateral</v>
      </c>
      <c r="D24" s="1" t="str">
        <f>VLOOKUP(B24,Mapping!A:C,3,0)</f>
        <v>South</v>
      </c>
      <c r="E24" s="1" t="str">
        <f>VLOOKUP(B24,Mapping!A:D,4,0)</f>
        <v>South 2</v>
      </c>
      <c r="F24" s="1" t="str">
        <f>VLOOKUP(B24,Mapping!A:E,5,0)</f>
        <v>Sulabh</v>
      </c>
      <c r="G24" s="1" t="str">
        <f>VLOOKUP(B24,Mapping!A:F,6,0)</f>
        <v>Krishna</v>
      </c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5"/>
    </row>
    <row r="25" spans="1:20" x14ac:dyDescent="0.35">
      <c r="A25" s="1" t="s">
        <v>115</v>
      </c>
      <c r="B25" s="1" t="s">
        <v>40</v>
      </c>
      <c r="C25" s="1" t="str">
        <f>VLOOKUP(B25,Mapping!A:B,2,0)</f>
        <v>Lateral</v>
      </c>
      <c r="D25" s="1" t="str">
        <f>VLOOKUP(B25,Mapping!A:C,3,0)</f>
        <v>West</v>
      </c>
      <c r="E25" s="1" t="str">
        <f>VLOOKUP(B25,Mapping!A:D,4,0)</f>
        <v>West 2</v>
      </c>
      <c r="F25" s="1" t="str">
        <f>VLOOKUP(B25,Mapping!A:E,5,0)</f>
        <v>Anjli</v>
      </c>
      <c r="G25" s="1" t="str">
        <f>VLOOKUP(B25,Mapping!A:F,6,0)</f>
        <v>Shweta</v>
      </c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5"/>
    </row>
    <row r="26" spans="1:20" x14ac:dyDescent="0.35">
      <c r="A26" s="1" t="s">
        <v>115</v>
      </c>
      <c r="B26" s="1" t="s">
        <v>41</v>
      </c>
      <c r="C26" s="1" t="str">
        <f>VLOOKUP(B26,Mapping!A:B,2,0)</f>
        <v>Lateral</v>
      </c>
      <c r="D26" s="1" t="str">
        <f>VLOOKUP(B26,Mapping!A:C,3,0)</f>
        <v>South</v>
      </c>
      <c r="E26" s="1" t="str">
        <f>VLOOKUP(B26,Mapping!A:D,4,0)</f>
        <v>South 2</v>
      </c>
      <c r="F26" s="1" t="str">
        <f>VLOOKUP(B26,Mapping!A:E,5,0)</f>
        <v>Sulabh</v>
      </c>
      <c r="G26" s="1" t="str">
        <f>VLOOKUP(B26,Mapping!A:F,6,0)</f>
        <v>Krishna</v>
      </c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5"/>
    </row>
    <row r="27" spans="1:20" x14ac:dyDescent="0.35">
      <c r="A27" s="1" t="s">
        <v>115</v>
      </c>
      <c r="B27" s="1" t="s">
        <v>42</v>
      </c>
      <c r="C27" s="1" t="str">
        <f>VLOOKUP(B27,Mapping!A:B,2,0)</f>
        <v>Lateral</v>
      </c>
      <c r="D27" s="1" t="str">
        <f>VLOOKUP(B27,Mapping!A:C,3,0)</f>
        <v>North</v>
      </c>
      <c r="E27" s="1" t="str">
        <f>VLOOKUP(B27,Mapping!A:D,4,0)</f>
        <v>North</v>
      </c>
      <c r="F27" s="1" t="str">
        <f>VLOOKUP(B27,Mapping!A:E,5,0)</f>
        <v>Anjli</v>
      </c>
      <c r="G27" s="1" t="str">
        <f>VLOOKUP(B27,Mapping!A:F,6,0)</f>
        <v>Archana</v>
      </c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5"/>
    </row>
    <row r="28" spans="1:20" x14ac:dyDescent="0.35">
      <c r="A28" s="1" t="s">
        <v>115</v>
      </c>
      <c r="B28" s="1" t="s">
        <v>43</v>
      </c>
      <c r="C28" s="1" t="str">
        <f>VLOOKUP(B28,Mapping!A:B,2,0)</f>
        <v>Lateral</v>
      </c>
      <c r="D28" s="1" t="str">
        <f>VLOOKUP(B28,Mapping!A:C,3,0)</f>
        <v>West</v>
      </c>
      <c r="E28" s="1" t="str">
        <f>VLOOKUP(B28,Mapping!A:D,4,0)</f>
        <v>West 2</v>
      </c>
      <c r="F28" s="1" t="str">
        <f>VLOOKUP(B28,Mapping!A:E,5,0)</f>
        <v>Anjli</v>
      </c>
      <c r="G28" s="1" t="str">
        <f>VLOOKUP(B28,Mapping!A:F,6,0)</f>
        <v>Shweta</v>
      </c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5"/>
    </row>
    <row r="29" spans="1:20" x14ac:dyDescent="0.35">
      <c r="A29" s="1" t="s">
        <v>115</v>
      </c>
      <c r="B29" s="1" t="s">
        <v>44</v>
      </c>
      <c r="C29" s="1" t="str">
        <f>VLOOKUP(B29,Mapping!A:B,2,0)</f>
        <v>Lateral</v>
      </c>
      <c r="D29" s="1" t="str">
        <f>VLOOKUP(B29,Mapping!A:C,3,0)</f>
        <v>North</v>
      </c>
      <c r="E29" s="1" t="str">
        <f>VLOOKUP(B29,Mapping!A:D,4,0)</f>
        <v>North</v>
      </c>
      <c r="F29" s="1" t="str">
        <f>VLOOKUP(B29,Mapping!A:E,5,0)</f>
        <v>Anjli</v>
      </c>
      <c r="G29" s="1" t="str">
        <f>VLOOKUP(B29,Mapping!A:F,6,0)</f>
        <v>Archana</v>
      </c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5"/>
    </row>
    <row r="30" spans="1:20" x14ac:dyDescent="0.35">
      <c r="A30" s="1" t="s">
        <v>115</v>
      </c>
      <c r="B30" s="1" t="s">
        <v>45</v>
      </c>
      <c r="C30" s="1" t="str">
        <f>VLOOKUP(B30,Mapping!A:B,2,0)</f>
        <v>Lateral</v>
      </c>
      <c r="D30" s="1" t="str">
        <f>VLOOKUP(B30,Mapping!A:C,3,0)</f>
        <v>South</v>
      </c>
      <c r="E30" s="1" t="str">
        <f>VLOOKUP(B30,Mapping!A:D,4,0)</f>
        <v>South 2</v>
      </c>
      <c r="F30" s="1" t="str">
        <f>VLOOKUP(B30,Mapping!A:E,5,0)</f>
        <v>Sulabh</v>
      </c>
      <c r="G30" s="1" t="str">
        <f>VLOOKUP(B30,Mapping!A:F,6,0)</f>
        <v>Krishna</v>
      </c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5"/>
    </row>
    <row r="31" spans="1:20" x14ac:dyDescent="0.35">
      <c r="A31" s="1" t="s">
        <v>115</v>
      </c>
      <c r="B31" s="1" t="s">
        <v>46</v>
      </c>
      <c r="C31" s="1" t="str">
        <f>VLOOKUP(B31,Mapping!A:B,2,0)</f>
        <v>Lateral</v>
      </c>
      <c r="D31" s="1" t="str">
        <f>VLOOKUP(B31,Mapping!A:C,3,0)</f>
        <v>West</v>
      </c>
      <c r="E31" s="1" t="str">
        <f>VLOOKUP(B31,Mapping!A:D,4,0)</f>
        <v>West 1</v>
      </c>
      <c r="F31" s="1" t="str">
        <f>VLOOKUP(B31,Mapping!A:E,5,0)</f>
        <v>Anjli</v>
      </c>
      <c r="G31" s="1" t="str">
        <f>VLOOKUP(B31,Mapping!A:F,6,0)</f>
        <v>Geetu</v>
      </c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5"/>
    </row>
    <row r="32" spans="1:20" x14ac:dyDescent="0.35">
      <c r="A32" s="1" t="s">
        <v>115</v>
      </c>
      <c r="B32" s="1" t="s">
        <v>47</v>
      </c>
      <c r="C32" s="1" t="str">
        <f>VLOOKUP(B32,Mapping!A:B,2,0)</f>
        <v>Lateral</v>
      </c>
      <c r="D32" s="1" t="str">
        <f>VLOOKUP(B32,Mapping!A:C,3,0)</f>
        <v>West</v>
      </c>
      <c r="E32" s="1" t="str">
        <f>VLOOKUP(B32,Mapping!A:D,4,0)</f>
        <v>West 1</v>
      </c>
      <c r="F32" s="1" t="str">
        <f>VLOOKUP(B32,Mapping!A:E,5,0)</f>
        <v>Anjli</v>
      </c>
      <c r="G32" s="1" t="str">
        <f>VLOOKUP(B32,Mapping!A:F,6,0)</f>
        <v>Geetu</v>
      </c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5"/>
    </row>
    <row r="33" spans="1:20" x14ac:dyDescent="0.35">
      <c r="A33" s="1" t="s">
        <v>115</v>
      </c>
      <c r="B33" s="1" t="s">
        <v>48</v>
      </c>
      <c r="C33" s="1" t="str">
        <f>VLOOKUP(B33,Mapping!A:B,2,0)</f>
        <v>Lateral</v>
      </c>
      <c r="D33" s="1" t="str">
        <f>VLOOKUP(B33,Mapping!A:C,3,0)</f>
        <v>West</v>
      </c>
      <c r="E33" s="1" t="str">
        <f>VLOOKUP(B33,Mapping!A:D,4,0)</f>
        <v>West 1</v>
      </c>
      <c r="F33" s="1" t="str">
        <f>VLOOKUP(B33,Mapping!A:E,5,0)</f>
        <v>Anjli</v>
      </c>
      <c r="G33" s="1" t="str">
        <f>VLOOKUP(B33,Mapping!A:F,6,0)</f>
        <v>Geetu</v>
      </c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5"/>
    </row>
    <row r="34" spans="1:20" x14ac:dyDescent="0.35">
      <c r="A34" s="1" t="s">
        <v>115</v>
      </c>
      <c r="B34" s="1" t="s">
        <v>49</v>
      </c>
      <c r="C34" s="1" t="str">
        <f>VLOOKUP(B34,Mapping!A:B,2,0)</f>
        <v>Lateral</v>
      </c>
      <c r="D34" s="1" t="str">
        <f>VLOOKUP(B34,Mapping!A:C,3,0)</f>
        <v>North</v>
      </c>
      <c r="E34" s="1" t="str">
        <f>VLOOKUP(B34,Mapping!A:D,4,0)</f>
        <v>North</v>
      </c>
      <c r="F34" s="1" t="str">
        <f>VLOOKUP(B34,Mapping!A:E,5,0)</f>
        <v>Anjli</v>
      </c>
      <c r="G34" s="1" t="str">
        <f>VLOOKUP(B34,Mapping!A:F,6,0)</f>
        <v>Archana</v>
      </c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5"/>
    </row>
    <row r="35" spans="1:20" x14ac:dyDescent="0.35">
      <c r="A35" s="1" t="s">
        <v>115</v>
      </c>
      <c r="B35" s="1" t="s">
        <v>50</v>
      </c>
      <c r="C35" s="1" t="str">
        <f>VLOOKUP(B35,Mapping!A:B,2,0)</f>
        <v>Lateral</v>
      </c>
      <c r="D35" s="1" t="str">
        <f>VLOOKUP(B35,Mapping!A:C,3,0)</f>
        <v>North</v>
      </c>
      <c r="E35" s="1" t="str">
        <f>VLOOKUP(B35,Mapping!A:D,4,0)</f>
        <v>North</v>
      </c>
      <c r="F35" s="1" t="str">
        <f>VLOOKUP(B35,Mapping!A:E,5,0)</f>
        <v>Anjli</v>
      </c>
      <c r="G35" s="1" t="str">
        <f>VLOOKUP(B35,Mapping!A:F,6,0)</f>
        <v>Archana</v>
      </c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5"/>
    </row>
    <row r="36" spans="1:20" x14ac:dyDescent="0.35">
      <c r="A36" s="1" t="s">
        <v>115</v>
      </c>
      <c r="B36" s="1" t="s">
        <v>51</v>
      </c>
      <c r="C36" s="1" t="str">
        <f>VLOOKUP(B36,Mapping!A:B,2,0)</f>
        <v>Lateral</v>
      </c>
      <c r="D36" s="1" t="str">
        <f>VLOOKUP(B36,Mapping!A:C,3,0)</f>
        <v>West</v>
      </c>
      <c r="E36" s="1" t="str">
        <f>VLOOKUP(B36,Mapping!A:D,4,0)</f>
        <v>West 1</v>
      </c>
      <c r="F36" s="1" t="str">
        <f>VLOOKUP(B36,Mapping!A:E,5,0)</f>
        <v>Anjli</v>
      </c>
      <c r="G36" s="1" t="str">
        <f>VLOOKUP(B36,Mapping!A:F,6,0)</f>
        <v>Geetu</v>
      </c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5"/>
    </row>
    <row r="37" spans="1:20" x14ac:dyDescent="0.35">
      <c r="A37" s="1" t="s">
        <v>115</v>
      </c>
      <c r="B37" s="1" t="s">
        <v>52</v>
      </c>
      <c r="C37" s="1" t="str">
        <f>VLOOKUP(B37,Mapping!A:B,2,0)</f>
        <v>Lateral</v>
      </c>
      <c r="D37" s="1" t="str">
        <f>VLOOKUP(B37,Mapping!A:C,3,0)</f>
        <v>West</v>
      </c>
      <c r="E37" s="1" t="str">
        <f>VLOOKUP(B37,Mapping!A:D,4,0)</f>
        <v>West 2</v>
      </c>
      <c r="F37" s="1" t="str">
        <f>VLOOKUP(B37,Mapping!A:E,5,0)</f>
        <v>Anjli</v>
      </c>
      <c r="G37" s="1" t="str">
        <f>VLOOKUP(B37,Mapping!A:F,6,0)</f>
        <v>Shweta</v>
      </c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5"/>
    </row>
    <row r="38" spans="1:20" x14ac:dyDescent="0.35">
      <c r="A38" s="1" t="s">
        <v>115</v>
      </c>
      <c r="B38" s="1" t="s">
        <v>53</v>
      </c>
      <c r="C38" s="1" t="str">
        <f>VLOOKUP(B38,Mapping!A:B,2,0)</f>
        <v>Lateral</v>
      </c>
      <c r="D38" s="1" t="str">
        <f>VLOOKUP(B38,Mapping!A:C,3,0)</f>
        <v>West</v>
      </c>
      <c r="E38" s="1" t="str">
        <f>VLOOKUP(B38,Mapping!A:D,4,0)</f>
        <v>West 1</v>
      </c>
      <c r="F38" s="1" t="str">
        <f>VLOOKUP(B38,Mapping!A:E,5,0)</f>
        <v>Anjli</v>
      </c>
      <c r="G38" s="1" t="str">
        <f>VLOOKUP(B38,Mapping!A:F,6,0)</f>
        <v>Ankit</v>
      </c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5"/>
    </row>
    <row r="39" spans="1:20" x14ac:dyDescent="0.35">
      <c r="A39" s="1" t="s">
        <v>115</v>
      </c>
      <c r="B39" s="1" t="s">
        <v>55</v>
      </c>
      <c r="C39" s="1" t="str">
        <f>VLOOKUP(B39,Mapping!A:B,2,0)</f>
        <v>Lateral</v>
      </c>
      <c r="D39" s="1" t="str">
        <f>VLOOKUP(B39,Mapping!A:C,3,0)</f>
        <v>South</v>
      </c>
      <c r="E39" s="1" t="str">
        <f>VLOOKUP(B39,Mapping!A:D,4,0)</f>
        <v>South 2</v>
      </c>
      <c r="F39" s="1" t="str">
        <f>VLOOKUP(B39,Mapping!A:E,5,0)</f>
        <v>Sulabh</v>
      </c>
      <c r="G39" s="1" t="str">
        <f>VLOOKUP(B39,Mapping!A:F,6,0)</f>
        <v>Krishna</v>
      </c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5"/>
    </row>
    <row r="40" spans="1:20" x14ac:dyDescent="0.35">
      <c r="A40" s="1" t="s">
        <v>115</v>
      </c>
      <c r="B40" s="1" t="s">
        <v>56</v>
      </c>
      <c r="C40" s="1" t="str">
        <f>VLOOKUP(B40,Mapping!A:B,2,0)</f>
        <v>Lateral</v>
      </c>
      <c r="D40" s="1" t="str">
        <f>VLOOKUP(B40,Mapping!A:C,3,0)</f>
        <v>North</v>
      </c>
      <c r="E40" s="1" t="str">
        <f>VLOOKUP(B40,Mapping!A:D,4,0)</f>
        <v>North</v>
      </c>
      <c r="F40" s="1" t="str">
        <f>VLOOKUP(B40,Mapping!A:E,5,0)</f>
        <v>Anjli</v>
      </c>
      <c r="G40" s="1" t="str">
        <f>VLOOKUP(B40,Mapping!A:F,6,0)</f>
        <v>Archana</v>
      </c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5"/>
    </row>
    <row r="41" spans="1:20" x14ac:dyDescent="0.35">
      <c r="A41" s="1" t="s">
        <v>115</v>
      </c>
      <c r="B41" s="1" t="s">
        <v>57</v>
      </c>
      <c r="C41" s="1" t="str">
        <f>VLOOKUP(B41,Mapping!A:B,2,0)</f>
        <v>Lateral</v>
      </c>
      <c r="D41" s="1" t="str">
        <f>VLOOKUP(B41,Mapping!A:C,3,0)</f>
        <v>South</v>
      </c>
      <c r="E41" s="1" t="str">
        <f>VLOOKUP(B41,Mapping!A:D,4,0)</f>
        <v>South 2</v>
      </c>
      <c r="F41" s="1" t="str">
        <f>VLOOKUP(B41,Mapping!A:E,5,0)</f>
        <v>Sulabh</v>
      </c>
      <c r="G41" s="1" t="str">
        <f>VLOOKUP(B41,Mapping!A:F,6,0)</f>
        <v>Krishna</v>
      </c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5"/>
    </row>
    <row r="42" spans="1:20" x14ac:dyDescent="0.35">
      <c r="A42" s="1" t="s">
        <v>115</v>
      </c>
      <c r="B42" s="1" t="s">
        <v>58</v>
      </c>
      <c r="C42" s="1" t="str">
        <f>VLOOKUP(B42,Mapping!A:B,2,0)</f>
        <v>Lateral</v>
      </c>
      <c r="D42" s="1" t="str">
        <f>VLOOKUP(B42,Mapping!A:C,3,0)</f>
        <v>West</v>
      </c>
      <c r="E42" s="1" t="str">
        <f>VLOOKUP(B42,Mapping!A:D,4,0)</f>
        <v>West 1</v>
      </c>
      <c r="F42" s="1" t="str">
        <f>VLOOKUP(B42,Mapping!A:E,5,0)</f>
        <v>Anjli</v>
      </c>
      <c r="G42" s="1" t="str">
        <f>VLOOKUP(B42,Mapping!A:F,6,0)</f>
        <v>Elton</v>
      </c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5"/>
    </row>
    <row r="43" spans="1:20" x14ac:dyDescent="0.35">
      <c r="A43" s="1" t="s">
        <v>115</v>
      </c>
      <c r="B43" s="1" t="s">
        <v>60</v>
      </c>
      <c r="C43" s="1" t="str">
        <f>VLOOKUP(B43,Mapping!A:B,2,0)</f>
        <v>Lateral</v>
      </c>
      <c r="D43" s="1" t="str">
        <f>VLOOKUP(B43,Mapping!A:C,3,0)</f>
        <v>West</v>
      </c>
      <c r="E43" s="1" t="str">
        <f>VLOOKUP(B43,Mapping!A:D,4,0)</f>
        <v>West 2</v>
      </c>
      <c r="F43" s="1" t="str">
        <f>VLOOKUP(B43,Mapping!A:E,5,0)</f>
        <v>Anjli</v>
      </c>
      <c r="G43" s="1" t="str">
        <f>VLOOKUP(B43,Mapping!A:F,6,0)</f>
        <v>Shweta</v>
      </c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5"/>
    </row>
    <row r="44" spans="1:20" x14ac:dyDescent="0.35">
      <c r="A44" s="1" t="s">
        <v>115</v>
      </c>
      <c r="B44" s="1" t="s">
        <v>61</v>
      </c>
      <c r="C44" s="1" t="str">
        <f>VLOOKUP(B44,Mapping!A:B,2,0)</f>
        <v>Lateral</v>
      </c>
      <c r="D44" s="1" t="str">
        <f>VLOOKUP(B44,Mapping!A:C,3,0)</f>
        <v>West</v>
      </c>
      <c r="E44" s="1" t="str">
        <f>VLOOKUP(B44,Mapping!A:D,4,0)</f>
        <v>West 1</v>
      </c>
      <c r="F44" s="1" t="str">
        <f>VLOOKUP(B44,Mapping!A:E,5,0)</f>
        <v>Anjli</v>
      </c>
      <c r="G44" s="1" t="str">
        <f>VLOOKUP(B44,Mapping!A:F,6,0)</f>
        <v>Elton</v>
      </c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5"/>
    </row>
    <row r="45" spans="1:20" x14ac:dyDescent="0.35">
      <c r="A45" s="1" t="s">
        <v>115</v>
      </c>
      <c r="B45" s="1" t="s">
        <v>62</v>
      </c>
      <c r="C45" s="1" t="str">
        <f>VLOOKUP(B45,Mapping!A:B,2,0)</f>
        <v>Lateral</v>
      </c>
      <c r="D45" s="1" t="str">
        <f>VLOOKUP(B45,Mapping!A:C,3,0)</f>
        <v>South</v>
      </c>
      <c r="E45" s="1" t="str">
        <f>VLOOKUP(B45,Mapping!A:D,4,0)</f>
        <v>South 2</v>
      </c>
      <c r="F45" s="1" t="str">
        <f>VLOOKUP(B45,Mapping!A:E,5,0)</f>
        <v>Sulabh</v>
      </c>
      <c r="G45" s="1" t="str">
        <f>VLOOKUP(B45,Mapping!A:F,6,0)</f>
        <v>Subu</v>
      </c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5"/>
    </row>
    <row r="46" spans="1:20" x14ac:dyDescent="0.35">
      <c r="A46" s="1" t="s">
        <v>115</v>
      </c>
      <c r="B46" s="1" t="s">
        <v>63</v>
      </c>
      <c r="C46" s="1" t="str">
        <f>VLOOKUP(B46,Mapping!A:B,2,0)</f>
        <v>Lateral</v>
      </c>
      <c r="D46" s="1" t="str">
        <f>VLOOKUP(B46,Mapping!A:C,3,0)</f>
        <v>West</v>
      </c>
      <c r="E46" s="1" t="str">
        <f>VLOOKUP(B46,Mapping!A:D,4,0)</f>
        <v>West 1</v>
      </c>
      <c r="F46" s="1" t="str">
        <f>VLOOKUP(B46,Mapping!A:E,5,0)</f>
        <v>Anjli</v>
      </c>
      <c r="G46" s="1" t="str">
        <f>VLOOKUP(B46,Mapping!A:F,6,0)</f>
        <v>Elton</v>
      </c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5"/>
    </row>
    <row r="47" spans="1:20" x14ac:dyDescent="0.35">
      <c r="A47" s="1" t="s">
        <v>115</v>
      </c>
      <c r="B47" s="1" t="s">
        <v>64</v>
      </c>
      <c r="C47" s="1" t="str">
        <f>VLOOKUP(B47,Mapping!A:B,2,0)</f>
        <v>Lateral</v>
      </c>
      <c r="D47" s="1" t="str">
        <f>VLOOKUP(B47,Mapping!A:C,3,0)</f>
        <v>South</v>
      </c>
      <c r="E47" s="1" t="str">
        <f>VLOOKUP(B47,Mapping!A:D,4,0)</f>
        <v>South 2</v>
      </c>
      <c r="F47" s="1" t="str">
        <f>VLOOKUP(B47,Mapping!A:E,5,0)</f>
        <v>Sulabh</v>
      </c>
      <c r="G47" s="1" t="str">
        <f>VLOOKUP(B47,Mapping!A:F,6,0)</f>
        <v>Sulabh</v>
      </c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5"/>
    </row>
    <row r="48" spans="1:20" x14ac:dyDescent="0.35">
      <c r="A48" s="1" t="s">
        <v>115</v>
      </c>
      <c r="B48" s="1" t="s">
        <v>65</v>
      </c>
      <c r="C48" s="1" t="str">
        <f>VLOOKUP(B48,Mapping!A:B,2,0)</f>
        <v>Lateral</v>
      </c>
      <c r="D48" s="1" t="str">
        <f>VLOOKUP(B48,Mapping!A:C,3,0)</f>
        <v>South</v>
      </c>
      <c r="E48" s="1" t="str">
        <f>VLOOKUP(B48,Mapping!A:D,4,0)</f>
        <v>South 2</v>
      </c>
      <c r="F48" s="1" t="str">
        <f>VLOOKUP(B48,Mapping!A:E,5,0)</f>
        <v>Sulabh</v>
      </c>
      <c r="G48" s="1" t="str">
        <f>VLOOKUP(B48,Mapping!A:F,6,0)</f>
        <v>Sulabh</v>
      </c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5"/>
    </row>
    <row r="49" spans="1:20" x14ac:dyDescent="0.35">
      <c r="A49" s="1" t="s">
        <v>115</v>
      </c>
      <c r="B49" s="1" t="s">
        <v>66</v>
      </c>
      <c r="C49" s="1" t="str">
        <f>VLOOKUP(B49,Mapping!A:B,2,0)</f>
        <v>Lateral</v>
      </c>
      <c r="D49" s="1" t="str">
        <f>VLOOKUP(B49,Mapping!A:C,3,0)</f>
        <v>South</v>
      </c>
      <c r="E49" s="1" t="str">
        <f>VLOOKUP(B49,Mapping!A:D,4,0)</f>
        <v>South 2</v>
      </c>
      <c r="F49" s="1" t="str">
        <f>VLOOKUP(B49,Mapping!A:E,5,0)</f>
        <v>Sulabh</v>
      </c>
      <c r="G49" s="1" t="str">
        <f>VLOOKUP(B49,Mapping!A:F,6,0)</f>
        <v>Abhilash</v>
      </c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5"/>
    </row>
    <row r="50" spans="1:20" x14ac:dyDescent="0.35">
      <c r="A50" s="1" t="s">
        <v>115</v>
      </c>
      <c r="B50" s="1" t="s">
        <v>68</v>
      </c>
      <c r="C50" s="1" t="str">
        <f>VLOOKUP(B50,Mapping!A:B,2,0)</f>
        <v>Lateral</v>
      </c>
      <c r="D50" s="1" t="str">
        <f>VLOOKUP(B50,Mapping!A:C,3,0)</f>
        <v>West</v>
      </c>
      <c r="E50" s="1" t="str">
        <f>VLOOKUP(B50,Mapping!A:D,4,0)</f>
        <v>West 1</v>
      </c>
      <c r="F50" s="1" t="str">
        <f>VLOOKUP(B50,Mapping!A:E,5,0)</f>
        <v>Anjli</v>
      </c>
      <c r="G50" s="1" t="str">
        <f>VLOOKUP(B50,Mapping!A:F,6,0)</f>
        <v>Elton</v>
      </c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5"/>
    </row>
    <row r="51" spans="1:20" x14ac:dyDescent="0.35">
      <c r="A51" s="1" t="s">
        <v>115</v>
      </c>
      <c r="B51" s="1" t="s">
        <v>69</v>
      </c>
      <c r="C51" s="1" t="str">
        <f>VLOOKUP(B51,Mapping!A:B,2,0)</f>
        <v>Leadership</v>
      </c>
      <c r="D51" s="1" t="str">
        <f>VLOOKUP(B51,Mapping!A:C,3,0)</f>
        <v>South</v>
      </c>
      <c r="E51" s="1" t="str">
        <f>VLOOKUP(B51,Mapping!A:D,4,0)</f>
        <v>South 1</v>
      </c>
      <c r="F51" s="1" t="str">
        <f>VLOOKUP(B51,Mapping!A:E,5,0)</f>
        <v>Bapi</v>
      </c>
      <c r="G51" s="1" t="str">
        <f>VLOOKUP(B51,Mapping!A:F,6,0)</f>
        <v>Parul</v>
      </c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5"/>
    </row>
    <row r="52" spans="1:20" x14ac:dyDescent="0.35">
      <c r="A52" s="1" t="s">
        <v>115</v>
      </c>
      <c r="B52" s="1" t="s">
        <v>71</v>
      </c>
      <c r="C52" s="1" t="str">
        <f>VLOOKUP(B52,Mapping!A:B,2,0)</f>
        <v>Leadership</v>
      </c>
      <c r="D52" s="1" t="str">
        <f>VLOOKUP(B52,Mapping!A:C,3,0)</f>
        <v>South</v>
      </c>
      <c r="E52" s="1" t="str">
        <f>VLOOKUP(B52,Mapping!A:D,4,0)</f>
        <v>South 2</v>
      </c>
      <c r="F52" s="1" t="str">
        <f>VLOOKUP(B52,Mapping!A:E,5,0)</f>
        <v>Sulabh</v>
      </c>
      <c r="G52" s="1" t="str">
        <f>VLOOKUP(B52,Mapping!A:F,6,0)</f>
        <v>Parul</v>
      </c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5"/>
    </row>
    <row r="53" spans="1:20" x14ac:dyDescent="0.35">
      <c r="A53" s="1" t="s">
        <v>115</v>
      </c>
      <c r="B53" s="1" t="s">
        <v>72</v>
      </c>
      <c r="C53" s="1" t="str">
        <f>VLOOKUP(B53,Mapping!A:B,2,0)</f>
        <v>Leadership</v>
      </c>
      <c r="D53" s="1" t="str">
        <f>VLOOKUP(B53,Mapping!A:C,3,0)</f>
        <v>West</v>
      </c>
      <c r="E53" s="1" t="str">
        <f>VLOOKUP(B53,Mapping!A:D,4,0)</f>
        <v>West 2</v>
      </c>
      <c r="F53" s="1" t="str">
        <f>VLOOKUP(B53,Mapping!A:E,5,0)</f>
        <v>Anjli</v>
      </c>
      <c r="G53" s="1" t="str">
        <f>VLOOKUP(B53,Mapping!A:F,6,0)</f>
        <v>Parul</v>
      </c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5"/>
    </row>
    <row r="54" spans="1:20" x14ac:dyDescent="0.35">
      <c r="A54" s="1" t="s">
        <v>115</v>
      </c>
      <c r="B54" s="1" t="s">
        <v>73</v>
      </c>
      <c r="C54" s="1" t="str">
        <f>VLOOKUP(B54,Mapping!A:B,2,0)</f>
        <v>Leadership</v>
      </c>
      <c r="D54" s="1" t="str">
        <f>VLOOKUP(B54,Mapping!A:C,3,0)</f>
        <v>West</v>
      </c>
      <c r="E54" s="1" t="str">
        <f>VLOOKUP(B54,Mapping!A:D,4,0)</f>
        <v>West 1</v>
      </c>
      <c r="F54" s="1" t="str">
        <f>VLOOKUP(B54,Mapping!A:E,5,0)</f>
        <v>Anjli</v>
      </c>
      <c r="G54" s="1" t="str">
        <f>VLOOKUP(B54,Mapping!A:F,6,0)</f>
        <v>Parul</v>
      </c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5"/>
    </row>
    <row r="55" spans="1:20" x14ac:dyDescent="0.35">
      <c r="A55" s="1" t="s">
        <v>115</v>
      </c>
      <c r="B55" s="1" t="s">
        <v>74</v>
      </c>
      <c r="C55" s="1" t="str">
        <f>VLOOKUP(B55,Mapping!A:B,2,0)</f>
        <v>Leadership</v>
      </c>
      <c r="D55" s="1" t="str">
        <f>VLOOKUP(B55,Mapping!A:C,3,0)</f>
        <v>West</v>
      </c>
      <c r="E55" s="1" t="str">
        <f>VLOOKUP(B55,Mapping!A:D,4,0)</f>
        <v>West 1</v>
      </c>
      <c r="F55" s="1" t="str">
        <f>VLOOKUP(B55,Mapping!A:E,5,0)</f>
        <v>Anjli</v>
      </c>
      <c r="G55" s="1" t="str">
        <f>VLOOKUP(B55,Mapping!A:F,6,0)</f>
        <v>Parul</v>
      </c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5"/>
    </row>
    <row r="56" spans="1:20" x14ac:dyDescent="0.35">
      <c r="A56" s="1" t="s">
        <v>115</v>
      </c>
      <c r="B56" s="1" t="s">
        <v>75</v>
      </c>
      <c r="C56" s="1" t="str">
        <f>VLOOKUP(B56,Mapping!A:B,2,0)</f>
        <v>Leadership</v>
      </c>
      <c r="D56" s="1" t="str">
        <f>VLOOKUP(B56,Mapping!A:C,3,0)</f>
        <v>South</v>
      </c>
      <c r="E56" s="1" t="str">
        <f>VLOOKUP(B56,Mapping!A:D,4,0)</f>
        <v>South 2</v>
      </c>
      <c r="F56" s="1" t="str">
        <f>VLOOKUP(B56,Mapping!A:E,5,0)</f>
        <v>Sulabh</v>
      </c>
      <c r="G56" s="1" t="str">
        <f>VLOOKUP(B56,Mapping!A:F,6,0)</f>
        <v>Parul</v>
      </c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5"/>
    </row>
    <row r="57" spans="1:20" x14ac:dyDescent="0.35">
      <c r="A57" s="1" t="s">
        <v>115</v>
      </c>
      <c r="B57" s="1" t="s">
        <v>76</v>
      </c>
      <c r="C57" s="1" t="str">
        <f>VLOOKUP(B57,Mapping!A:B,2,0)</f>
        <v>Leadership</v>
      </c>
      <c r="D57" s="1" t="str">
        <f>VLOOKUP(B57,Mapping!A:C,3,0)</f>
        <v>South</v>
      </c>
      <c r="E57" s="1" t="str">
        <f>VLOOKUP(B57,Mapping!A:D,4,0)</f>
        <v>South 2</v>
      </c>
      <c r="F57" s="1" t="str">
        <f>VLOOKUP(B57,Mapping!A:E,5,0)</f>
        <v>Sulabh</v>
      </c>
      <c r="G57" s="1" t="str">
        <f>VLOOKUP(B57,Mapping!A:F,6,0)</f>
        <v>Parul</v>
      </c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5"/>
    </row>
    <row r="58" spans="1:20" x14ac:dyDescent="0.35">
      <c r="A58" s="1" t="s">
        <v>115</v>
      </c>
      <c r="B58" s="1" t="s">
        <v>77</v>
      </c>
      <c r="C58" s="1" t="str">
        <f>VLOOKUP(B58,Mapping!A:B,2,0)</f>
        <v>Leadership</v>
      </c>
      <c r="D58" s="1" t="str">
        <f>VLOOKUP(B58,Mapping!A:C,3,0)</f>
        <v>North</v>
      </c>
      <c r="E58" s="1" t="str">
        <f>VLOOKUP(B58,Mapping!A:D,4,0)</f>
        <v>North</v>
      </c>
      <c r="F58" s="1" t="str">
        <f>VLOOKUP(B58,Mapping!A:E,5,0)</f>
        <v>Anjli</v>
      </c>
      <c r="G58" s="1" t="str">
        <f>VLOOKUP(B58,Mapping!A:F,6,0)</f>
        <v>Parul</v>
      </c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5"/>
    </row>
    <row r="59" spans="1:20" x14ac:dyDescent="0.35">
      <c r="A59" s="1" t="s">
        <v>115</v>
      </c>
      <c r="B59" s="1" t="s">
        <v>78</v>
      </c>
      <c r="C59" s="1" t="str">
        <f>VLOOKUP(B59,Mapping!A:B,2,0)</f>
        <v>Leadership</v>
      </c>
      <c r="D59" s="1" t="str">
        <f>VLOOKUP(B59,Mapping!A:C,3,0)</f>
        <v>West</v>
      </c>
      <c r="E59" s="1" t="str">
        <f>VLOOKUP(B59,Mapping!A:D,4,0)</f>
        <v>West 1</v>
      </c>
      <c r="F59" s="1" t="str">
        <f>VLOOKUP(B59,Mapping!A:E,5,0)</f>
        <v>Anjli</v>
      </c>
      <c r="G59" s="1" t="str">
        <f>VLOOKUP(B59,Mapping!A:F,6,0)</f>
        <v>Parul</v>
      </c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5"/>
    </row>
    <row r="60" spans="1:20" x14ac:dyDescent="0.35">
      <c r="A60" s="1" t="s">
        <v>115</v>
      </c>
      <c r="B60" s="1" t="s">
        <v>79</v>
      </c>
      <c r="C60" s="1" t="str">
        <f>VLOOKUP(B60,Mapping!A:B,2,0)</f>
        <v>Leadership</v>
      </c>
      <c r="D60" s="1" t="str">
        <f>VLOOKUP(B60,Mapping!A:C,3,0)</f>
        <v>West</v>
      </c>
      <c r="E60" s="1" t="str">
        <f>VLOOKUP(B60,Mapping!A:D,4,0)</f>
        <v>West 2</v>
      </c>
      <c r="F60" s="1" t="str">
        <f>VLOOKUP(B60,Mapping!A:E,5,0)</f>
        <v>Anjli</v>
      </c>
      <c r="G60" s="1" t="str">
        <f>VLOOKUP(B60,Mapping!A:F,6,0)</f>
        <v>Parul</v>
      </c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5"/>
    </row>
    <row r="61" spans="1:20" x14ac:dyDescent="0.35">
      <c r="A61" s="1" t="s">
        <v>115</v>
      </c>
      <c r="B61" s="1" t="s">
        <v>80</v>
      </c>
      <c r="C61" s="1" t="str">
        <f>VLOOKUP(B61,Mapping!A:B,2,0)</f>
        <v>Leadership</v>
      </c>
      <c r="D61" s="1" t="str">
        <f>VLOOKUP(B61,Mapping!A:C,3,0)</f>
        <v>North</v>
      </c>
      <c r="E61" s="1" t="str">
        <f>VLOOKUP(B61,Mapping!A:D,4,0)</f>
        <v>North</v>
      </c>
      <c r="F61" s="1" t="str">
        <f>VLOOKUP(B61,Mapping!A:E,5,0)</f>
        <v>Anjli</v>
      </c>
      <c r="G61" s="1" t="str">
        <f>VLOOKUP(B61,Mapping!A:F,6,0)</f>
        <v>Parul</v>
      </c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5"/>
    </row>
    <row r="62" spans="1:20" x14ac:dyDescent="0.35">
      <c r="A62" s="1" t="s">
        <v>115</v>
      </c>
      <c r="B62" s="1" t="s">
        <v>81</v>
      </c>
      <c r="C62" s="1" t="str">
        <f>VLOOKUP(B62,Mapping!A:B,2,0)</f>
        <v>Leadership</v>
      </c>
      <c r="D62" s="1" t="str">
        <f>VLOOKUP(B62,Mapping!A:C,3,0)</f>
        <v>North</v>
      </c>
      <c r="E62" s="1" t="str">
        <f>VLOOKUP(B62,Mapping!A:D,4,0)</f>
        <v>North</v>
      </c>
      <c r="F62" s="1" t="str">
        <f>VLOOKUP(B62,Mapping!A:E,5,0)</f>
        <v>Anjli</v>
      </c>
      <c r="G62" s="1" t="str">
        <f>VLOOKUP(B62,Mapping!A:F,6,0)</f>
        <v>Parul</v>
      </c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5"/>
    </row>
    <row r="63" spans="1:20" x14ac:dyDescent="0.35">
      <c r="A63" s="1" t="s">
        <v>115</v>
      </c>
      <c r="B63" s="1" t="s">
        <v>82</v>
      </c>
      <c r="C63" s="1" t="str">
        <f>VLOOKUP(B63,Mapping!A:B,2,0)</f>
        <v>Leadership</v>
      </c>
      <c r="D63" s="1" t="str">
        <f>VLOOKUP(B63,Mapping!A:C,3,0)</f>
        <v>West</v>
      </c>
      <c r="E63" s="1" t="str">
        <f>VLOOKUP(B63,Mapping!A:D,4,0)</f>
        <v>West 1</v>
      </c>
      <c r="F63" s="1" t="str">
        <f>VLOOKUP(B63,Mapping!A:E,5,0)</f>
        <v>Anjli</v>
      </c>
      <c r="G63" s="1" t="str">
        <f>VLOOKUP(B63,Mapping!A:F,6,0)</f>
        <v>Parul</v>
      </c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5"/>
    </row>
    <row r="64" spans="1:20" x14ac:dyDescent="0.35">
      <c r="A64" s="1" t="s">
        <v>115</v>
      </c>
      <c r="B64" s="1" t="s">
        <v>83</v>
      </c>
      <c r="C64" s="1" t="str">
        <f>VLOOKUP(B64,Mapping!A:B,2,0)</f>
        <v>Leadership</v>
      </c>
      <c r="D64" s="1" t="str">
        <f>VLOOKUP(B64,Mapping!A:C,3,0)</f>
        <v>North</v>
      </c>
      <c r="E64" s="1" t="str">
        <f>VLOOKUP(B64,Mapping!A:D,4,0)</f>
        <v>North</v>
      </c>
      <c r="F64" s="1" t="str">
        <f>VLOOKUP(B64,Mapping!A:E,5,0)</f>
        <v>Anjli</v>
      </c>
      <c r="G64" s="1" t="str">
        <f>VLOOKUP(B64,Mapping!A:F,6,0)</f>
        <v>Parul</v>
      </c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5"/>
    </row>
    <row r="65" spans="1:20" x14ac:dyDescent="0.35">
      <c r="A65" s="1" t="s">
        <v>115</v>
      </c>
      <c r="B65" s="1" t="s">
        <v>84</v>
      </c>
      <c r="C65" s="1" t="str">
        <f>VLOOKUP(B65,Mapping!A:B,2,0)</f>
        <v>Lateral</v>
      </c>
      <c r="D65" s="1" t="str">
        <f>VLOOKUP(B65,Mapping!A:C,3,0)</f>
        <v>South</v>
      </c>
      <c r="E65" s="1" t="str">
        <f>VLOOKUP(B65,Mapping!A:D,4,0)</f>
        <v>South 1</v>
      </c>
      <c r="F65" s="1" t="str">
        <f>VLOOKUP(B65,Mapping!A:E,5,0)</f>
        <v>Ashish</v>
      </c>
      <c r="G65" s="1" t="str">
        <f>VLOOKUP(B65,Mapping!A:F,6,0)</f>
        <v>Ashish</v>
      </c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5"/>
    </row>
    <row r="66" spans="1:20" x14ac:dyDescent="0.35">
      <c r="A66" s="1" t="s">
        <v>115</v>
      </c>
      <c r="B66" s="1" t="s">
        <v>86</v>
      </c>
      <c r="C66" s="1" t="str">
        <f>VLOOKUP(B66,Mapping!A:B,2,0)</f>
        <v>Lateral</v>
      </c>
      <c r="D66" s="1" t="str">
        <f>VLOOKUP(B66,Mapping!A:C,3,0)</f>
        <v>New Sales</v>
      </c>
      <c r="E66" s="1" t="str">
        <f>VLOOKUP(B66,Mapping!A:D,4,0)</f>
        <v>New Sales</v>
      </c>
      <c r="F66" s="1" t="str">
        <f>VLOOKUP(B66,Mapping!A:E,5,0)</f>
        <v>Nizar</v>
      </c>
      <c r="G66" s="1" t="str">
        <f>VLOOKUP(B66,Mapping!A:F,6,0)</f>
        <v>Nizar</v>
      </c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5"/>
    </row>
    <row r="67" spans="1:20" x14ac:dyDescent="0.35">
      <c r="A67" s="1" t="s">
        <v>115</v>
      </c>
      <c r="B67" s="1" t="s">
        <v>89</v>
      </c>
      <c r="C67" s="1" t="str">
        <f>VLOOKUP(B67,Mapping!A:B,2,0)</f>
        <v>Lateral</v>
      </c>
      <c r="D67" s="1" t="str">
        <f>VLOOKUP(B67,Mapping!A:C,3,0)</f>
        <v>North</v>
      </c>
      <c r="E67" s="1" t="str">
        <f>VLOOKUP(B67,Mapping!A:D,4,0)</f>
        <v>North</v>
      </c>
      <c r="F67" s="1" t="str">
        <f>VLOOKUP(B67,Mapping!A:E,5,0)</f>
        <v>Anjli</v>
      </c>
      <c r="G67" s="1" t="str">
        <f>VLOOKUP(B67,Mapping!A:F,6,0)</f>
        <v>Archana</v>
      </c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5"/>
    </row>
    <row r="68" spans="1:20" x14ac:dyDescent="0.35">
      <c r="A68" s="1" t="s">
        <v>115</v>
      </c>
      <c r="B68" s="1" t="s">
        <v>91</v>
      </c>
      <c r="C68" s="1" t="str">
        <f>VLOOKUP(B68,Mapping!A:B,2,0)</f>
        <v>Lateral</v>
      </c>
      <c r="D68" s="1" t="str">
        <f>VLOOKUP(B68,Mapping!A:C,3,0)</f>
        <v>North</v>
      </c>
      <c r="E68" s="1" t="str">
        <f>VLOOKUP(B68,Mapping!A:D,4,0)</f>
        <v>North</v>
      </c>
      <c r="F68" s="1" t="str">
        <f>VLOOKUP(B68,Mapping!A:E,5,0)</f>
        <v>Anjli</v>
      </c>
      <c r="G68" s="1" t="str">
        <f>VLOOKUP(B68,Mapping!A:F,6,0)</f>
        <v>Archana</v>
      </c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5"/>
    </row>
    <row r="69" spans="1:20" x14ac:dyDescent="0.35">
      <c r="A69" s="1" t="s">
        <v>115</v>
      </c>
      <c r="B69" s="1" t="s">
        <v>131</v>
      </c>
      <c r="C69" s="1" t="str">
        <f>VLOOKUP(B69,Mapping!A:B,2,0)</f>
        <v>Lateral</v>
      </c>
      <c r="D69" s="1" t="str">
        <f>VLOOKUP(B69,Mapping!A:C,3,0)</f>
        <v>West</v>
      </c>
      <c r="E69" s="1" t="str">
        <f>VLOOKUP(B69,Mapping!A:D,4,0)</f>
        <v>West 1</v>
      </c>
      <c r="F69" s="1" t="str">
        <f>VLOOKUP(B69,Mapping!A:E,5,0)</f>
        <v>Anjli</v>
      </c>
      <c r="G69" s="1" t="str">
        <f>VLOOKUP(B69,Mapping!A:F,6,0)</f>
        <v>Anjli</v>
      </c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5"/>
    </row>
    <row r="70" spans="1:20" x14ac:dyDescent="0.35">
      <c r="A70" s="1" t="s">
        <v>115</v>
      </c>
      <c r="B70" s="1" t="s">
        <v>93</v>
      </c>
      <c r="C70" s="1" t="str">
        <f>VLOOKUP(B70,Mapping!A:B,2,0)</f>
        <v>Lateral</v>
      </c>
      <c r="D70" s="1" t="str">
        <f>VLOOKUP(B70,Mapping!A:C,3,0)</f>
        <v>West</v>
      </c>
      <c r="E70" s="1" t="str">
        <f>VLOOKUP(B70,Mapping!A:D,4,0)</f>
        <v>West 1</v>
      </c>
      <c r="F70" s="1" t="str">
        <f>VLOOKUP(B70,Mapping!A:E,5,0)</f>
        <v>Anjli</v>
      </c>
      <c r="G70" s="1" t="str">
        <f>VLOOKUP(B70,Mapping!A:F,6,0)</f>
        <v>Geetu</v>
      </c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5"/>
    </row>
    <row r="71" spans="1:20" x14ac:dyDescent="0.35">
      <c r="A71" s="1" t="s">
        <v>115</v>
      </c>
      <c r="B71" s="1" t="s">
        <v>94</v>
      </c>
      <c r="C71" s="1" t="str">
        <f>VLOOKUP(B71,Mapping!A:B,2,0)</f>
        <v>Lateral</v>
      </c>
      <c r="D71" s="1" t="str">
        <f>VLOOKUP(B71,Mapping!A:C,3,0)</f>
        <v>West</v>
      </c>
      <c r="E71" s="1" t="str">
        <f>VLOOKUP(B71,Mapping!A:D,4,0)</f>
        <v>West 1</v>
      </c>
      <c r="F71" s="1" t="str">
        <f>VLOOKUP(B71,Mapping!A:E,5,0)</f>
        <v>Anjli</v>
      </c>
      <c r="G71" s="1" t="str">
        <f>VLOOKUP(B71,Mapping!A:F,6,0)</f>
        <v>Archana</v>
      </c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5"/>
    </row>
    <row r="72" spans="1:20" x14ac:dyDescent="0.35">
      <c r="A72" s="1" t="s">
        <v>115</v>
      </c>
      <c r="B72" s="1" t="s">
        <v>95</v>
      </c>
      <c r="C72" s="1" t="str">
        <f>VLOOKUP(B72,Mapping!A:B,2,0)</f>
        <v>Lateral</v>
      </c>
      <c r="D72" s="1" t="str">
        <f>VLOOKUP(B72,Mapping!A:C,3,0)</f>
        <v>South</v>
      </c>
      <c r="E72" s="1" t="str">
        <f>VLOOKUP(B72,Mapping!A:D,4,0)</f>
        <v>South 2</v>
      </c>
      <c r="F72" s="1" t="str">
        <f>VLOOKUP(B72,Mapping!A:E,5,0)</f>
        <v>Sulabh</v>
      </c>
      <c r="G72" s="1" t="str">
        <f>VLOOKUP(B72,Mapping!A:F,6,0)</f>
        <v>Lekhana</v>
      </c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5"/>
    </row>
    <row r="73" spans="1:20" x14ac:dyDescent="0.35">
      <c r="A73" s="1" t="s">
        <v>115</v>
      </c>
      <c r="B73" s="1" t="s">
        <v>97</v>
      </c>
      <c r="C73" s="1" t="str">
        <f>VLOOKUP(B73,Mapping!A:B,2,0)</f>
        <v>Lateral</v>
      </c>
      <c r="D73" s="1" t="str">
        <f>VLOOKUP(B73,Mapping!A:C,3,0)</f>
        <v>South</v>
      </c>
      <c r="E73" s="1" t="str">
        <f>VLOOKUP(B73,Mapping!A:D,4,0)</f>
        <v>South 2</v>
      </c>
      <c r="F73" s="1" t="str">
        <f>VLOOKUP(B73,Mapping!A:E,5,0)</f>
        <v>Sulabh</v>
      </c>
      <c r="G73" s="1" t="str">
        <f>VLOOKUP(B73,Mapping!A:F,6,0)</f>
        <v>Satya</v>
      </c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5"/>
    </row>
    <row r="74" spans="1:20" x14ac:dyDescent="0.35">
      <c r="A74" s="1" t="s">
        <v>115</v>
      </c>
      <c r="B74" s="1" t="s">
        <v>98</v>
      </c>
      <c r="C74" s="1" t="str">
        <f>VLOOKUP(B74,Mapping!A:B,2,0)</f>
        <v>Lateral</v>
      </c>
      <c r="D74" s="1" t="str">
        <f>VLOOKUP(B74,Mapping!A:C,3,0)</f>
        <v>West</v>
      </c>
      <c r="E74" s="1" t="str">
        <f>VLOOKUP(B74,Mapping!A:D,4,0)</f>
        <v>West 1</v>
      </c>
      <c r="F74" s="1" t="str">
        <f>VLOOKUP(B74,Mapping!A:E,5,0)</f>
        <v>Anjli</v>
      </c>
      <c r="G74" s="1" t="str">
        <f>VLOOKUP(B74,Mapping!A:F,6,0)</f>
        <v>Anjli</v>
      </c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5"/>
    </row>
    <row r="75" spans="1:20" x14ac:dyDescent="0.35">
      <c r="A75" s="1" t="s">
        <v>115</v>
      </c>
      <c r="B75" s="1" t="s">
        <v>130</v>
      </c>
      <c r="C75" s="1" t="str">
        <f>VLOOKUP(B75,Mapping!A:B,2,0)</f>
        <v>Lateral</v>
      </c>
      <c r="D75" s="1" t="str">
        <f>VLOOKUP(B75,Mapping!A:C,3,0)</f>
        <v>West</v>
      </c>
      <c r="E75" s="1" t="str">
        <f>VLOOKUP(B75,Mapping!A:D,4,0)</f>
        <v>West 1</v>
      </c>
      <c r="F75" s="1" t="str">
        <f>VLOOKUP(B75,Mapping!A:E,5,0)</f>
        <v>Anjli</v>
      </c>
      <c r="G75" s="1" t="str">
        <f>VLOOKUP(B75,Mapping!A:F,6,0)</f>
        <v>Anjli</v>
      </c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5"/>
    </row>
    <row r="76" spans="1:20" x14ac:dyDescent="0.35">
      <c r="A76" s="1" t="s">
        <v>115</v>
      </c>
      <c r="B76" s="1" t="s">
        <v>100</v>
      </c>
      <c r="C76" s="1" t="str">
        <f>VLOOKUP(B76,Mapping!A:B,2,0)</f>
        <v>Lateral</v>
      </c>
      <c r="D76" s="1" t="str">
        <f>VLOOKUP(B76,Mapping!A:C,3,0)</f>
        <v>West</v>
      </c>
      <c r="E76" s="1" t="str">
        <f>VLOOKUP(B76,Mapping!A:D,4,0)</f>
        <v>West 1</v>
      </c>
      <c r="F76" s="1" t="str">
        <f>VLOOKUP(B76,Mapping!A:E,5,0)</f>
        <v>Anjli</v>
      </c>
      <c r="G76" s="1" t="str">
        <f>VLOOKUP(B76,Mapping!A:F,6,0)</f>
        <v>Anjli</v>
      </c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5"/>
    </row>
    <row r="77" spans="1:20" x14ac:dyDescent="0.35">
      <c r="A77" s="1" t="s">
        <v>115</v>
      </c>
      <c r="B77" s="1" t="s">
        <v>118</v>
      </c>
      <c r="C77" s="1" t="s">
        <v>127</v>
      </c>
      <c r="D77" s="1" t="s">
        <v>127</v>
      </c>
      <c r="E77" s="1" t="s">
        <v>127</v>
      </c>
      <c r="F77" s="1" t="s">
        <v>129</v>
      </c>
      <c r="G77" s="1" t="s">
        <v>128</v>
      </c>
      <c r="H77" s="27"/>
      <c r="I77" s="1"/>
      <c r="J77" s="1"/>
      <c r="K77" s="1"/>
      <c r="L77" s="1"/>
      <c r="M77" s="1"/>
      <c r="N77" s="1"/>
      <c r="O77" s="1"/>
      <c r="P77" s="1"/>
      <c r="Q77" s="27"/>
      <c r="R77" s="27"/>
      <c r="S77" s="27"/>
    </row>
    <row r="78" spans="1:20" x14ac:dyDescent="0.35">
      <c r="A78" s="1" t="s">
        <v>115</v>
      </c>
      <c r="B78" s="1" t="s">
        <v>119</v>
      </c>
      <c r="C78" s="1" t="s">
        <v>127</v>
      </c>
      <c r="D78" s="1" t="s">
        <v>127</v>
      </c>
      <c r="E78" s="1" t="s">
        <v>127</v>
      </c>
      <c r="F78" s="1" t="s">
        <v>129</v>
      </c>
      <c r="G78" s="1" t="s">
        <v>128</v>
      </c>
      <c r="H78" s="1"/>
      <c r="I78" s="1"/>
      <c r="J78" s="1"/>
      <c r="K78" s="1"/>
      <c r="L78" s="1"/>
      <c r="M78" s="1"/>
      <c r="N78" s="1"/>
      <c r="O78" s="1"/>
      <c r="P78" s="1"/>
      <c r="Q78" s="27"/>
      <c r="R78" s="27"/>
      <c r="S78" s="27"/>
    </row>
    <row r="79" spans="1:20" x14ac:dyDescent="0.35">
      <c r="A79" s="1" t="s">
        <v>115</v>
      </c>
      <c r="B79" s="1" t="s">
        <v>120</v>
      </c>
      <c r="C79" s="1" t="s">
        <v>127</v>
      </c>
      <c r="D79" s="1" t="s">
        <v>127</v>
      </c>
      <c r="E79" s="1" t="s">
        <v>127</v>
      </c>
      <c r="F79" s="1" t="s">
        <v>129</v>
      </c>
      <c r="G79" s="1" t="s">
        <v>128</v>
      </c>
      <c r="H79" s="1"/>
      <c r="I79" s="1"/>
      <c r="J79" s="1"/>
      <c r="K79" s="1"/>
      <c r="L79" s="1"/>
      <c r="M79" s="1"/>
      <c r="N79" s="1"/>
      <c r="O79" s="1"/>
      <c r="P79" s="1"/>
      <c r="Q79" s="27"/>
      <c r="R79" s="27"/>
      <c r="S79" s="27"/>
    </row>
    <row r="80" spans="1:20" x14ac:dyDescent="0.35">
      <c r="A80" s="1" t="s">
        <v>115</v>
      </c>
      <c r="B80" s="1" t="s">
        <v>121</v>
      </c>
      <c r="C80" s="1" t="s">
        <v>127</v>
      </c>
      <c r="D80" s="1" t="s">
        <v>127</v>
      </c>
      <c r="E80" s="1" t="s">
        <v>127</v>
      </c>
      <c r="F80" s="1" t="s">
        <v>129</v>
      </c>
      <c r="G80" s="1" t="s">
        <v>128</v>
      </c>
      <c r="H80" s="1"/>
      <c r="I80" s="1"/>
      <c r="J80" s="1"/>
      <c r="K80" s="1"/>
      <c r="L80" s="1"/>
      <c r="M80" s="1"/>
      <c r="N80" s="1"/>
      <c r="O80" s="1"/>
      <c r="P80" s="1"/>
      <c r="Q80" s="27"/>
      <c r="R80" s="27"/>
      <c r="S80" s="27"/>
    </row>
    <row r="81" spans="1:19" x14ac:dyDescent="0.35">
      <c r="A81" s="1" t="s">
        <v>115</v>
      </c>
      <c r="B81" s="1" t="s">
        <v>122</v>
      </c>
      <c r="C81" s="1" t="s">
        <v>127</v>
      </c>
      <c r="D81" s="1" t="s">
        <v>127</v>
      </c>
      <c r="E81" s="1" t="s">
        <v>127</v>
      </c>
      <c r="F81" s="1" t="s">
        <v>129</v>
      </c>
      <c r="G81" s="1" t="s">
        <v>128</v>
      </c>
      <c r="H81" s="1"/>
      <c r="I81" s="1"/>
      <c r="J81" s="1"/>
      <c r="K81" s="1"/>
      <c r="L81" s="1"/>
      <c r="M81" s="1"/>
      <c r="N81" s="1"/>
      <c r="O81" s="1"/>
      <c r="P81" s="1"/>
      <c r="Q81" s="27"/>
      <c r="R81" s="27"/>
      <c r="S81" s="27"/>
    </row>
    <row r="82" spans="1:19" x14ac:dyDescent="0.35">
      <c r="A82" s="1" t="s">
        <v>115</v>
      </c>
      <c r="B82" s="1" t="s">
        <v>123</v>
      </c>
      <c r="C82" s="1" t="s">
        <v>127</v>
      </c>
      <c r="D82" s="1" t="s">
        <v>127</v>
      </c>
      <c r="E82" s="1" t="s">
        <v>127</v>
      </c>
      <c r="F82" s="1" t="s">
        <v>129</v>
      </c>
      <c r="G82" s="1" t="s">
        <v>128</v>
      </c>
      <c r="H82" s="1"/>
      <c r="I82" s="1"/>
      <c r="J82" s="1"/>
      <c r="K82" s="1"/>
      <c r="L82" s="1"/>
      <c r="M82" s="1"/>
      <c r="N82" s="1"/>
      <c r="O82" s="1"/>
      <c r="P82" s="1"/>
      <c r="Q82" s="27"/>
      <c r="R82" s="27"/>
      <c r="S82" s="27"/>
    </row>
    <row r="83" spans="1:19" x14ac:dyDescent="0.35">
      <c r="A83" s="1" t="s">
        <v>115</v>
      </c>
      <c r="B83" s="1" t="s">
        <v>124</v>
      </c>
      <c r="C83" s="1" t="s">
        <v>127</v>
      </c>
      <c r="D83" s="1" t="s">
        <v>127</v>
      </c>
      <c r="E83" s="1" t="s">
        <v>127</v>
      </c>
      <c r="F83" s="1" t="s">
        <v>129</v>
      </c>
      <c r="G83" s="1" t="s">
        <v>128</v>
      </c>
      <c r="H83" s="1"/>
      <c r="I83" s="1"/>
      <c r="J83" s="1"/>
      <c r="K83" s="1"/>
      <c r="L83" s="1"/>
      <c r="M83" s="1"/>
      <c r="N83" s="1"/>
      <c r="O83" s="1"/>
      <c r="P83" s="1"/>
      <c r="Q83" s="27"/>
      <c r="R83" s="27"/>
      <c r="S83" s="27"/>
    </row>
    <row r="84" spans="1:19" x14ac:dyDescent="0.35">
      <c r="A84" s="1" t="s">
        <v>115</v>
      </c>
      <c r="B84" s="1" t="s">
        <v>125</v>
      </c>
      <c r="C84" s="1" t="s">
        <v>127</v>
      </c>
      <c r="D84" s="1" t="s">
        <v>127</v>
      </c>
      <c r="E84" s="1" t="s">
        <v>127</v>
      </c>
      <c r="F84" s="1" t="s">
        <v>129</v>
      </c>
      <c r="G84" s="1" t="s">
        <v>128</v>
      </c>
      <c r="H84" s="1"/>
      <c r="I84" s="1"/>
      <c r="J84" s="1"/>
      <c r="K84" s="1"/>
      <c r="L84" s="1"/>
      <c r="M84" s="1"/>
      <c r="N84" s="1"/>
      <c r="O84" s="1"/>
      <c r="P84" s="1"/>
      <c r="Q84" s="27"/>
      <c r="R84" s="27"/>
      <c r="S84" s="27"/>
    </row>
    <row r="85" spans="1:19" x14ac:dyDescent="0.35">
      <c r="A85" s="1" t="s">
        <v>115</v>
      </c>
      <c r="B85" s="1" t="s">
        <v>126</v>
      </c>
      <c r="C85" s="1" t="s">
        <v>127</v>
      </c>
      <c r="D85" s="1" t="s">
        <v>127</v>
      </c>
      <c r="E85" s="1" t="s">
        <v>127</v>
      </c>
      <c r="F85" s="1" t="s">
        <v>129</v>
      </c>
      <c r="G85" s="1" t="s">
        <v>128</v>
      </c>
      <c r="H85" s="1"/>
      <c r="I85" s="1"/>
      <c r="J85" s="1"/>
      <c r="K85" s="1"/>
      <c r="L85" s="1"/>
      <c r="M85" s="1"/>
      <c r="N85" s="1"/>
      <c r="O85" s="1"/>
      <c r="P85" s="1"/>
      <c r="Q85" s="27"/>
      <c r="R85" s="27"/>
      <c r="S85" s="27"/>
    </row>
  </sheetData>
  <conditionalFormatting sqref="A1:B1 I1:S1 E1:G1">
    <cfRule type="duplicateValues" dxfId="35" priority="1"/>
  </conditionalFormatting>
  <conditionalFormatting sqref="B51:B73 B2:B41">
    <cfRule type="duplicateValues" dxfId="34" priority="5"/>
  </conditionalFormatting>
  <conditionalFormatting sqref="B74:B76 B42:B50">
    <cfRule type="duplicateValues" dxfId="33" priority="6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3D08E-B490-4A62-8661-439BE34D395E}">
  <sheetPr codeName="Sheet14">
    <tabColor rgb="FF92D050"/>
  </sheetPr>
  <dimension ref="A1:T76"/>
  <sheetViews>
    <sheetView topLeftCell="C1" workbookViewId="0">
      <selection activeCell="H2" sqref="H2:S76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2.1796875" bestFit="1" customWidth="1"/>
    <col min="7" max="7" width="13.1796875" bestFit="1" customWidth="1"/>
    <col min="8" max="8" width="6.81640625" bestFit="1" customWidth="1"/>
    <col min="9" max="9" width="7.453125" bestFit="1" customWidth="1"/>
    <col min="10" max="10" width="6.7265625" bestFit="1" customWidth="1"/>
    <col min="11" max="11" width="6.1796875" bestFit="1" customWidth="1"/>
    <col min="12" max="12" width="7.1796875" bestFit="1" customWidth="1"/>
    <col min="13" max="13" width="7" bestFit="1" customWidth="1"/>
    <col min="14" max="14" width="6.7265625" bestFit="1" customWidth="1"/>
    <col min="15" max="15" width="7.26953125" bestFit="1" customWidth="1"/>
    <col min="16" max="16" width="7" bestFit="1" customWidth="1"/>
    <col min="17" max="17" width="6.54296875" bestFit="1" customWidth="1"/>
    <col min="18" max="18" width="7" bestFit="1" customWidth="1"/>
    <col min="19" max="19" width="7.1796875" bestFit="1" customWidth="1"/>
  </cols>
  <sheetData>
    <row r="1" spans="1:20" x14ac:dyDescent="0.35">
      <c r="A1" s="13" t="str">
        <f>Revenue_Budget!A2</f>
        <v>FY</v>
      </c>
      <c r="B1" s="13" t="str">
        <f>Revenue_Budget!B2</f>
        <v>Project</v>
      </c>
      <c r="C1" s="13" t="str">
        <f>Revenue_Budget!C2</f>
        <v>Vertical</v>
      </c>
      <c r="D1" s="13" t="str">
        <f>Revenue_Budget!D2</f>
        <v>Region</v>
      </c>
      <c r="E1" s="13" t="str">
        <f>Revenue_Budget!E2</f>
        <v>Sub Region</v>
      </c>
      <c r="F1" s="13" t="str">
        <f>Revenue_Budget!F2</f>
        <v>Region Head</v>
      </c>
      <c r="G1" s="13" t="str">
        <f>Revenue_Budget!G2</f>
        <v>Practice Head</v>
      </c>
      <c r="H1" s="14">
        <f>Revenue_Budget!H2</f>
        <v>46113</v>
      </c>
      <c r="I1" s="14">
        <f>Revenue_Budget!I2</f>
        <v>46143</v>
      </c>
      <c r="J1" s="14">
        <f>Revenue_Budget!J2</f>
        <v>46174</v>
      </c>
      <c r="K1" s="14">
        <f>Revenue_Budget!K2</f>
        <v>46204</v>
      </c>
      <c r="L1" s="14">
        <f>Revenue_Budget!L2</f>
        <v>46235</v>
      </c>
      <c r="M1" s="14">
        <f>Revenue_Budget!M2</f>
        <v>46266</v>
      </c>
      <c r="N1" s="14">
        <f>Revenue_Budget!N2</f>
        <v>46296</v>
      </c>
      <c r="O1" s="14">
        <f>Revenue_Budget!O2</f>
        <v>46327</v>
      </c>
      <c r="P1" s="14">
        <f>Revenue_Budget!P2</f>
        <v>46357</v>
      </c>
      <c r="Q1" s="14">
        <f>Revenue_Budget!Q2</f>
        <v>46388</v>
      </c>
      <c r="R1" s="14">
        <f>Revenue_Budget!R2</f>
        <v>46419</v>
      </c>
      <c r="S1" s="14">
        <f>Revenue_Budget!S2</f>
        <v>46447</v>
      </c>
    </row>
    <row r="2" spans="1:20" x14ac:dyDescent="0.35">
      <c r="A2" s="16" t="s">
        <v>115</v>
      </c>
      <c r="B2" s="15" t="s">
        <v>2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9"/>
      <c r="I2" s="19"/>
      <c r="J2" s="19"/>
      <c r="K2" s="19"/>
      <c r="L2" s="19"/>
      <c r="M2" s="19"/>
      <c r="N2" s="19"/>
      <c r="O2" s="19"/>
      <c r="P2" s="19"/>
      <c r="Q2" s="17"/>
      <c r="R2" s="17"/>
      <c r="S2" s="17"/>
      <c r="T2" s="4"/>
    </row>
    <row r="3" spans="1:20" x14ac:dyDescent="0.35">
      <c r="A3" s="16" t="s">
        <v>115</v>
      </c>
      <c r="B3" s="15" t="s">
        <v>4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9"/>
      <c r="I3" s="19"/>
      <c r="J3" s="19"/>
      <c r="K3" s="19"/>
      <c r="L3" s="19"/>
      <c r="M3" s="19"/>
      <c r="N3" s="19"/>
      <c r="O3" s="19"/>
      <c r="P3" s="19"/>
      <c r="Q3" s="17"/>
      <c r="R3" s="17"/>
      <c r="S3" s="17"/>
      <c r="T3" s="4"/>
    </row>
    <row r="4" spans="1:20" x14ac:dyDescent="0.35">
      <c r="A4" s="16" t="s">
        <v>115</v>
      </c>
      <c r="B4" s="15" t="s">
        <v>8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9"/>
      <c r="I4" s="19"/>
      <c r="J4" s="19"/>
      <c r="K4" s="19"/>
      <c r="L4" s="19"/>
      <c r="M4" s="19"/>
      <c r="N4" s="19"/>
      <c r="O4" s="19"/>
      <c r="P4" s="19"/>
      <c r="Q4" s="17"/>
      <c r="R4" s="17"/>
      <c r="S4" s="17"/>
      <c r="T4" s="4"/>
    </row>
    <row r="5" spans="1:20" x14ac:dyDescent="0.35">
      <c r="A5" s="16" t="s">
        <v>115</v>
      </c>
      <c r="B5" s="15" t="s">
        <v>10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9"/>
      <c r="I5" s="19"/>
      <c r="J5" s="19"/>
      <c r="K5" s="19"/>
      <c r="L5" s="19"/>
      <c r="M5" s="19"/>
      <c r="N5" s="19"/>
      <c r="O5" s="19"/>
      <c r="P5" s="19"/>
      <c r="Q5" s="17"/>
      <c r="R5" s="17"/>
      <c r="S5" s="17"/>
      <c r="T5" s="4"/>
    </row>
    <row r="6" spans="1:20" x14ac:dyDescent="0.35">
      <c r="A6" s="16" t="s">
        <v>115</v>
      </c>
      <c r="B6" s="15" t="s">
        <v>12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9"/>
      <c r="I6" s="19"/>
      <c r="J6" s="19"/>
      <c r="K6" s="19"/>
      <c r="L6" s="19"/>
      <c r="M6" s="19"/>
      <c r="N6" s="19"/>
      <c r="O6" s="19"/>
      <c r="P6" s="19"/>
      <c r="Q6" s="17"/>
      <c r="R6" s="17"/>
      <c r="S6" s="17"/>
      <c r="T6" s="4"/>
    </row>
    <row r="7" spans="1:20" x14ac:dyDescent="0.35">
      <c r="A7" s="16" t="s">
        <v>115</v>
      </c>
      <c r="B7" s="15" t="s">
        <v>16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9"/>
      <c r="I7" s="19"/>
      <c r="J7" s="19"/>
      <c r="K7" s="19"/>
      <c r="L7" s="19"/>
      <c r="M7" s="19"/>
      <c r="N7" s="19"/>
      <c r="O7" s="19"/>
      <c r="P7" s="19"/>
      <c r="Q7" s="17"/>
      <c r="R7" s="17"/>
      <c r="S7" s="17"/>
      <c r="T7" s="4"/>
    </row>
    <row r="8" spans="1:20" x14ac:dyDescent="0.35">
      <c r="A8" s="16" t="s">
        <v>115</v>
      </c>
      <c r="B8" s="15" t="s">
        <v>17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9"/>
      <c r="I8" s="19"/>
      <c r="J8" s="19"/>
      <c r="K8" s="19"/>
      <c r="L8" s="19"/>
      <c r="M8" s="19"/>
      <c r="N8" s="19"/>
      <c r="O8" s="19"/>
      <c r="P8" s="19"/>
      <c r="Q8" s="17"/>
      <c r="R8" s="17"/>
      <c r="S8" s="17"/>
      <c r="T8" s="4"/>
    </row>
    <row r="9" spans="1:20" x14ac:dyDescent="0.35">
      <c r="A9" s="16" t="s">
        <v>115</v>
      </c>
      <c r="B9" s="15" t="s">
        <v>18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9"/>
      <c r="I9" s="19"/>
      <c r="J9" s="19"/>
      <c r="K9" s="19"/>
      <c r="L9" s="19"/>
      <c r="M9" s="19"/>
      <c r="N9" s="19"/>
      <c r="O9" s="19"/>
      <c r="P9" s="19"/>
      <c r="Q9" s="17"/>
      <c r="R9" s="17"/>
      <c r="S9" s="17"/>
      <c r="T9" s="4"/>
    </row>
    <row r="10" spans="1:20" x14ac:dyDescent="0.35">
      <c r="A10" s="16" t="s">
        <v>115</v>
      </c>
      <c r="B10" s="15" t="s">
        <v>20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9"/>
      <c r="I10" s="19"/>
      <c r="J10" s="19"/>
      <c r="K10" s="19"/>
      <c r="L10" s="19"/>
      <c r="M10" s="19"/>
      <c r="N10" s="19"/>
      <c r="O10" s="19"/>
      <c r="P10" s="19"/>
      <c r="Q10" s="17"/>
      <c r="R10" s="17"/>
      <c r="S10" s="17"/>
      <c r="T10" s="4"/>
    </row>
    <row r="11" spans="1:20" x14ac:dyDescent="0.35">
      <c r="A11" s="16" t="s">
        <v>115</v>
      </c>
      <c r="B11" s="15" t="s">
        <v>21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9"/>
      <c r="I11" s="19"/>
      <c r="J11" s="19"/>
      <c r="K11" s="19"/>
      <c r="L11" s="19"/>
      <c r="M11" s="19"/>
      <c r="N11" s="19"/>
      <c r="O11" s="19"/>
      <c r="P11" s="19"/>
      <c r="Q11" s="17"/>
      <c r="R11" s="17"/>
      <c r="S11" s="17"/>
      <c r="T11" s="4"/>
    </row>
    <row r="12" spans="1:20" x14ac:dyDescent="0.35">
      <c r="A12" s="16" t="s">
        <v>115</v>
      </c>
      <c r="B12" s="15" t="s">
        <v>23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9"/>
      <c r="I12" s="19"/>
      <c r="J12" s="19"/>
      <c r="K12" s="19"/>
      <c r="L12" s="19"/>
      <c r="M12" s="19"/>
      <c r="N12" s="19"/>
      <c r="O12" s="19"/>
      <c r="P12" s="19"/>
      <c r="Q12" s="17"/>
      <c r="R12" s="17"/>
      <c r="S12" s="17"/>
      <c r="T12" s="4"/>
    </row>
    <row r="13" spans="1:20" x14ac:dyDescent="0.35">
      <c r="A13" s="16" t="s">
        <v>115</v>
      </c>
      <c r="B13" s="15" t="s">
        <v>25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9"/>
      <c r="I13" s="19"/>
      <c r="J13" s="19"/>
      <c r="K13" s="19"/>
      <c r="L13" s="19"/>
      <c r="M13" s="19"/>
      <c r="N13" s="19"/>
      <c r="O13" s="19"/>
      <c r="P13" s="19"/>
      <c r="Q13" s="17"/>
      <c r="R13" s="17"/>
      <c r="S13" s="17"/>
      <c r="T13" s="4"/>
    </row>
    <row r="14" spans="1:20" x14ac:dyDescent="0.35">
      <c r="A14" s="16" t="s">
        <v>115</v>
      </c>
      <c r="B14" s="15" t="s">
        <v>26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9"/>
      <c r="I14" s="19"/>
      <c r="J14" s="19"/>
      <c r="K14" s="19"/>
      <c r="L14" s="19"/>
      <c r="M14" s="19"/>
      <c r="N14" s="19"/>
      <c r="O14" s="19"/>
      <c r="P14" s="19"/>
      <c r="Q14" s="17"/>
      <c r="R14" s="17"/>
      <c r="S14" s="17"/>
      <c r="T14" s="4"/>
    </row>
    <row r="15" spans="1:20" x14ac:dyDescent="0.35">
      <c r="A15" s="16" t="s">
        <v>115</v>
      </c>
      <c r="B15" s="15" t="s">
        <v>28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9"/>
      <c r="I15" s="19"/>
      <c r="J15" s="19"/>
      <c r="K15" s="19"/>
      <c r="L15" s="19"/>
      <c r="M15" s="19"/>
      <c r="N15" s="19"/>
      <c r="O15" s="19"/>
      <c r="P15" s="19"/>
      <c r="Q15" s="17"/>
      <c r="R15" s="17"/>
      <c r="S15" s="17"/>
      <c r="T15" s="4"/>
    </row>
    <row r="16" spans="1:20" x14ac:dyDescent="0.35">
      <c r="A16" s="16" t="s">
        <v>115</v>
      </c>
      <c r="B16" s="15" t="s">
        <v>29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9"/>
      <c r="I16" s="19"/>
      <c r="J16" s="19"/>
      <c r="K16" s="19"/>
      <c r="L16" s="19"/>
      <c r="M16" s="19"/>
      <c r="N16" s="19"/>
      <c r="O16" s="19"/>
      <c r="P16" s="19"/>
      <c r="Q16" s="17"/>
      <c r="R16" s="17"/>
      <c r="S16" s="17"/>
      <c r="T16" s="4"/>
    </row>
    <row r="17" spans="1:20" x14ac:dyDescent="0.35">
      <c r="A17" s="16" t="s">
        <v>115</v>
      </c>
      <c r="B17" s="15" t="s">
        <v>30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9"/>
      <c r="I17" s="19"/>
      <c r="J17" s="19"/>
      <c r="K17" s="19"/>
      <c r="L17" s="19"/>
      <c r="M17" s="19"/>
      <c r="N17" s="19"/>
      <c r="O17" s="19"/>
      <c r="P17" s="19"/>
      <c r="Q17" s="17"/>
      <c r="R17" s="17"/>
      <c r="S17" s="17"/>
      <c r="T17" s="4"/>
    </row>
    <row r="18" spans="1:20" x14ac:dyDescent="0.35">
      <c r="A18" s="16" t="s">
        <v>115</v>
      </c>
      <c r="B18" s="15" t="s">
        <v>32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9"/>
      <c r="I18" s="19"/>
      <c r="J18" s="19"/>
      <c r="K18" s="19"/>
      <c r="L18" s="19"/>
      <c r="M18" s="19"/>
      <c r="N18" s="19"/>
      <c r="O18" s="19"/>
      <c r="P18" s="19"/>
      <c r="Q18" s="17"/>
      <c r="R18" s="17"/>
      <c r="S18" s="17"/>
      <c r="T18" s="4"/>
    </row>
    <row r="19" spans="1:20" x14ac:dyDescent="0.35">
      <c r="A19" s="16" t="s">
        <v>115</v>
      </c>
      <c r="B19" s="15" t="s">
        <v>33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9"/>
      <c r="I19" s="19"/>
      <c r="J19" s="19"/>
      <c r="K19" s="19"/>
      <c r="L19" s="19"/>
      <c r="M19" s="19"/>
      <c r="N19" s="19"/>
      <c r="O19" s="19"/>
      <c r="P19" s="19"/>
      <c r="Q19" s="17"/>
      <c r="R19" s="17"/>
      <c r="S19" s="17"/>
      <c r="T19" s="4"/>
    </row>
    <row r="20" spans="1:20" x14ac:dyDescent="0.35">
      <c r="A20" s="16" t="s">
        <v>115</v>
      </c>
      <c r="B20" s="15" t="s">
        <v>34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9"/>
      <c r="I20" s="19"/>
      <c r="J20" s="19"/>
      <c r="K20" s="19"/>
      <c r="L20" s="19"/>
      <c r="M20" s="19"/>
      <c r="N20" s="19"/>
      <c r="O20" s="19"/>
      <c r="P20" s="19"/>
      <c r="Q20" s="17"/>
      <c r="R20" s="17"/>
      <c r="S20" s="17"/>
      <c r="T20" s="4"/>
    </row>
    <row r="21" spans="1:20" x14ac:dyDescent="0.35">
      <c r="A21" s="16" t="s">
        <v>115</v>
      </c>
      <c r="B21" s="15" t="s">
        <v>35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9"/>
      <c r="I21" s="19"/>
      <c r="J21" s="19"/>
      <c r="K21" s="19"/>
      <c r="L21" s="19"/>
      <c r="M21" s="19"/>
      <c r="N21" s="19"/>
      <c r="O21" s="19"/>
      <c r="P21" s="19"/>
      <c r="Q21" s="17"/>
      <c r="R21" s="17"/>
      <c r="S21" s="17"/>
      <c r="T21" s="4"/>
    </row>
    <row r="22" spans="1:20" x14ac:dyDescent="0.35">
      <c r="A22" s="16" t="s">
        <v>115</v>
      </c>
      <c r="B22" s="15" t="s">
        <v>37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9"/>
      <c r="I22" s="19"/>
      <c r="J22" s="19"/>
      <c r="K22" s="19"/>
      <c r="L22" s="19"/>
      <c r="M22" s="19"/>
      <c r="N22" s="19"/>
      <c r="O22" s="19"/>
      <c r="P22" s="19"/>
      <c r="Q22" s="17"/>
      <c r="R22" s="17"/>
      <c r="S22" s="17"/>
      <c r="T22" s="4"/>
    </row>
    <row r="23" spans="1:20" x14ac:dyDescent="0.35">
      <c r="A23" s="16" t="s">
        <v>115</v>
      </c>
      <c r="B23" s="15" t="s">
        <v>38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9"/>
      <c r="I23" s="19"/>
      <c r="J23" s="19"/>
      <c r="K23" s="19"/>
      <c r="L23" s="19"/>
      <c r="M23" s="19"/>
      <c r="N23" s="19"/>
      <c r="O23" s="19"/>
      <c r="P23" s="19"/>
      <c r="Q23" s="17"/>
      <c r="R23" s="17"/>
      <c r="S23" s="17"/>
      <c r="T23" s="4"/>
    </row>
    <row r="24" spans="1:20" x14ac:dyDescent="0.35">
      <c r="A24" s="16" t="s">
        <v>115</v>
      </c>
      <c r="B24" s="15" t="s">
        <v>39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9"/>
      <c r="I24" s="19"/>
      <c r="J24" s="19"/>
      <c r="K24" s="19"/>
      <c r="L24" s="19"/>
      <c r="M24" s="19"/>
      <c r="N24" s="19"/>
      <c r="O24" s="19"/>
      <c r="P24" s="19"/>
      <c r="Q24" s="17"/>
      <c r="R24" s="17"/>
      <c r="S24" s="17"/>
      <c r="T24" s="4"/>
    </row>
    <row r="25" spans="1:20" x14ac:dyDescent="0.35">
      <c r="A25" s="16" t="s">
        <v>115</v>
      </c>
      <c r="B25" s="15" t="s">
        <v>40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9"/>
      <c r="I25" s="19"/>
      <c r="J25" s="19"/>
      <c r="K25" s="19"/>
      <c r="L25" s="19"/>
      <c r="M25" s="19"/>
      <c r="N25" s="19"/>
      <c r="O25" s="19"/>
      <c r="P25" s="19"/>
      <c r="Q25" s="17"/>
      <c r="R25" s="17"/>
      <c r="S25" s="17"/>
      <c r="T25" s="4"/>
    </row>
    <row r="26" spans="1:20" x14ac:dyDescent="0.35">
      <c r="A26" s="16" t="s">
        <v>115</v>
      </c>
      <c r="B26" s="15" t="s">
        <v>41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9"/>
      <c r="I26" s="19"/>
      <c r="J26" s="19"/>
      <c r="K26" s="19"/>
      <c r="L26" s="19"/>
      <c r="M26" s="19"/>
      <c r="N26" s="19"/>
      <c r="O26" s="19"/>
      <c r="P26" s="19"/>
      <c r="Q26" s="17"/>
      <c r="R26" s="17"/>
      <c r="S26" s="17"/>
      <c r="T26" s="4"/>
    </row>
    <row r="27" spans="1:20" x14ac:dyDescent="0.35">
      <c r="A27" s="16" t="s">
        <v>115</v>
      </c>
      <c r="B27" s="15" t="s">
        <v>42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9"/>
      <c r="I27" s="19"/>
      <c r="J27" s="19"/>
      <c r="K27" s="19"/>
      <c r="L27" s="19"/>
      <c r="M27" s="19"/>
      <c r="N27" s="19"/>
      <c r="O27" s="19"/>
      <c r="P27" s="19"/>
      <c r="Q27" s="17"/>
      <c r="R27" s="17"/>
      <c r="S27" s="17"/>
      <c r="T27" s="4"/>
    </row>
    <row r="28" spans="1:20" x14ac:dyDescent="0.35">
      <c r="A28" s="16" t="s">
        <v>115</v>
      </c>
      <c r="B28" s="15" t="s">
        <v>43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9"/>
      <c r="I28" s="19"/>
      <c r="J28" s="19"/>
      <c r="K28" s="19"/>
      <c r="L28" s="19"/>
      <c r="M28" s="19"/>
      <c r="N28" s="19"/>
      <c r="O28" s="19"/>
      <c r="P28" s="19"/>
      <c r="Q28" s="17"/>
      <c r="R28" s="17"/>
      <c r="S28" s="17"/>
      <c r="T28" s="4"/>
    </row>
    <row r="29" spans="1:20" x14ac:dyDescent="0.35">
      <c r="A29" s="16" t="s">
        <v>115</v>
      </c>
      <c r="B29" s="15" t="s">
        <v>44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9"/>
      <c r="I29" s="19"/>
      <c r="J29" s="19"/>
      <c r="K29" s="19"/>
      <c r="L29" s="19"/>
      <c r="M29" s="19"/>
      <c r="N29" s="19"/>
      <c r="O29" s="19"/>
      <c r="P29" s="19"/>
      <c r="Q29" s="17"/>
      <c r="R29" s="17"/>
      <c r="S29" s="17"/>
      <c r="T29" s="4"/>
    </row>
    <row r="30" spans="1:20" x14ac:dyDescent="0.35">
      <c r="A30" s="16" t="s">
        <v>115</v>
      </c>
      <c r="B30" s="15" t="s">
        <v>45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9"/>
      <c r="I30" s="19"/>
      <c r="J30" s="19"/>
      <c r="K30" s="19"/>
      <c r="L30" s="19"/>
      <c r="M30" s="19"/>
      <c r="N30" s="19"/>
      <c r="O30" s="19"/>
      <c r="P30" s="19"/>
      <c r="Q30" s="17"/>
      <c r="R30" s="17"/>
      <c r="S30" s="17"/>
      <c r="T30" s="4"/>
    </row>
    <row r="31" spans="1:20" x14ac:dyDescent="0.35">
      <c r="A31" s="16" t="s">
        <v>115</v>
      </c>
      <c r="B31" s="15" t="s">
        <v>46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9"/>
      <c r="I31" s="19"/>
      <c r="J31" s="19"/>
      <c r="K31" s="19"/>
      <c r="L31" s="19"/>
      <c r="M31" s="19"/>
      <c r="N31" s="19"/>
      <c r="O31" s="19"/>
      <c r="P31" s="19"/>
      <c r="Q31" s="17"/>
      <c r="R31" s="17"/>
      <c r="S31" s="17"/>
      <c r="T31" s="4"/>
    </row>
    <row r="32" spans="1:20" x14ac:dyDescent="0.35">
      <c r="A32" s="16" t="s">
        <v>115</v>
      </c>
      <c r="B32" s="15" t="s">
        <v>47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9"/>
      <c r="I32" s="19"/>
      <c r="J32" s="19"/>
      <c r="K32" s="19"/>
      <c r="L32" s="19"/>
      <c r="M32" s="19"/>
      <c r="N32" s="19"/>
      <c r="O32" s="19"/>
      <c r="P32" s="19"/>
      <c r="Q32" s="17"/>
      <c r="R32" s="17"/>
      <c r="S32" s="17"/>
      <c r="T32" s="4"/>
    </row>
    <row r="33" spans="1:20" x14ac:dyDescent="0.35">
      <c r="A33" s="16" t="s">
        <v>115</v>
      </c>
      <c r="B33" s="15" t="s">
        <v>48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9"/>
      <c r="I33" s="19"/>
      <c r="J33" s="19"/>
      <c r="K33" s="19"/>
      <c r="L33" s="19"/>
      <c r="M33" s="19"/>
      <c r="N33" s="19"/>
      <c r="O33" s="19"/>
      <c r="P33" s="19"/>
      <c r="Q33" s="17"/>
      <c r="R33" s="17"/>
      <c r="S33" s="17"/>
      <c r="T33" s="4"/>
    </row>
    <row r="34" spans="1:20" x14ac:dyDescent="0.35">
      <c r="A34" s="16" t="s">
        <v>115</v>
      </c>
      <c r="B34" s="15" t="s">
        <v>49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9"/>
      <c r="I34" s="19"/>
      <c r="J34" s="19"/>
      <c r="K34" s="19"/>
      <c r="L34" s="19"/>
      <c r="M34" s="19"/>
      <c r="N34" s="19"/>
      <c r="O34" s="19"/>
      <c r="P34" s="19"/>
      <c r="Q34" s="17"/>
      <c r="R34" s="17"/>
      <c r="S34" s="17"/>
      <c r="T34" s="4"/>
    </row>
    <row r="35" spans="1:20" x14ac:dyDescent="0.35">
      <c r="A35" s="16" t="s">
        <v>115</v>
      </c>
      <c r="B35" s="15" t="s">
        <v>50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9"/>
      <c r="I35" s="19"/>
      <c r="J35" s="19"/>
      <c r="K35" s="19"/>
      <c r="L35" s="19"/>
      <c r="M35" s="19"/>
      <c r="N35" s="19"/>
      <c r="O35" s="19"/>
      <c r="P35" s="19"/>
      <c r="Q35" s="17"/>
      <c r="R35" s="17"/>
      <c r="S35" s="17"/>
      <c r="T35" s="4"/>
    </row>
    <row r="36" spans="1:20" x14ac:dyDescent="0.35">
      <c r="A36" s="16" t="s">
        <v>115</v>
      </c>
      <c r="B36" s="15" t="s">
        <v>51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9"/>
      <c r="I36" s="19"/>
      <c r="J36" s="19"/>
      <c r="K36" s="19"/>
      <c r="L36" s="19"/>
      <c r="M36" s="19"/>
      <c r="N36" s="19"/>
      <c r="O36" s="19"/>
      <c r="P36" s="19"/>
      <c r="Q36" s="17"/>
      <c r="R36" s="17"/>
      <c r="S36" s="17"/>
      <c r="T36" s="4"/>
    </row>
    <row r="37" spans="1:20" x14ac:dyDescent="0.35">
      <c r="A37" s="16" t="s">
        <v>115</v>
      </c>
      <c r="B37" s="15" t="s">
        <v>52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9"/>
      <c r="I37" s="19"/>
      <c r="J37" s="19"/>
      <c r="K37" s="19"/>
      <c r="L37" s="19"/>
      <c r="M37" s="19"/>
      <c r="N37" s="19"/>
      <c r="O37" s="19"/>
      <c r="P37" s="19"/>
      <c r="Q37" s="17"/>
      <c r="R37" s="17"/>
      <c r="S37" s="17"/>
      <c r="T37" s="4"/>
    </row>
    <row r="38" spans="1:20" x14ac:dyDescent="0.35">
      <c r="A38" s="16" t="s">
        <v>115</v>
      </c>
      <c r="B38" s="15" t="s">
        <v>53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9"/>
      <c r="I38" s="19"/>
      <c r="J38" s="19"/>
      <c r="K38" s="19"/>
      <c r="L38" s="19"/>
      <c r="M38" s="19"/>
      <c r="N38" s="19"/>
      <c r="O38" s="19"/>
      <c r="P38" s="19"/>
      <c r="Q38" s="17"/>
      <c r="R38" s="17"/>
      <c r="S38" s="17"/>
      <c r="T38" s="4"/>
    </row>
    <row r="39" spans="1:20" x14ac:dyDescent="0.35">
      <c r="A39" s="16" t="s">
        <v>115</v>
      </c>
      <c r="B39" s="15" t="s">
        <v>55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9"/>
      <c r="I39" s="19"/>
      <c r="J39" s="19"/>
      <c r="K39" s="19"/>
      <c r="L39" s="19"/>
      <c r="M39" s="19"/>
      <c r="N39" s="19"/>
      <c r="O39" s="19"/>
      <c r="P39" s="19"/>
      <c r="Q39" s="17"/>
      <c r="R39" s="17"/>
      <c r="S39" s="17"/>
      <c r="T39" s="4"/>
    </row>
    <row r="40" spans="1:20" x14ac:dyDescent="0.35">
      <c r="A40" s="16" t="s">
        <v>115</v>
      </c>
      <c r="B40" s="15" t="s">
        <v>56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9"/>
      <c r="I40" s="19"/>
      <c r="J40" s="19"/>
      <c r="K40" s="19"/>
      <c r="L40" s="19"/>
      <c r="M40" s="19"/>
      <c r="N40" s="19"/>
      <c r="O40" s="19"/>
      <c r="P40" s="19"/>
      <c r="Q40" s="17"/>
      <c r="R40" s="17"/>
      <c r="S40" s="17"/>
      <c r="T40" s="4"/>
    </row>
    <row r="41" spans="1:20" x14ac:dyDescent="0.35">
      <c r="A41" s="16" t="s">
        <v>115</v>
      </c>
      <c r="B41" s="15" t="s">
        <v>57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9"/>
      <c r="I41" s="19"/>
      <c r="J41" s="19"/>
      <c r="K41" s="19"/>
      <c r="L41" s="19"/>
      <c r="M41" s="19"/>
      <c r="N41" s="19"/>
      <c r="O41" s="19"/>
      <c r="P41" s="19"/>
      <c r="Q41" s="17"/>
      <c r="R41" s="17"/>
      <c r="S41" s="17"/>
      <c r="T41" s="4"/>
    </row>
    <row r="42" spans="1:20" x14ac:dyDescent="0.35">
      <c r="A42" s="16" t="s">
        <v>115</v>
      </c>
      <c r="B42" s="15" t="s">
        <v>58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9"/>
      <c r="I42" s="19"/>
      <c r="J42" s="19"/>
      <c r="K42" s="19"/>
      <c r="L42" s="19"/>
      <c r="M42" s="19"/>
      <c r="N42" s="19"/>
      <c r="O42" s="19"/>
      <c r="P42" s="19"/>
      <c r="Q42" s="17"/>
      <c r="R42" s="17"/>
      <c r="S42" s="17"/>
      <c r="T42" s="4"/>
    </row>
    <row r="43" spans="1:20" x14ac:dyDescent="0.35">
      <c r="A43" s="16" t="s">
        <v>115</v>
      </c>
      <c r="B43" s="15" t="s">
        <v>60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9"/>
      <c r="I43" s="19"/>
      <c r="J43" s="19"/>
      <c r="K43" s="19"/>
      <c r="L43" s="19"/>
      <c r="M43" s="19"/>
      <c r="N43" s="19"/>
      <c r="O43" s="19"/>
      <c r="P43" s="19"/>
      <c r="Q43" s="17"/>
      <c r="R43" s="17"/>
      <c r="S43" s="17"/>
      <c r="T43" s="4"/>
    </row>
    <row r="44" spans="1:20" x14ac:dyDescent="0.35">
      <c r="A44" s="16" t="s">
        <v>115</v>
      </c>
      <c r="B44" s="15" t="s">
        <v>61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9"/>
      <c r="I44" s="19"/>
      <c r="J44" s="19"/>
      <c r="K44" s="19"/>
      <c r="L44" s="19"/>
      <c r="M44" s="19"/>
      <c r="N44" s="19"/>
      <c r="O44" s="19"/>
      <c r="P44" s="19"/>
      <c r="Q44" s="17"/>
      <c r="R44" s="17"/>
      <c r="S44" s="17"/>
      <c r="T44" s="4"/>
    </row>
    <row r="45" spans="1:20" x14ac:dyDescent="0.35">
      <c r="A45" s="16" t="s">
        <v>115</v>
      </c>
      <c r="B45" s="15" t="s">
        <v>62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9"/>
      <c r="I45" s="19"/>
      <c r="J45" s="19"/>
      <c r="K45" s="19"/>
      <c r="L45" s="19"/>
      <c r="M45" s="19"/>
      <c r="N45" s="19"/>
      <c r="O45" s="19"/>
      <c r="P45" s="19"/>
      <c r="Q45" s="17"/>
      <c r="R45" s="17"/>
      <c r="S45" s="17"/>
      <c r="T45" s="4"/>
    </row>
    <row r="46" spans="1:20" x14ac:dyDescent="0.35">
      <c r="A46" s="16" t="s">
        <v>115</v>
      </c>
      <c r="B46" s="15" t="s">
        <v>63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9"/>
      <c r="I46" s="19"/>
      <c r="J46" s="19"/>
      <c r="K46" s="19"/>
      <c r="L46" s="19"/>
      <c r="M46" s="19"/>
      <c r="N46" s="19"/>
      <c r="O46" s="19"/>
      <c r="P46" s="19"/>
      <c r="Q46" s="17"/>
      <c r="R46" s="17"/>
      <c r="S46" s="17"/>
      <c r="T46" s="4"/>
    </row>
    <row r="47" spans="1:20" x14ac:dyDescent="0.35">
      <c r="A47" s="16" t="s">
        <v>115</v>
      </c>
      <c r="B47" s="15" t="s">
        <v>64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9"/>
      <c r="I47" s="19"/>
      <c r="J47" s="19"/>
      <c r="K47" s="19"/>
      <c r="L47" s="19"/>
      <c r="M47" s="19"/>
      <c r="N47" s="19"/>
      <c r="O47" s="19"/>
      <c r="P47" s="19"/>
      <c r="Q47" s="17"/>
      <c r="R47" s="17"/>
      <c r="S47" s="17"/>
      <c r="T47" s="4"/>
    </row>
    <row r="48" spans="1:20" x14ac:dyDescent="0.35">
      <c r="A48" s="16" t="s">
        <v>115</v>
      </c>
      <c r="B48" s="15" t="s">
        <v>65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9"/>
      <c r="I48" s="19"/>
      <c r="J48" s="19"/>
      <c r="K48" s="19"/>
      <c r="L48" s="19"/>
      <c r="M48" s="19"/>
      <c r="N48" s="19"/>
      <c r="O48" s="19"/>
      <c r="P48" s="19"/>
      <c r="Q48" s="17"/>
      <c r="R48" s="17"/>
      <c r="S48" s="17"/>
      <c r="T48" s="4"/>
    </row>
    <row r="49" spans="1:20" x14ac:dyDescent="0.35">
      <c r="A49" s="16" t="s">
        <v>115</v>
      </c>
      <c r="B49" s="15" t="s">
        <v>66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9"/>
      <c r="I49" s="19"/>
      <c r="J49" s="19"/>
      <c r="K49" s="19"/>
      <c r="L49" s="19"/>
      <c r="M49" s="19"/>
      <c r="N49" s="19"/>
      <c r="O49" s="19"/>
      <c r="P49" s="19"/>
      <c r="Q49" s="17"/>
      <c r="R49" s="17"/>
      <c r="S49" s="17"/>
      <c r="T49" s="4"/>
    </row>
    <row r="50" spans="1:20" x14ac:dyDescent="0.35">
      <c r="A50" s="16" t="s">
        <v>115</v>
      </c>
      <c r="B50" s="15" t="s">
        <v>68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9"/>
      <c r="I50" s="19"/>
      <c r="J50" s="19"/>
      <c r="K50" s="19"/>
      <c r="L50" s="19"/>
      <c r="M50" s="19"/>
      <c r="N50" s="19"/>
      <c r="O50" s="19"/>
      <c r="P50" s="19"/>
      <c r="Q50" s="17"/>
      <c r="R50" s="17"/>
      <c r="S50" s="17"/>
      <c r="T50" s="4"/>
    </row>
    <row r="51" spans="1:20" x14ac:dyDescent="0.35">
      <c r="A51" s="16" t="s">
        <v>115</v>
      </c>
      <c r="B51" s="15" t="s">
        <v>69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9"/>
      <c r="I51" s="19"/>
      <c r="J51" s="19"/>
      <c r="K51" s="19"/>
      <c r="L51" s="19"/>
      <c r="M51" s="19"/>
      <c r="N51" s="19"/>
      <c r="O51" s="19"/>
      <c r="P51" s="19"/>
      <c r="Q51" s="17"/>
      <c r="R51" s="17"/>
      <c r="S51" s="17"/>
      <c r="T51" s="4"/>
    </row>
    <row r="52" spans="1:20" x14ac:dyDescent="0.35">
      <c r="A52" s="16" t="s">
        <v>115</v>
      </c>
      <c r="B52" s="15" t="s">
        <v>71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9"/>
      <c r="I52" s="19"/>
      <c r="J52" s="19"/>
      <c r="K52" s="19"/>
      <c r="L52" s="19"/>
      <c r="M52" s="19"/>
      <c r="N52" s="19"/>
      <c r="O52" s="19"/>
      <c r="P52" s="19"/>
      <c r="Q52" s="17"/>
      <c r="R52" s="17"/>
      <c r="S52" s="17"/>
      <c r="T52" s="4"/>
    </row>
    <row r="53" spans="1:20" x14ac:dyDescent="0.35">
      <c r="A53" s="16" t="s">
        <v>115</v>
      </c>
      <c r="B53" s="15" t="s">
        <v>72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9"/>
      <c r="I53" s="19"/>
      <c r="J53" s="19"/>
      <c r="K53" s="19"/>
      <c r="L53" s="19"/>
      <c r="M53" s="19"/>
      <c r="N53" s="19"/>
      <c r="O53" s="19"/>
      <c r="P53" s="19"/>
      <c r="Q53" s="17"/>
      <c r="R53" s="17"/>
      <c r="S53" s="17"/>
      <c r="T53" s="4"/>
    </row>
    <row r="54" spans="1:20" x14ac:dyDescent="0.35">
      <c r="A54" s="16" t="s">
        <v>115</v>
      </c>
      <c r="B54" s="15" t="s">
        <v>73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9"/>
      <c r="I54" s="19"/>
      <c r="J54" s="19"/>
      <c r="K54" s="19"/>
      <c r="L54" s="19"/>
      <c r="M54" s="19"/>
      <c r="N54" s="19"/>
      <c r="O54" s="19"/>
      <c r="P54" s="19"/>
      <c r="Q54" s="17"/>
      <c r="R54" s="17"/>
      <c r="S54" s="17"/>
      <c r="T54" s="4"/>
    </row>
    <row r="55" spans="1:20" x14ac:dyDescent="0.35">
      <c r="A55" s="16" t="s">
        <v>115</v>
      </c>
      <c r="B55" s="15" t="s">
        <v>74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9"/>
      <c r="I55" s="19"/>
      <c r="J55" s="19"/>
      <c r="K55" s="19"/>
      <c r="L55" s="19"/>
      <c r="M55" s="19"/>
      <c r="N55" s="19"/>
      <c r="O55" s="19"/>
      <c r="P55" s="19"/>
      <c r="Q55" s="17"/>
      <c r="R55" s="17"/>
      <c r="S55" s="17"/>
      <c r="T55" s="4"/>
    </row>
    <row r="56" spans="1:20" x14ac:dyDescent="0.35">
      <c r="A56" s="16" t="s">
        <v>115</v>
      </c>
      <c r="B56" s="15" t="s">
        <v>75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9"/>
      <c r="I56" s="19"/>
      <c r="J56" s="19"/>
      <c r="K56" s="19"/>
      <c r="L56" s="19"/>
      <c r="M56" s="19"/>
      <c r="N56" s="19"/>
      <c r="O56" s="19"/>
      <c r="P56" s="19"/>
      <c r="Q56" s="17"/>
      <c r="R56" s="17"/>
      <c r="S56" s="17"/>
      <c r="T56" s="4"/>
    </row>
    <row r="57" spans="1:20" x14ac:dyDescent="0.35">
      <c r="A57" s="16" t="s">
        <v>115</v>
      </c>
      <c r="B57" s="15" t="s">
        <v>76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9"/>
      <c r="I57" s="19"/>
      <c r="J57" s="19"/>
      <c r="K57" s="19"/>
      <c r="L57" s="19"/>
      <c r="M57" s="19"/>
      <c r="N57" s="19"/>
      <c r="O57" s="19"/>
      <c r="P57" s="19"/>
      <c r="Q57" s="17"/>
      <c r="R57" s="17"/>
      <c r="S57" s="17"/>
      <c r="T57" s="4"/>
    </row>
    <row r="58" spans="1:20" x14ac:dyDescent="0.35">
      <c r="A58" s="16" t="s">
        <v>115</v>
      </c>
      <c r="B58" s="15" t="s">
        <v>77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9"/>
      <c r="I58" s="19"/>
      <c r="J58" s="19"/>
      <c r="K58" s="19"/>
      <c r="L58" s="19"/>
      <c r="M58" s="19"/>
      <c r="N58" s="19"/>
      <c r="O58" s="19"/>
      <c r="P58" s="19"/>
      <c r="Q58" s="17"/>
      <c r="R58" s="17"/>
      <c r="S58" s="17"/>
      <c r="T58" s="4"/>
    </row>
    <row r="59" spans="1:20" x14ac:dyDescent="0.35">
      <c r="A59" s="16" t="s">
        <v>115</v>
      </c>
      <c r="B59" s="15" t="s">
        <v>78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9"/>
      <c r="I59" s="19"/>
      <c r="J59" s="19"/>
      <c r="K59" s="19"/>
      <c r="L59" s="19"/>
      <c r="M59" s="19"/>
      <c r="N59" s="19"/>
      <c r="O59" s="19"/>
      <c r="P59" s="19"/>
      <c r="Q59" s="17"/>
      <c r="R59" s="17"/>
      <c r="S59" s="17"/>
      <c r="T59" s="4"/>
    </row>
    <row r="60" spans="1:20" x14ac:dyDescent="0.35">
      <c r="A60" s="16" t="s">
        <v>115</v>
      </c>
      <c r="B60" s="15" t="s">
        <v>79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9"/>
      <c r="I60" s="19"/>
      <c r="J60" s="19"/>
      <c r="K60" s="19"/>
      <c r="L60" s="19"/>
      <c r="M60" s="19"/>
      <c r="N60" s="19"/>
      <c r="O60" s="19"/>
      <c r="P60" s="19"/>
      <c r="Q60" s="17"/>
      <c r="R60" s="17"/>
      <c r="S60" s="17"/>
      <c r="T60" s="4"/>
    </row>
    <row r="61" spans="1:20" x14ac:dyDescent="0.35">
      <c r="A61" s="16" t="s">
        <v>115</v>
      </c>
      <c r="B61" s="15" t="s">
        <v>80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9"/>
      <c r="I61" s="19"/>
      <c r="J61" s="19"/>
      <c r="K61" s="19"/>
      <c r="L61" s="19"/>
      <c r="M61" s="19"/>
      <c r="N61" s="19"/>
      <c r="O61" s="19"/>
      <c r="P61" s="19"/>
      <c r="Q61" s="17"/>
      <c r="R61" s="17"/>
      <c r="S61" s="17"/>
      <c r="T61" s="4"/>
    </row>
    <row r="62" spans="1:20" x14ac:dyDescent="0.35">
      <c r="A62" s="16" t="s">
        <v>115</v>
      </c>
      <c r="B62" s="15" t="s">
        <v>81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9"/>
      <c r="I62" s="19"/>
      <c r="J62" s="19"/>
      <c r="K62" s="19"/>
      <c r="L62" s="19"/>
      <c r="M62" s="19"/>
      <c r="N62" s="19"/>
      <c r="O62" s="19"/>
      <c r="P62" s="19"/>
      <c r="Q62" s="17"/>
      <c r="R62" s="17"/>
      <c r="S62" s="17"/>
      <c r="T62" s="4"/>
    </row>
    <row r="63" spans="1:20" x14ac:dyDescent="0.35">
      <c r="A63" s="16" t="s">
        <v>115</v>
      </c>
      <c r="B63" s="15" t="s">
        <v>82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9"/>
      <c r="I63" s="19"/>
      <c r="J63" s="19"/>
      <c r="K63" s="19"/>
      <c r="L63" s="19"/>
      <c r="M63" s="19"/>
      <c r="N63" s="19"/>
      <c r="O63" s="19"/>
      <c r="P63" s="19"/>
      <c r="Q63" s="17"/>
      <c r="R63" s="17"/>
      <c r="S63" s="17"/>
      <c r="T63" s="4"/>
    </row>
    <row r="64" spans="1:20" x14ac:dyDescent="0.35">
      <c r="A64" s="16" t="s">
        <v>115</v>
      </c>
      <c r="B64" s="15" t="s">
        <v>83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9"/>
      <c r="I64" s="19"/>
      <c r="J64" s="19"/>
      <c r="K64" s="19"/>
      <c r="L64" s="19"/>
      <c r="M64" s="19"/>
      <c r="N64" s="19"/>
      <c r="O64" s="19"/>
      <c r="P64" s="19"/>
      <c r="Q64" s="17"/>
      <c r="R64" s="17"/>
      <c r="S64" s="17"/>
      <c r="T64" s="4"/>
    </row>
    <row r="65" spans="1:20" x14ac:dyDescent="0.35">
      <c r="A65" s="16" t="s">
        <v>115</v>
      </c>
      <c r="B65" s="15" t="s">
        <v>84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9"/>
      <c r="I65" s="19"/>
      <c r="J65" s="19"/>
      <c r="K65" s="19"/>
      <c r="L65" s="19"/>
      <c r="M65" s="19"/>
      <c r="N65" s="19"/>
      <c r="O65" s="19"/>
      <c r="P65" s="19"/>
      <c r="Q65" s="17"/>
      <c r="R65" s="17"/>
      <c r="S65" s="17"/>
      <c r="T65" s="4"/>
    </row>
    <row r="66" spans="1:20" x14ac:dyDescent="0.35">
      <c r="A66" s="16" t="s">
        <v>115</v>
      </c>
      <c r="B66" s="15" t="s">
        <v>86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9"/>
      <c r="I66" s="19"/>
      <c r="J66" s="19"/>
      <c r="K66" s="19"/>
      <c r="L66" s="19"/>
      <c r="M66" s="19"/>
      <c r="N66" s="19"/>
      <c r="O66" s="19"/>
      <c r="P66" s="19"/>
      <c r="Q66" s="17"/>
      <c r="R66" s="17"/>
      <c r="S66" s="17"/>
      <c r="T66" s="4"/>
    </row>
    <row r="67" spans="1:20" x14ac:dyDescent="0.35">
      <c r="A67" s="16" t="s">
        <v>115</v>
      </c>
      <c r="B67" s="15" t="s">
        <v>89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9"/>
      <c r="I67" s="19"/>
      <c r="J67" s="19"/>
      <c r="K67" s="19"/>
      <c r="L67" s="19"/>
      <c r="M67" s="19"/>
      <c r="N67" s="19"/>
      <c r="O67" s="19"/>
      <c r="P67" s="19"/>
      <c r="Q67" s="17"/>
      <c r="R67" s="17"/>
      <c r="S67" s="17"/>
      <c r="T67" s="4"/>
    </row>
    <row r="68" spans="1:20" x14ac:dyDescent="0.35">
      <c r="A68" s="16" t="s">
        <v>115</v>
      </c>
      <c r="B68" s="15" t="s">
        <v>91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9"/>
      <c r="I68" s="19"/>
      <c r="J68" s="19"/>
      <c r="K68" s="19"/>
      <c r="L68" s="19"/>
      <c r="M68" s="19"/>
      <c r="N68" s="19"/>
      <c r="O68" s="19"/>
      <c r="P68" s="19"/>
      <c r="Q68" s="17"/>
      <c r="R68" s="17"/>
      <c r="S68" s="17"/>
      <c r="T68" s="4"/>
    </row>
    <row r="69" spans="1:20" x14ac:dyDescent="0.35">
      <c r="A69" s="16" t="s">
        <v>115</v>
      </c>
      <c r="B69" s="15" t="s">
        <v>92</v>
      </c>
      <c r="C69" s="15" t="e">
        <f>VLOOKUP(B69,Mapping!A:B,2,0)</f>
        <v>#N/A</v>
      </c>
      <c r="D69" s="15" t="e">
        <f>VLOOKUP(B69,Mapping!A:C,3,0)</f>
        <v>#N/A</v>
      </c>
      <c r="E69" s="16" t="e">
        <f>VLOOKUP(B69,Mapping!A:D,4,0)</f>
        <v>#N/A</v>
      </c>
      <c r="F69" s="16" t="e">
        <f>VLOOKUP(B69,Mapping!A:E,5,0)</f>
        <v>#N/A</v>
      </c>
      <c r="G69" s="16" t="e">
        <f>VLOOKUP(B69,Mapping!A:F,6,0)</f>
        <v>#N/A</v>
      </c>
      <c r="H69" s="19"/>
      <c r="I69" s="19"/>
      <c r="J69" s="19"/>
      <c r="K69" s="19"/>
      <c r="L69" s="19"/>
      <c r="M69" s="19"/>
      <c r="N69" s="19"/>
      <c r="O69" s="19"/>
      <c r="P69" s="19"/>
      <c r="Q69" s="17"/>
      <c r="R69" s="17"/>
      <c r="S69" s="17"/>
      <c r="T69" s="4"/>
    </row>
    <row r="70" spans="1:20" x14ac:dyDescent="0.35">
      <c r="A70" s="16" t="s">
        <v>115</v>
      </c>
      <c r="B70" s="15" t="s">
        <v>93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9"/>
      <c r="I70" s="19"/>
      <c r="J70" s="19"/>
      <c r="K70" s="19"/>
      <c r="L70" s="19"/>
      <c r="M70" s="19"/>
      <c r="N70" s="19"/>
      <c r="O70" s="19"/>
      <c r="P70" s="19"/>
      <c r="Q70" s="17"/>
      <c r="R70" s="17"/>
      <c r="S70" s="17"/>
      <c r="T70" s="4"/>
    </row>
    <row r="71" spans="1:20" x14ac:dyDescent="0.35">
      <c r="A71" s="16" t="s">
        <v>115</v>
      </c>
      <c r="B71" s="15" t="s">
        <v>94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9"/>
      <c r="I71" s="19"/>
      <c r="J71" s="19"/>
      <c r="K71" s="19"/>
      <c r="L71" s="19"/>
      <c r="M71" s="19"/>
      <c r="N71" s="19"/>
      <c r="O71" s="19"/>
      <c r="P71" s="19"/>
      <c r="Q71" s="17"/>
      <c r="R71" s="17"/>
      <c r="S71" s="17"/>
      <c r="T71" s="4"/>
    </row>
    <row r="72" spans="1:20" x14ac:dyDescent="0.35">
      <c r="A72" s="16" t="s">
        <v>115</v>
      </c>
      <c r="B72" s="15" t="s">
        <v>95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9"/>
      <c r="I72" s="19"/>
      <c r="J72" s="19"/>
      <c r="K72" s="19"/>
      <c r="L72" s="19"/>
      <c r="M72" s="19"/>
      <c r="N72" s="19"/>
      <c r="O72" s="19"/>
      <c r="P72" s="19"/>
      <c r="Q72" s="17"/>
      <c r="R72" s="17"/>
      <c r="S72" s="17"/>
      <c r="T72" s="4"/>
    </row>
    <row r="73" spans="1:20" x14ac:dyDescent="0.35">
      <c r="A73" s="16" t="s">
        <v>115</v>
      </c>
      <c r="B73" s="15" t="s">
        <v>97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9"/>
      <c r="I73" s="19"/>
      <c r="J73" s="19"/>
      <c r="K73" s="19"/>
      <c r="L73" s="19"/>
      <c r="M73" s="19"/>
      <c r="N73" s="19"/>
      <c r="O73" s="19"/>
      <c r="P73" s="19"/>
      <c r="Q73" s="17"/>
      <c r="R73" s="17"/>
      <c r="S73" s="17"/>
      <c r="T73" s="4"/>
    </row>
    <row r="74" spans="1:20" x14ac:dyDescent="0.35">
      <c r="A74" s="16" t="s">
        <v>115</v>
      </c>
      <c r="B74" s="15" t="s">
        <v>98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9"/>
      <c r="I74" s="19"/>
      <c r="J74" s="19"/>
      <c r="K74" s="19"/>
      <c r="L74" s="19"/>
      <c r="M74" s="19"/>
      <c r="N74" s="19"/>
      <c r="O74" s="19"/>
      <c r="P74" s="19"/>
      <c r="Q74" s="17"/>
      <c r="R74" s="17"/>
      <c r="S74" s="17"/>
      <c r="T74" s="4"/>
    </row>
    <row r="75" spans="1:20" x14ac:dyDescent="0.35">
      <c r="A75" s="16" t="s">
        <v>115</v>
      </c>
      <c r="B75" s="15" t="s">
        <v>99</v>
      </c>
      <c r="C75" s="15" t="e">
        <f>VLOOKUP(B75,Mapping!A:B,2,0)</f>
        <v>#N/A</v>
      </c>
      <c r="D75" s="15" t="e">
        <f>VLOOKUP(B75,Mapping!A:C,3,0)</f>
        <v>#N/A</v>
      </c>
      <c r="E75" s="16" t="e">
        <f>VLOOKUP(B75,Mapping!A:D,4,0)</f>
        <v>#N/A</v>
      </c>
      <c r="F75" s="16" t="e">
        <f>VLOOKUP(B75,Mapping!A:E,5,0)</f>
        <v>#N/A</v>
      </c>
      <c r="G75" s="16" t="e">
        <f>VLOOKUP(B75,Mapping!A:F,6,0)</f>
        <v>#N/A</v>
      </c>
      <c r="H75" s="19"/>
      <c r="I75" s="19"/>
      <c r="J75" s="19"/>
      <c r="K75" s="19"/>
      <c r="L75" s="19"/>
      <c r="M75" s="19"/>
      <c r="N75" s="19"/>
      <c r="O75" s="19"/>
      <c r="P75" s="19"/>
      <c r="Q75" s="17"/>
      <c r="R75" s="17"/>
      <c r="S75" s="17"/>
      <c r="T75" s="4"/>
    </row>
    <row r="76" spans="1:20" x14ac:dyDescent="0.35">
      <c r="A76" s="16" t="s">
        <v>115</v>
      </c>
      <c r="B76" s="15" t="s">
        <v>100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9"/>
      <c r="I76" s="19"/>
      <c r="J76" s="19"/>
      <c r="K76" s="19"/>
      <c r="L76" s="19"/>
      <c r="M76" s="19"/>
      <c r="N76" s="19"/>
      <c r="O76" s="19"/>
      <c r="P76" s="19"/>
      <c r="Q76" s="17"/>
      <c r="R76" s="17"/>
      <c r="S76" s="17"/>
      <c r="T76" s="4"/>
    </row>
  </sheetData>
  <conditionalFormatting sqref="A1:B1 I1:S1 E1:G1">
    <cfRule type="duplicateValues" dxfId="32" priority="1"/>
  </conditionalFormatting>
  <conditionalFormatting sqref="B51:B73 B2:B41">
    <cfRule type="duplicateValues" dxfId="31" priority="5"/>
  </conditionalFormatting>
  <conditionalFormatting sqref="B74:B76 B42:B50">
    <cfRule type="duplicateValues" dxfId="30" priority="6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67747-132A-47F8-8BAC-E4E6DD59160B}">
  <sheetPr codeName="Sheet15">
    <tabColor rgb="FF92D050"/>
  </sheetPr>
  <dimension ref="A1:T86"/>
  <sheetViews>
    <sheetView topLeftCell="C1" workbookViewId="0">
      <selection activeCell="H3" sqref="H3:S86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2.1796875" bestFit="1" customWidth="1"/>
    <col min="7" max="7" width="13.1796875" bestFit="1" customWidth="1"/>
    <col min="8" max="8" width="7" bestFit="1" customWidth="1"/>
    <col min="9" max="9" width="7.453125" bestFit="1" customWidth="1"/>
    <col min="10" max="11" width="7" bestFit="1" customWidth="1"/>
    <col min="12" max="12" width="7.1796875" bestFit="1" customWidth="1"/>
    <col min="13" max="14" width="7" bestFit="1" customWidth="1"/>
    <col min="15" max="15" width="7.26953125" bestFit="1" customWidth="1"/>
    <col min="16" max="16" width="7" bestFit="1" customWidth="1"/>
    <col min="17" max="17" width="6.81640625" bestFit="1" customWidth="1"/>
    <col min="18" max="18" width="7" bestFit="1" customWidth="1"/>
    <col min="19" max="19" width="7.1796875" bestFit="1" customWidth="1"/>
  </cols>
  <sheetData>
    <row r="1" spans="1:20" x14ac:dyDescent="0.35">
      <c r="H1" s="3"/>
      <c r="I1" s="3"/>
      <c r="J1" s="3"/>
      <c r="K1" s="3"/>
      <c r="L1" s="3"/>
      <c r="M1" s="3"/>
      <c r="N1" s="3"/>
      <c r="O1" s="3"/>
      <c r="P1" s="3"/>
    </row>
    <row r="2" spans="1:20" x14ac:dyDescent="0.35">
      <c r="A2" s="13" t="str">
        <f>Revenue_Budget!A2</f>
        <v>FY</v>
      </c>
      <c r="B2" s="13" t="str">
        <f>Revenue_Budget!B2</f>
        <v>Project</v>
      </c>
      <c r="C2" s="13" t="str">
        <f>Revenue_Budget!C2</f>
        <v>Vertical</v>
      </c>
      <c r="D2" s="13" t="str">
        <f>Revenue_Budget!D2</f>
        <v>Region</v>
      </c>
      <c r="E2" s="13" t="str">
        <f>Revenue_Budget!E2</f>
        <v>Sub Region</v>
      </c>
      <c r="F2" s="13" t="str">
        <f>Revenue_Budget!F2</f>
        <v>Region Head</v>
      </c>
      <c r="G2" s="13" t="str">
        <f>Revenue_Budget!G2</f>
        <v>Practice Head</v>
      </c>
      <c r="H2" s="14">
        <f>Revenue_Budget!H2</f>
        <v>46113</v>
      </c>
      <c r="I2" s="14">
        <f>Revenue_Budget!I2</f>
        <v>46143</v>
      </c>
      <c r="J2" s="14">
        <f>Revenue_Budget!J2</f>
        <v>46174</v>
      </c>
      <c r="K2" s="14">
        <f>Revenue_Budget!K2</f>
        <v>46204</v>
      </c>
      <c r="L2" s="14">
        <f>Revenue_Budget!L2</f>
        <v>46235</v>
      </c>
      <c r="M2" s="14">
        <f>Revenue_Budget!M2</f>
        <v>46266</v>
      </c>
      <c r="N2" s="14">
        <f>Revenue_Budget!N2</f>
        <v>46296</v>
      </c>
      <c r="O2" s="14">
        <f>Revenue_Budget!O2</f>
        <v>46327</v>
      </c>
      <c r="P2" s="14">
        <f>Revenue_Budget!P2</f>
        <v>46357</v>
      </c>
      <c r="Q2" s="14">
        <f>Revenue_Budget!Q2</f>
        <v>46388</v>
      </c>
      <c r="R2" s="14">
        <f>Revenue_Budget!R2</f>
        <v>46419</v>
      </c>
      <c r="S2" s="14">
        <f>Revenue_Budget!S2</f>
        <v>46447</v>
      </c>
    </row>
    <row r="3" spans="1:20" x14ac:dyDescent="0.35">
      <c r="A3" s="15" t="s">
        <v>115</v>
      </c>
      <c r="B3" s="15" t="s">
        <v>2</v>
      </c>
      <c r="C3" s="15" t="str">
        <f>VLOOKUP(B3,Mapping!A:B,2,0)</f>
        <v>Lateral</v>
      </c>
      <c r="D3" s="15" t="str">
        <f>VLOOKUP(B3,Mapping!A:C,3,0)</f>
        <v>South</v>
      </c>
      <c r="E3" s="15" t="str">
        <f>VLOOKUP(B3,Mapping!A:D,4,0)</f>
        <v>South 1</v>
      </c>
      <c r="F3" s="15" t="str">
        <f>VLOOKUP(B3,Mapping!A:E,5,0)</f>
        <v>Bapi</v>
      </c>
      <c r="G3" s="15" t="str">
        <f>VLOOKUP(B3,Mapping!A:F,6,0)</f>
        <v>Bapi</v>
      </c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</row>
    <row r="4" spans="1:20" x14ac:dyDescent="0.35">
      <c r="A4" s="15" t="s">
        <v>115</v>
      </c>
      <c r="B4" s="15" t="s">
        <v>4</v>
      </c>
      <c r="C4" s="15" t="str">
        <f>VLOOKUP(B4,Mapping!A:B,2,0)</f>
        <v>Lateral</v>
      </c>
      <c r="D4" s="15" t="str">
        <f>VLOOKUP(B4,Mapping!A:C,3,0)</f>
        <v>West</v>
      </c>
      <c r="E4" s="15" t="str">
        <f>VLOOKUP(B4,Mapping!A:D,4,0)</f>
        <v>West 1</v>
      </c>
      <c r="F4" s="15" t="str">
        <f>VLOOKUP(B4,Mapping!A:E,5,0)</f>
        <v>Anjli</v>
      </c>
      <c r="G4" s="15" t="str">
        <f>VLOOKUP(B4,Mapping!A:F,6,0)</f>
        <v>Usha</v>
      </c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4"/>
    </row>
    <row r="5" spans="1:20" x14ac:dyDescent="0.35">
      <c r="A5" s="15" t="s">
        <v>115</v>
      </c>
      <c r="B5" s="15" t="s">
        <v>8</v>
      </c>
      <c r="C5" s="15" t="str">
        <f>VLOOKUP(B5,Mapping!A:B,2,0)</f>
        <v>Lateral</v>
      </c>
      <c r="D5" s="15" t="str">
        <f>VLOOKUP(B5,Mapping!A:C,3,0)</f>
        <v>West</v>
      </c>
      <c r="E5" s="15" t="str">
        <f>VLOOKUP(B5,Mapping!A:D,4,0)</f>
        <v>West 2</v>
      </c>
      <c r="F5" s="15" t="str">
        <f>VLOOKUP(B5,Mapping!A:E,5,0)</f>
        <v>Anjli</v>
      </c>
      <c r="G5" s="15" t="str">
        <f>VLOOKUP(B5,Mapping!A:F,6,0)</f>
        <v>Shweta</v>
      </c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4"/>
    </row>
    <row r="6" spans="1:20" x14ac:dyDescent="0.35">
      <c r="A6" s="15" t="s">
        <v>115</v>
      </c>
      <c r="B6" s="15" t="s">
        <v>10</v>
      </c>
      <c r="C6" s="15" t="str">
        <f>VLOOKUP(B6,Mapping!A:B,2,0)</f>
        <v>Lateral</v>
      </c>
      <c r="D6" s="15" t="str">
        <f>VLOOKUP(B6,Mapping!A:C,3,0)</f>
        <v>North</v>
      </c>
      <c r="E6" s="15" t="str">
        <f>VLOOKUP(B6,Mapping!A:D,4,0)</f>
        <v>North</v>
      </c>
      <c r="F6" s="15" t="str">
        <f>VLOOKUP(B6,Mapping!A:E,5,0)</f>
        <v>Anjli</v>
      </c>
      <c r="G6" s="15" t="str">
        <f>VLOOKUP(B6,Mapping!A:F,6,0)</f>
        <v>Archana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4"/>
    </row>
    <row r="7" spans="1:20" x14ac:dyDescent="0.35">
      <c r="A7" s="15" t="s">
        <v>115</v>
      </c>
      <c r="B7" s="15" t="s">
        <v>12</v>
      </c>
      <c r="C7" s="15" t="str">
        <f>VLOOKUP(B7,Mapping!A:B,2,0)</f>
        <v>Lateral</v>
      </c>
      <c r="D7" s="15" t="str">
        <f>VLOOKUP(B7,Mapping!A:C,3,0)</f>
        <v>South</v>
      </c>
      <c r="E7" s="15" t="str">
        <f>VLOOKUP(B7,Mapping!A:D,4,0)</f>
        <v>South 1</v>
      </c>
      <c r="F7" s="15" t="str">
        <f>VLOOKUP(B7,Mapping!A:E,5,0)</f>
        <v>Sulabh</v>
      </c>
      <c r="G7" s="15" t="str">
        <f>VLOOKUP(B7,Mapping!A:F,6,0)</f>
        <v>Kunal</v>
      </c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4"/>
    </row>
    <row r="8" spans="1:20" x14ac:dyDescent="0.35">
      <c r="A8" s="15" t="s">
        <v>115</v>
      </c>
      <c r="B8" s="15" t="s">
        <v>16</v>
      </c>
      <c r="C8" s="15" t="str">
        <f>VLOOKUP(B8,Mapping!A:B,2,0)</f>
        <v>Lateral</v>
      </c>
      <c r="D8" s="15" t="str">
        <f>VLOOKUP(B8,Mapping!A:C,3,0)</f>
        <v>West</v>
      </c>
      <c r="E8" s="15" t="str">
        <f>VLOOKUP(B8,Mapping!A:D,4,0)</f>
        <v>West 1</v>
      </c>
      <c r="F8" s="15" t="str">
        <f>VLOOKUP(B8,Mapping!A:E,5,0)</f>
        <v>Anjli</v>
      </c>
      <c r="G8" s="15" t="str">
        <f>VLOOKUP(B8,Mapping!A:F,6,0)</f>
        <v>Usha</v>
      </c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4"/>
    </row>
    <row r="9" spans="1:20" x14ac:dyDescent="0.35">
      <c r="A9" s="15" t="s">
        <v>115</v>
      </c>
      <c r="B9" s="15" t="s">
        <v>17</v>
      </c>
      <c r="C9" s="15" t="str">
        <f>VLOOKUP(B9,Mapping!A:B,2,0)</f>
        <v>Lateral</v>
      </c>
      <c r="D9" s="15" t="str">
        <f>VLOOKUP(B9,Mapping!A:C,3,0)</f>
        <v>West</v>
      </c>
      <c r="E9" s="15" t="str">
        <f>VLOOKUP(B9,Mapping!A:D,4,0)</f>
        <v>West 2</v>
      </c>
      <c r="F9" s="15" t="str">
        <f>VLOOKUP(B9,Mapping!A:E,5,0)</f>
        <v>Anjli</v>
      </c>
      <c r="G9" s="15" t="str">
        <f>VLOOKUP(B9,Mapping!A:F,6,0)</f>
        <v>Shweta</v>
      </c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4"/>
    </row>
    <row r="10" spans="1:20" x14ac:dyDescent="0.35">
      <c r="A10" s="15" t="s">
        <v>115</v>
      </c>
      <c r="B10" s="15" t="s">
        <v>18</v>
      </c>
      <c r="C10" s="15" t="str">
        <f>VLOOKUP(B10,Mapping!A:B,2,0)</f>
        <v>Lateral</v>
      </c>
      <c r="D10" s="15" t="str">
        <f>VLOOKUP(B10,Mapping!A:C,3,0)</f>
        <v>West</v>
      </c>
      <c r="E10" s="15" t="str">
        <f>VLOOKUP(B10,Mapping!A:D,4,0)</f>
        <v>West 1</v>
      </c>
      <c r="F10" s="15" t="str">
        <f>VLOOKUP(B10,Mapping!A:E,5,0)</f>
        <v>Anjli</v>
      </c>
      <c r="G10" s="15" t="str">
        <f>VLOOKUP(B10,Mapping!A:F,6,0)</f>
        <v>Geetu</v>
      </c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4"/>
    </row>
    <row r="11" spans="1:20" x14ac:dyDescent="0.35">
      <c r="A11" s="15" t="s">
        <v>115</v>
      </c>
      <c r="B11" s="15" t="s">
        <v>20</v>
      </c>
      <c r="C11" s="15" t="str">
        <f>VLOOKUP(B11,Mapping!A:B,2,0)</f>
        <v>Lateral</v>
      </c>
      <c r="D11" s="15" t="str">
        <f>VLOOKUP(B11,Mapping!A:C,3,0)</f>
        <v>West</v>
      </c>
      <c r="E11" s="15" t="str">
        <f>VLOOKUP(B11,Mapping!A:D,4,0)</f>
        <v>West 1</v>
      </c>
      <c r="F11" s="15" t="str">
        <f>VLOOKUP(B11,Mapping!A:E,5,0)</f>
        <v>Anjli</v>
      </c>
      <c r="G11" s="15" t="str">
        <f>VLOOKUP(B11,Mapping!A:F,6,0)</f>
        <v>Geetu</v>
      </c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4"/>
    </row>
    <row r="12" spans="1:20" x14ac:dyDescent="0.35">
      <c r="A12" s="15" t="s">
        <v>115</v>
      </c>
      <c r="B12" s="15" t="s">
        <v>21</v>
      </c>
      <c r="C12" s="15" t="str">
        <f>VLOOKUP(B12,Mapping!A:B,2,0)</f>
        <v>Lateral</v>
      </c>
      <c r="D12" s="15" t="str">
        <f>VLOOKUP(B12,Mapping!A:C,3,0)</f>
        <v>South</v>
      </c>
      <c r="E12" s="15" t="str">
        <f>VLOOKUP(B12,Mapping!A:D,4,0)</f>
        <v>South 1</v>
      </c>
      <c r="F12" s="15" t="str">
        <f>VLOOKUP(B12,Mapping!A:E,5,0)</f>
        <v>Mahak</v>
      </c>
      <c r="G12" s="15" t="str">
        <f>VLOOKUP(B12,Mapping!A:F,6,0)</f>
        <v>Mahak</v>
      </c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4"/>
    </row>
    <row r="13" spans="1:20" x14ac:dyDescent="0.35">
      <c r="A13" s="15" t="s">
        <v>115</v>
      </c>
      <c r="B13" s="15" t="s">
        <v>23</v>
      </c>
      <c r="C13" s="15" t="str">
        <f>VLOOKUP(B13,Mapping!A:B,2,0)</f>
        <v>Lateral</v>
      </c>
      <c r="D13" s="15" t="str">
        <f>VLOOKUP(B13,Mapping!A:C,3,0)</f>
        <v>South</v>
      </c>
      <c r="E13" s="15" t="str">
        <f>VLOOKUP(B13,Mapping!A:D,4,0)</f>
        <v>South 1</v>
      </c>
      <c r="F13" s="15" t="str">
        <f>VLOOKUP(B13,Mapping!A:E,5,0)</f>
        <v>Anjli</v>
      </c>
      <c r="G13" s="15" t="str">
        <f>VLOOKUP(B13,Mapping!A:F,6,0)</f>
        <v>Satya</v>
      </c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4"/>
    </row>
    <row r="14" spans="1:20" x14ac:dyDescent="0.35">
      <c r="A14" s="15" t="s">
        <v>115</v>
      </c>
      <c r="B14" s="15" t="s">
        <v>25</v>
      </c>
      <c r="C14" s="15" t="str">
        <f>VLOOKUP(B14,Mapping!A:B,2,0)</f>
        <v>Lateral</v>
      </c>
      <c r="D14" s="15" t="str">
        <f>VLOOKUP(B14,Mapping!A:C,3,0)</f>
        <v>West</v>
      </c>
      <c r="E14" s="15" t="str">
        <f>VLOOKUP(B14,Mapping!A:D,4,0)</f>
        <v>West 1</v>
      </c>
      <c r="F14" s="15" t="str">
        <f>VLOOKUP(B14,Mapping!A:E,5,0)</f>
        <v>Anjli</v>
      </c>
      <c r="G14" s="15" t="str">
        <f>VLOOKUP(B14,Mapping!A:F,6,0)</f>
        <v>Geetu</v>
      </c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4"/>
    </row>
    <row r="15" spans="1:20" x14ac:dyDescent="0.35">
      <c r="A15" s="15" t="s">
        <v>115</v>
      </c>
      <c r="B15" s="15" t="s">
        <v>26</v>
      </c>
      <c r="C15" s="15" t="str">
        <f>VLOOKUP(B15,Mapping!A:B,2,0)</f>
        <v>Lateral</v>
      </c>
      <c r="D15" s="15" t="str">
        <f>VLOOKUP(B15,Mapping!A:C,3,0)</f>
        <v>South</v>
      </c>
      <c r="E15" s="15" t="str">
        <f>VLOOKUP(B15,Mapping!A:D,4,0)</f>
        <v>South 2</v>
      </c>
      <c r="F15" s="15" t="str">
        <f>VLOOKUP(B15,Mapping!A:E,5,0)</f>
        <v>Sulabh</v>
      </c>
      <c r="G15" s="15" t="str">
        <f>VLOOKUP(B15,Mapping!A:F,6,0)</f>
        <v>Krishna</v>
      </c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4"/>
    </row>
    <row r="16" spans="1:20" x14ac:dyDescent="0.35">
      <c r="A16" s="15" t="s">
        <v>115</v>
      </c>
      <c r="B16" s="15" t="s">
        <v>28</v>
      </c>
      <c r="C16" s="15" t="str">
        <f>VLOOKUP(B16,Mapping!A:B,2,0)</f>
        <v>Lateral</v>
      </c>
      <c r="D16" s="15" t="str">
        <f>VLOOKUP(B16,Mapping!A:C,3,0)</f>
        <v>West</v>
      </c>
      <c r="E16" s="15" t="str">
        <f>VLOOKUP(B16,Mapping!A:D,4,0)</f>
        <v>West 1</v>
      </c>
      <c r="F16" s="15" t="str">
        <f>VLOOKUP(B16,Mapping!A:E,5,0)</f>
        <v>Anjli</v>
      </c>
      <c r="G16" s="15" t="str">
        <f>VLOOKUP(B16,Mapping!A:F,6,0)</f>
        <v>Dhriti</v>
      </c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4"/>
    </row>
    <row r="17" spans="1:20" x14ac:dyDescent="0.35">
      <c r="A17" s="15" t="s">
        <v>115</v>
      </c>
      <c r="B17" s="15" t="s">
        <v>29</v>
      </c>
      <c r="C17" s="15" t="str">
        <f>VLOOKUP(B17,Mapping!A:B,2,0)</f>
        <v>Lateral</v>
      </c>
      <c r="D17" s="15" t="str">
        <f>VLOOKUP(B17,Mapping!A:C,3,0)</f>
        <v>South</v>
      </c>
      <c r="E17" s="15" t="str">
        <f>VLOOKUP(B17,Mapping!A:D,4,0)</f>
        <v>South 2</v>
      </c>
      <c r="F17" s="15" t="str">
        <f>VLOOKUP(B17,Mapping!A:E,5,0)</f>
        <v>Sulabh</v>
      </c>
      <c r="G17" s="15" t="str">
        <f>VLOOKUP(B17,Mapping!A:F,6,0)</f>
        <v>Krishna</v>
      </c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4"/>
    </row>
    <row r="18" spans="1:20" x14ac:dyDescent="0.35">
      <c r="A18" s="15" t="s">
        <v>115</v>
      </c>
      <c r="B18" s="15" t="s">
        <v>30</v>
      </c>
      <c r="C18" s="15" t="str">
        <f>VLOOKUP(B18,Mapping!A:B,2,0)</f>
        <v>Lateral</v>
      </c>
      <c r="D18" s="15" t="str">
        <f>VLOOKUP(B18,Mapping!A:C,3,0)</f>
        <v>South</v>
      </c>
      <c r="E18" s="15" t="str">
        <f>VLOOKUP(B18,Mapping!A:D,4,0)</f>
        <v>South 1</v>
      </c>
      <c r="F18" s="15" t="str">
        <f>VLOOKUP(B18,Mapping!A:E,5,0)</f>
        <v>Sulabh</v>
      </c>
      <c r="G18" s="15" t="str">
        <f>VLOOKUP(B18,Mapping!A:F,6,0)</f>
        <v>Subu</v>
      </c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4"/>
    </row>
    <row r="19" spans="1:20" x14ac:dyDescent="0.35">
      <c r="A19" s="15" t="s">
        <v>115</v>
      </c>
      <c r="B19" s="15" t="s">
        <v>32</v>
      </c>
      <c r="C19" s="15" t="str">
        <f>VLOOKUP(B19,Mapping!A:B,2,0)</f>
        <v>Lateral</v>
      </c>
      <c r="D19" s="15" t="str">
        <f>VLOOKUP(B19,Mapping!A:C,3,0)</f>
        <v>West</v>
      </c>
      <c r="E19" s="15" t="str">
        <f>VLOOKUP(B19,Mapping!A:D,4,0)</f>
        <v>West 2</v>
      </c>
      <c r="F19" s="15" t="str">
        <f>VLOOKUP(B19,Mapping!A:E,5,0)</f>
        <v>Anjli</v>
      </c>
      <c r="G19" s="15" t="str">
        <f>VLOOKUP(B19,Mapping!A:F,6,0)</f>
        <v>Anjli</v>
      </c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4"/>
    </row>
    <row r="20" spans="1:20" x14ac:dyDescent="0.35">
      <c r="A20" s="15" t="s">
        <v>115</v>
      </c>
      <c r="B20" s="15" t="s">
        <v>33</v>
      </c>
      <c r="C20" s="15" t="str">
        <f>VLOOKUP(B20,Mapping!A:B,2,0)</f>
        <v>Lateral</v>
      </c>
      <c r="D20" s="15" t="str">
        <f>VLOOKUP(B20,Mapping!A:C,3,0)</f>
        <v>West</v>
      </c>
      <c r="E20" s="15" t="str">
        <f>VLOOKUP(B20,Mapping!A:D,4,0)</f>
        <v>West 1</v>
      </c>
      <c r="F20" s="15" t="str">
        <f>VLOOKUP(B20,Mapping!A:E,5,0)</f>
        <v>Anjli</v>
      </c>
      <c r="G20" s="15" t="str">
        <f>VLOOKUP(B20,Mapping!A:F,6,0)</f>
        <v>Geetu</v>
      </c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4"/>
    </row>
    <row r="21" spans="1:20" x14ac:dyDescent="0.35">
      <c r="A21" s="15" t="s">
        <v>115</v>
      </c>
      <c r="B21" s="15" t="s">
        <v>34</v>
      </c>
      <c r="C21" s="15" t="str">
        <f>VLOOKUP(B21,Mapping!A:B,2,0)</f>
        <v>Lateral</v>
      </c>
      <c r="D21" s="15" t="str">
        <f>VLOOKUP(B21,Mapping!A:C,3,0)</f>
        <v>South</v>
      </c>
      <c r="E21" s="15" t="str">
        <f>VLOOKUP(B21,Mapping!A:D,4,0)</f>
        <v>South 1</v>
      </c>
      <c r="F21" s="15" t="str">
        <f>VLOOKUP(B21,Mapping!A:E,5,0)</f>
        <v>Sulabh</v>
      </c>
      <c r="G21" s="15" t="str">
        <f>VLOOKUP(B21,Mapping!A:F,6,0)</f>
        <v>Satya</v>
      </c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4"/>
    </row>
    <row r="22" spans="1:20" x14ac:dyDescent="0.35">
      <c r="A22" s="15" t="s">
        <v>115</v>
      </c>
      <c r="B22" s="15" t="s">
        <v>35</v>
      </c>
      <c r="C22" s="15" t="str">
        <f>VLOOKUP(B22,Mapping!A:B,2,0)</f>
        <v>Lateral</v>
      </c>
      <c r="D22" s="15" t="str">
        <f>VLOOKUP(B22,Mapping!A:C,3,0)</f>
        <v>West</v>
      </c>
      <c r="E22" s="15" t="str">
        <f>VLOOKUP(B22,Mapping!A:D,4,0)</f>
        <v>West 1</v>
      </c>
      <c r="F22" s="15" t="str">
        <f>VLOOKUP(B22,Mapping!A:E,5,0)</f>
        <v>Anjli</v>
      </c>
      <c r="G22" s="15" t="str">
        <f>VLOOKUP(B22,Mapping!A:F,6,0)</f>
        <v>Alifia</v>
      </c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4"/>
    </row>
    <row r="23" spans="1:20" x14ac:dyDescent="0.35">
      <c r="A23" s="15" t="s">
        <v>115</v>
      </c>
      <c r="B23" s="15" t="s">
        <v>37</v>
      </c>
      <c r="C23" s="15" t="str">
        <f>VLOOKUP(B23,Mapping!A:B,2,0)</f>
        <v>Lateral</v>
      </c>
      <c r="D23" s="15" t="str">
        <f>VLOOKUP(B23,Mapping!A:C,3,0)</f>
        <v>South</v>
      </c>
      <c r="E23" s="15" t="str">
        <f>VLOOKUP(B23,Mapping!A:D,4,0)</f>
        <v>South 2</v>
      </c>
      <c r="F23" s="15" t="str">
        <f>VLOOKUP(B23,Mapping!A:E,5,0)</f>
        <v>Sulabh</v>
      </c>
      <c r="G23" s="15" t="str">
        <f>VLOOKUP(B23,Mapping!A:F,6,0)</f>
        <v>Subu</v>
      </c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4"/>
    </row>
    <row r="24" spans="1:20" x14ac:dyDescent="0.35">
      <c r="A24" s="15" t="s">
        <v>115</v>
      </c>
      <c r="B24" s="15" t="s">
        <v>38</v>
      </c>
      <c r="C24" s="15" t="str">
        <f>VLOOKUP(B24,Mapping!A:B,2,0)</f>
        <v>Lateral</v>
      </c>
      <c r="D24" s="15" t="str">
        <f>VLOOKUP(B24,Mapping!A:C,3,0)</f>
        <v>North</v>
      </c>
      <c r="E24" s="15" t="str">
        <f>VLOOKUP(B24,Mapping!A:D,4,0)</f>
        <v>North</v>
      </c>
      <c r="F24" s="15" t="str">
        <f>VLOOKUP(B24,Mapping!A:E,5,0)</f>
        <v>Anjli</v>
      </c>
      <c r="G24" s="15" t="str">
        <f>VLOOKUP(B24,Mapping!A:F,6,0)</f>
        <v>Archana</v>
      </c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4"/>
    </row>
    <row r="25" spans="1:20" x14ac:dyDescent="0.35">
      <c r="A25" s="15" t="s">
        <v>115</v>
      </c>
      <c r="B25" s="15" t="s">
        <v>39</v>
      </c>
      <c r="C25" s="15" t="str">
        <f>VLOOKUP(B25,Mapping!A:B,2,0)</f>
        <v>Lateral</v>
      </c>
      <c r="D25" s="15" t="str">
        <f>VLOOKUP(B25,Mapping!A:C,3,0)</f>
        <v>South</v>
      </c>
      <c r="E25" s="15" t="str">
        <f>VLOOKUP(B25,Mapping!A:D,4,0)</f>
        <v>South 2</v>
      </c>
      <c r="F25" s="15" t="str">
        <f>VLOOKUP(B25,Mapping!A:E,5,0)</f>
        <v>Sulabh</v>
      </c>
      <c r="G25" s="15" t="str">
        <f>VLOOKUP(B25,Mapping!A:F,6,0)</f>
        <v>Krishna</v>
      </c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4"/>
    </row>
    <row r="26" spans="1:20" x14ac:dyDescent="0.35">
      <c r="A26" s="15" t="s">
        <v>115</v>
      </c>
      <c r="B26" s="15" t="s">
        <v>40</v>
      </c>
      <c r="C26" s="15" t="str">
        <f>VLOOKUP(B26,Mapping!A:B,2,0)</f>
        <v>Lateral</v>
      </c>
      <c r="D26" s="15" t="str">
        <f>VLOOKUP(B26,Mapping!A:C,3,0)</f>
        <v>West</v>
      </c>
      <c r="E26" s="15" t="str">
        <f>VLOOKUP(B26,Mapping!A:D,4,0)</f>
        <v>West 2</v>
      </c>
      <c r="F26" s="15" t="str">
        <f>VLOOKUP(B26,Mapping!A:E,5,0)</f>
        <v>Anjli</v>
      </c>
      <c r="G26" s="15" t="str">
        <f>VLOOKUP(B26,Mapping!A:F,6,0)</f>
        <v>Shweta</v>
      </c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4"/>
    </row>
    <row r="27" spans="1:20" x14ac:dyDescent="0.35">
      <c r="A27" s="15" t="s">
        <v>115</v>
      </c>
      <c r="B27" s="15" t="s">
        <v>41</v>
      </c>
      <c r="C27" s="15" t="str">
        <f>VLOOKUP(B27,Mapping!A:B,2,0)</f>
        <v>Lateral</v>
      </c>
      <c r="D27" s="15" t="str">
        <f>VLOOKUP(B27,Mapping!A:C,3,0)</f>
        <v>South</v>
      </c>
      <c r="E27" s="15" t="str">
        <f>VLOOKUP(B27,Mapping!A:D,4,0)</f>
        <v>South 2</v>
      </c>
      <c r="F27" s="15" t="str">
        <f>VLOOKUP(B27,Mapping!A:E,5,0)</f>
        <v>Sulabh</v>
      </c>
      <c r="G27" s="15" t="str">
        <f>VLOOKUP(B27,Mapping!A:F,6,0)</f>
        <v>Krishna</v>
      </c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4"/>
    </row>
    <row r="28" spans="1:20" x14ac:dyDescent="0.35">
      <c r="A28" s="15" t="s">
        <v>115</v>
      </c>
      <c r="B28" s="15" t="s">
        <v>42</v>
      </c>
      <c r="C28" s="15" t="str">
        <f>VLOOKUP(B28,Mapping!A:B,2,0)</f>
        <v>Lateral</v>
      </c>
      <c r="D28" s="15" t="str">
        <f>VLOOKUP(B28,Mapping!A:C,3,0)</f>
        <v>North</v>
      </c>
      <c r="E28" s="15" t="str">
        <f>VLOOKUP(B28,Mapping!A:D,4,0)</f>
        <v>North</v>
      </c>
      <c r="F28" s="15" t="str">
        <f>VLOOKUP(B28,Mapping!A:E,5,0)</f>
        <v>Anjli</v>
      </c>
      <c r="G28" s="15" t="str">
        <f>VLOOKUP(B28,Mapping!A:F,6,0)</f>
        <v>Archana</v>
      </c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4"/>
    </row>
    <row r="29" spans="1:20" x14ac:dyDescent="0.35">
      <c r="A29" s="15" t="s">
        <v>115</v>
      </c>
      <c r="B29" s="15" t="s">
        <v>43</v>
      </c>
      <c r="C29" s="15" t="str">
        <f>VLOOKUP(B29,Mapping!A:B,2,0)</f>
        <v>Lateral</v>
      </c>
      <c r="D29" s="15" t="str">
        <f>VLOOKUP(B29,Mapping!A:C,3,0)</f>
        <v>West</v>
      </c>
      <c r="E29" s="15" t="str">
        <f>VLOOKUP(B29,Mapping!A:D,4,0)</f>
        <v>West 2</v>
      </c>
      <c r="F29" s="15" t="str">
        <f>VLOOKUP(B29,Mapping!A:E,5,0)</f>
        <v>Anjli</v>
      </c>
      <c r="G29" s="15" t="str">
        <f>VLOOKUP(B29,Mapping!A:F,6,0)</f>
        <v>Shweta</v>
      </c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4"/>
    </row>
    <row r="30" spans="1:20" x14ac:dyDescent="0.35">
      <c r="A30" s="15" t="s">
        <v>115</v>
      </c>
      <c r="B30" s="15" t="s">
        <v>44</v>
      </c>
      <c r="C30" s="15" t="str">
        <f>VLOOKUP(B30,Mapping!A:B,2,0)</f>
        <v>Lateral</v>
      </c>
      <c r="D30" s="15" t="str">
        <f>VLOOKUP(B30,Mapping!A:C,3,0)</f>
        <v>North</v>
      </c>
      <c r="E30" s="15" t="str">
        <f>VLOOKUP(B30,Mapping!A:D,4,0)</f>
        <v>North</v>
      </c>
      <c r="F30" s="15" t="str">
        <f>VLOOKUP(B30,Mapping!A:E,5,0)</f>
        <v>Anjli</v>
      </c>
      <c r="G30" s="15" t="str">
        <f>VLOOKUP(B30,Mapping!A:F,6,0)</f>
        <v>Archana</v>
      </c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4"/>
    </row>
    <row r="31" spans="1:20" x14ac:dyDescent="0.35">
      <c r="A31" s="15" t="s">
        <v>115</v>
      </c>
      <c r="B31" s="15" t="s">
        <v>45</v>
      </c>
      <c r="C31" s="15" t="str">
        <f>VLOOKUP(B31,Mapping!A:B,2,0)</f>
        <v>Lateral</v>
      </c>
      <c r="D31" s="15" t="str">
        <f>VLOOKUP(B31,Mapping!A:C,3,0)</f>
        <v>South</v>
      </c>
      <c r="E31" s="15" t="str">
        <f>VLOOKUP(B31,Mapping!A:D,4,0)</f>
        <v>South 2</v>
      </c>
      <c r="F31" s="15" t="str">
        <f>VLOOKUP(B31,Mapping!A:E,5,0)</f>
        <v>Sulabh</v>
      </c>
      <c r="G31" s="15" t="str">
        <f>VLOOKUP(B31,Mapping!A:F,6,0)</f>
        <v>Krishna</v>
      </c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4"/>
    </row>
    <row r="32" spans="1:20" x14ac:dyDescent="0.35">
      <c r="A32" s="15" t="s">
        <v>115</v>
      </c>
      <c r="B32" s="15" t="s">
        <v>46</v>
      </c>
      <c r="C32" s="15" t="str">
        <f>VLOOKUP(B32,Mapping!A:B,2,0)</f>
        <v>Lateral</v>
      </c>
      <c r="D32" s="15" t="str">
        <f>VLOOKUP(B32,Mapping!A:C,3,0)</f>
        <v>West</v>
      </c>
      <c r="E32" s="15" t="str">
        <f>VLOOKUP(B32,Mapping!A:D,4,0)</f>
        <v>West 1</v>
      </c>
      <c r="F32" s="15" t="str">
        <f>VLOOKUP(B32,Mapping!A:E,5,0)</f>
        <v>Anjli</v>
      </c>
      <c r="G32" s="15" t="str">
        <f>VLOOKUP(B32,Mapping!A:F,6,0)</f>
        <v>Geetu</v>
      </c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4"/>
    </row>
    <row r="33" spans="1:20" x14ac:dyDescent="0.35">
      <c r="A33" s="15" t="s">
        <v>115</v>
      </c>
      <c r="B33" s="15" t="s">
        <v>47</v>
      </c>
      <c r="C33" s="15" t="str">
        <f>VLOOKUP(B33,Mapping!A:B,2,0)</f>
        <v>Lateral</v>
      </c>
      <c r="D33" s="15" t="str">
        <f>VLOOKUP(B33,Mapping!A:C,3,0)</f>
        <v>West</v>
      </c>
      <c r="E33" s="15" t="str">
        <f>VLOOKUP(B33,Mapping!A:D,4,0)</f>
        <v>West 1</v>
      </c>
      <c r="F33" s="15" t="str">
        <f>VLOOKUP(B33,Mapping!A:E,5,0)</f>
        <v>Anjli</v>
      </c>
      <c r="G33" s="15" t="str">
        <f>VLOOKUP(B33,Mapping!A:F,6,0)</f>
        <v>Geetu</v>
      </c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4"/>
    </row>
    <row r="34" spans="1:20" x14ac:dyDescent="0.35">
      <c r="A34" s="15" t="s">
        <v>115</v>
      </c>
      <c r="B34" s="15" t="s">
        <v>48</v>
      </c>
      <c r="C34" s="15" t="str">
        <f>VLOOKUP(B34,Mapping!A:B,2,0)</f>
        <v>Lateral</v>
      </c>
      <c r="D34" s="15" t="str">
        <f>VLOOKUP(B34,Mapping!A:C,3,0)</f>
        <v>West</v>
      </c>
      <c r="E34" s="15" t="str">
        <f>VLOOKUP(B34,Mapping!A:D,4,0)</f>
        <v>West 1</v>
      </c>
      <c r="F34" s="15" t="str">
        <f>VLOOKUP(B34,Mapping!A:E,5,0)</f>
        <v>Anjli</v>
      </c>
      <c r="G34" s="15" t="str">
        <f>VLOOKUP(B34,Mapping!A:F,6,0)</f>
        <v>Geetu</v>
      </c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4"/>
    </row>
    <row r="35" spans="1:20" x14ac:dyDescent="0.35">
      <c r="A35" s="15" t="s">
        <v>115</v>
      </c>
      <c r="B35" s="15" t="s">
        <v>49</v>
      </c>
      <c r="C35" s="15" t="str">
        <f>VLOOKUP(B35,Mapping!A:B,2,0)</f>
        <v>Lateral</v>
      </c>
      <c r="D35" s="15" t="str">
        <f>VLOOKUP(B35,Mapping!A:C,3,0)</f>
        <v>North</v>
      </c>
      <c r="E35" s="15" t="str">
        <f>VLOOKUP(B35,Mapping!A:D,4,0)</f>
        <v>North</v>
      </c>
      <c r="F35" s="15" t="str">
        <f>VLOOKUP(B35,Mapping!A:E,5,0)</f>
        <v>Anjli</v>
      </c>
      <c r="G35" s="15" t="str">
        <f>VLOOKUP(B35,Mapping!A:F,6,0)</f>
        <v>Archana</v>
      </c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4"/>
    </row>
    <row r="36" spans="1:20" x14ac:dyDescent="0.35">
      <c r="A36" s="15" t="s">
        <v>115</v>
      </c>
      <c r="B36" s="15" t="s">
        <v>50</v>
      </c>
      <c r="C36" s="15" t="str">
        <f>VLOOKUP(B36,Mapping!A:B,2,0)</f>
        <v>Lateral</v>
      </c>
      <c r="D36" s="15" t="str">
        <f>VLOOKUP(B36,Mapping!A:C,3,0)</f>
        <v>North</v>
      </c>
      <c r="E36" s="15" t="str">
        <f>VLOOKUP(B36,Mapping!A:D,4,0)</f>
        <v>North</v>
      </c>
      <c r="F36" s="15" t="str">
        <f>VLOOKUP(B36,Mapping!A:E,5,0)</f>
        <v>Anjli</v>
      </c>
      <c r="G36" s="15" t="str">
        <f>VLOOKUP(B36,Mapping!A:F,6,0)</f>
        <v>Archana</v>
      </c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4"/>
    </row>
    <row r="37" spans="1:20" x14ac:dyDescent="0.35">
      <c r="A37" s="15" t="s">
        <v>115</v>
      </c>
      <c r="B37" s="15" t="s">
        <v>51</v>
      </c>
      <c r="C37" s="15" t="str">
        <f>VLOOKUP(B37,Mapping!A:B,2,0)</f>
        <v>Lateral</v>
      </c>
      <c r="D37" s="15" t="str">
        <f>VLOOKUP(B37,Mapping!A:C,3,0)</f>
        <v>West</v>
      </c>
      <c r="E37" s="15" t="str">
        <f>VLOOKUP(B37,Mapping!A:D,4,0)</f>
        <v>West 1</v>
      </c>
      <c r="F37" s="15" t="str">
        <f>VLOOKUP(B37,Mapping!A:E,5,0)</f>
        <v>Anjli</v>
      </c>
      <c r="G37" s="15" t="str">
        <f>VLOOKUP(B37,Mapping!A:F,6,0)</f>
        <v>Geetu</v>
      </c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4"/>
    </row>
    <row r="38" spans="1:20" x14ac:dyDescent="0.35">
      <c r="A38" s="15" t="s">
        <v>115</v>
      </c>
      <c r="B38" s="15" t="s">
        <v>52</v>
      </c>
      <c r="C38" s="15" t="str">
        <f>VLOOKUP(B38,Mapping!A:B,2,0)</f>
        <v>Lateral</v>
      </c>
      <c r="D38" s="15" t="str">
        <f>VLOOKUP(B38,Mapping!A:C,3,0)</f>
        <v>West</v>
      </c>
      <c r="E38" s="15" t="str">
        <f>VLOOKUP(B38,Mapping!A:D,4,0)</f>
        <v>West 2</v>
      </c>
      <c r="F38" s="15" t="str">
        <f>VLOOKUP(B38,Mapping!A:E,5,0)</f>
        <v>Anjli</v>
      </c>
      <c r="G38" s="15" t="str">
        <f>VLOOKUP(B38,Mapping!A:F,6,0)</f>
        <v>Shweta</v>
      </c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4"/>
    </row>
    <row r="39" spans="1:20" x14ac:dyDescent="0.35">
      <c r="A39" s="15" t="s">
        <v>115</v>
      </c>
      <c r="B39" s="15" t="s">
        <v>53</v>
      </c>
      <c r="C39" s="15" t="str">
        <f>VLOOKUP(B39,Mapping!A:B,2,0)</f>
        <v>Lateral</v>
      </c>
      <c r="D39" s="15" t="str">
        <f>VLOOKUP(B39,Mapping!A:C,3,0)</f>
        <v>West</v>
      </c>
      <c r="E39" s="15" t="str">
        <f>VLOOKUP(B39,Mapping!A:D,4,0)</f>
        <v>West 1</v>
      </c>
      <c r="F39" s="15" t="str">
        <f>VLOOKUP(B39,Mapping!A:E,5,0)</f>
        <v>Anjli</v>
      </c>
      <c r="G39" s="15" t="str">
        <f>VLOOKUP(B39,Mapping!A:F,6,0)</f>
        <v>Ankit</v>
      </c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4"/>
    </row>
    <row r="40" spans="1:20" x14ac:dyDescent="0.35">
      <c r="A40" s="15" t="s">
        <v>115</v>
      </c>
      <c r="B40" s="15" t="s">
        <v>55</v>
      </c>
      <c r="C40" s="15" t="str">
        <f>VLOOKUP(B40,Mapping!A:B,2,0)</f>
        <v>Lateral</v>
      </c>
      <c r="D40" s="15" t="str">
        <f>VLOOKUP(B40,Mapping!A:C,3,0)</f>
        <v>South</v>
      </c>
      <c r="E40" s="15" t="str">
        <f>VLOOKUP(B40,Mapping!A:D,4,0)</f>
        <v>South 2</v>
      </c>
      <c r="F40" s="15" t="str">
        <f>VLOOKUP(B40,Mapping!A:E,5,0)</f>
        <v>Sulabh</v>
      </c>
      <c r="G40" s="15" t="str">
        <f>VLOOKUP(B40,Mapping!A:F,6,0)</f>
        <v>Krishna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4"/>
    </row>
    <row r="41" spans="1:20" x14ac:dyDescent="0.35">
      <c r="A41" s="15" t="s">
        <v>115</v>
      </c>
      <c r="B41" s="15" t="s">
        <v>56</v>
      </c>
      <c r="C41" s="15" t="str">
        <f>VLOOKUP(B41,Mapping!A:B,2,0)</f>
        <v>Lateral</v>
      </c>
      <c r="D41" s="15" t="str">
        <f>VLOOKUP(B41,Mapping!A:C,3,0)</f>
        <v>North</v>
      </c>
      <c r="E41" s="15" t="str">
        <f>VLOOKUP(B41,Mapping!A:D,4,0)</f>
        <v>North</v>
      </c>
      <c r="F41" s="15" t="str">
        <f>VLOOKUP(B41,Mapping!A:E,5,0)</f>
        <v>Anjli</v>
      </c>
      <c r="G41" s="15" t="str">
        <f>VLOOKUP(B41,Mapping!A:F,6,0)</f>
        <v>Archana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4"/>
    </row>
    <row r="42" spans="1:20" x14ac:dyDescent="0.35">
      <c r="A42" s="15" t="s">
        <v>115</v>
      </c>
      <c r="B42" s="15" t="s">
        <v>57</v>
      </c>
      <c r="C42" s="15" t="str">
        <f>VLOOKUP(B42,Mapping!A:B,2,0)</f>
        <v>Lateral</v>
      </c>
      <c r="D42" s="15" t="str">
        <f>VLOOKUP(B42,Mapping!A:C,3,0)</f>
        <v>South</v>
      </c>
      <c r="E42" s="15" t="str">
        <f>VLOOKUP(B42,Mapping!A:D,4,0)</f>
        <v>South 2</v>
      </c>
      <c r="F42" s="15" t="str">
        <f>VLOOKUP(B42,Mapping!A:E,5,0)</f>
        <v>Sulabh</v>
      </c>
      <c r="G42" s="15" t="str">
        <f>VLOOKUP(B42,Mapping!A:F,6,0)</f>
        <v>Krishna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4"/>
    </row>
    <row r="43" spans="1:20" x14ac:dyDescent="0.35">
      <c r="A43" s="15" t="s">
        <v>115</v>
      </c>
      <c r="B43" s="15" t="s">
        <v>58</v>
      </c>
      <c r="C43" s="15" t="str">
        <f>VLOOKUP(B43,Mapping!A:B,2,0)</f>
        <v>Lateral</v>
      </c>
      <c r="D43" s="15" t="str">
        <f>VLOOKUP(B43,Mapping!A:C,3,0)</f>
        <v>West</v>
      </c>
      <c r="E43" s="15" t="str">
        <f>VLOOKUP(B43,Mapping!A:D,4,0)</f>
        <v>West 1</v>
      </c>
      <c r="F43" s="15" t="str">
        <f>VLOOKUP(B43,Mapping!A:E,5,0)</f>
        <v>Anjli</v>
      </c>
      <c r="G43" s="15" t="str">
        <f>VLOOKUP(B43,Mapping!A:F,6,0)</f>
        <v>Elton</v>
      </c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4"/>
    </row>
    <row r="44" spans="1:20" x14ac:dyDescent="0.35">
      <c r="A44" s="15" t="s">
        <v>115</v>
      </c>
      <c r="B44" s="15" t="s">
        <v>60</v>
      </c>
      <c r="C44" s="15" t="str">
        <f>VLOOKUP(B44,Mapping!A:B,2,0)</f>
        <v>Lateral</v>
      </c>
      <c r="D44" s="15" t="str">
        <f>VLOOKUP(B44,Mapping!A:C,3,0)</f>
        <v>West</v>
      </c>
      <c r="E44" s="15" t="str">
        <f>VLOOKUP(B44,Mapping!A:D,4,0)</f>
        <v>West 2</v>
      </c>
      <c r="F44" s="15" t="str">
        <f>VLOOKUP(B44,Mapping!A:E,5,0)</f>
        <v>Anjli</v>
      </c>
      <c r="G44" s="15" t="str">
        <f>VLOOKUP(B44,Mapping!A:F,6,0)</f>
        <v>Shweta</v>
      </c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4"/>
    </row>
    <row r="45" spans="1:20" x14ac:dyDescent="0.35">
      <c r="A45" s="15" t="s">
        <v>115</v>
      </c>
      <c r="B45" s="15" t="s">
        <v>61</v>
      </c>
      <c r="C45" s="15" t="str">
        <f>VLOOKUP(B45,Mapping!A:B,2,0)</f>
        <v>Lateral</v>
      </c>
      <c r="D45" s="15" t="str">
        <f>VLOOKUP(B45,Mapping!A:C,3,0)</f>
        <v>West</v>
      </c>
      <c r="E45" s="15" t="str">
        <f>VLOOKUP(B45,Mapping!A:D,4,0)</f>
        <v>West 1</v>
      </c>
      <c r="F45" s="15" t="str">
        <f>VLOOKUP(B45,Mapping!A:E,5,0)</f>
        <v>Anjli</v>
      </c>
      <c r="G45" s="15" t="str">
        <f>VLOOKUP(B45,Mapping!A:F,6,0)</f>
        <v>Elton</v>
      </c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4"/>
    </row>
    <row r="46" spans="1:20" x14ac:dyDescent="0.35">
      <c r="A46" s="15" t="s">
        <v>115</v>
      </c>
      <c r="B46" s="15" t="s">
        <v>62</v>
      </c>
      <c r="C46" s="15" t="str">
        <f>VLOOKUP(B46,Mapping!A:B,2,0)</f>
        <v>Lateral</v>
      </c>
      <c r="D46" s="15" t="str">
        <f>VLOOKUP(B46,Mapping!A:C,3,0)</f>
        <v>South</v>
      </c>
      <c r="E46" s="15" t="str">
        <f>VLOOKUP(B46,Mapping!A:D,4,0)</f>
        <v>South 2</v>
      </c>
      <c r="F46" s="15" t="str">
        <f>VLOOKUP(B46,Mapping!A:E,5,0)</f>
        <v>Sulabh</v>
      </c>
      <c r="G46" s="15" t="str">
        <f>VLOOKUP(B46,Mapping!A:F,6,0)</f>
        <v>Subu</v>
      </c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4"/>
    </row>
    <row r="47" spans="1:20" x14ac:dyDescent="0.35">
      <c r="A47" s="15" t="s">
        <v>115</v>
      </c>
      <c r="B47" s="15" t="s">
        <v>63</v>
      </c>
      <c r="C47" s="15" t="str">
        <f>VLOOKUP(B47,Mapping!A:B,2,0)</f>
        <v>Lateral</v>
      </c>
      <c r="D47" s="15" t="str">
        <f>VLOOKUP(B47,Mapping!A:C,3,0)</f>
        <v>West</v>
      </c>
      <c r="E47" s="15" t="str">
        <f>VLOOKUP(B47,Mapping!A:D,4,0)</f>
        <v>West 1</v>
      </c>
      <c r="F47" s="15" t="str">
        <f>VLOOKUP(B47,Mapping!A:E,5,0)</f>
        <v>Anjli</v>
      </c>
      <c r="G47" s="15" t="str">
        <f>VLOOKUP(B47,Mapping!A:F,6,0)</f>
        <v>Elton</v>
      </c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4"/>
    </row>
    <row r="48" spans="1:20" x14ac:dyDescent="0.35">
      <c r="A48" s="15" t="s">
        <v>115</v>
      </c>
      <c r="B48" s="15" t="s">
        <v>64</v>
      </c>
      <c r="C48" s="15" t="str">
        <f>VLOOKUP(B48,Mapping!A:B,2,0)</f>
        <v>Lateral</v>
      </c>
      <c r="D48" s="15" t="str">
        <f>VLOOKUP(B48,Mapping!A:C,3,0)</f>
        <v>South</v>
      </c>
      <c r="E48" s="15" t="str">
        <f>VLOOKUP(B48,Mapping!A:D,4,0)</f>
        <v>South 2</v>
      </c>
      <c r="F48" s="15" t="str">
        <f>VLOOKUP(B48,Mapping!A:E,5,0)</f>
        <v>Sulabh</v>
      </c>
      <c r="G48" s="15" t="str">
        <f>VLOOKUP(B48,Mapping!A:F,6,0)</f>
        <v>Sulabh</v>
      </c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4"/>
    </row>
    <row r="49" spans="1:20" x14ac:dyDescent="0.35">
      <c r="A49" s="15" t="s">
        <v>115</v>
      </c>
      <c r="B49" s="15" t="s">
        <v>65</v>
      </c>
      <c r="C49" s="15" t="str">
        <f>VLOOKUP(B49,Mapping!A:B,2,0)</f>
        <v>Lateral</v>
      </c>
      <c r="D49" s="15" t="str">
        <f>VLOOKUP(B49,Mapping!A:C,3,0)</f>
        <v>South</v>
      </c>
      <c r="E49" s="15" t="str">
        <f>VLOOKUP(B49,Mapping!A:D,4,0)</f>
        <v>South 2</v>
      </c>
      <c r="F49" s="15" t="str">
        <f>VLOOKUP(B49,Mapping!A:E,5,0)</f>
        <v>Sulabh</v>
      </c>
      <c r="G49" s="15" t="str">
        <f>VLOOKUP(B49,Mapping!A:F,6,0)</f>
        <v>Sulabh</v>
      </c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4"/>
    </row>
    <row r="50" spans="1:20" x14ac:dyDescent="0.35">
      <c r="A50" s="15" t="s">
        <v>115</v>
      </c>
      <c r="B50" s="15" t="s">
        <v>66</v>
      </c>
      <c r="C50" s="15" t="str">
        <f>VLOOKUP(B50,Mapping!A:B,2,0)</f>
        <v>Lateral</v>
      </c>
      <c r="D50" s="15" t="str">
        <f>VLOOKUP(B50,Mapping!A:C,3,0)</f>
        <v>South</v>
      </c>
      <c r="E50" s="15" t="str">
        <f>VLOOKUP(B50,Mapping!A:D,4,0)</f>
        <v>South 2</v>
      </c>
      <c r="F50" s="15" t="str">
        <f>VLOOKUP(B50,Mapping!A:E,5,0)</f>
        <v>Sulabh</v>
      </c>
      <c r="G50" s="15" t="str">
        <f>VLOOKUP(B50,Mapping!A:F,6,0)</f>
        <v>Abhilash</v>
      </c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4"/>
    </row>
    <row r="51" spans="1:20" x14ac:dyDescent="0.35">
      <c r="A51" s="15" t="s">
        <v>115</v>
      </c>
      <c r="B51" s="15" t="s">
        <v>68</v>
      </c>
      <c r="C51" s="15" t="str">
        <f>VLOOKUP(B51,Mapping!A:B,2,0)</f>
        <v>Lateral</v>
      </c>
      <c r="D51" s="15" t="str">
        <f>VLOOKUP(B51,Mapping!A:C,3,0)</f>
        <v>West</v>
      </c>
      <c r="E51" s="15" t="str">
        <f>VLOOKUP(B51,Mapping!A:D,4,0)</f>
        <v>West 1</v>
      </c>
      <c r="F51" s="15" t="str">
        <f>VLOOKUP(B51,Mapping!A:E,5,0)</f>
        <v>Anjli</v>
      </c>
      <c r="G51" s="15" t="str">
        <f>VLOOKUP(B51,Mapping!A:F,6,0)</f>
        <v>Elton</v>
      </c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4"/>
    </row>
    <row r="52" spans="1:20" x14ac:dyDescent="0.35">
      <c r="A52" s="15" t="s">
        <v>115</v>
      </c>
      <c r="B52" s="15" t="s">
        <v>69</v>
      </c>
      <c r="C52" s="15" t="str">
        <f>VLOOKUP(B52,Mapping!A:B,2,0)</f>
        <v>Leadership</v>
      </c>
      <c r="D52" s="15" t="str">
        <f>VLOOKUP(B52,Mapping!A:C,3,0)</f>
        <v>South</v>
      </c>
      <c r="E52" s="15" t="str">
        <f>VLOOKUP(B52,Mapping!A:D,4,0)</f>
        <v>South 1</v>
      </c>
      <c r="F52" s="15" t="str">
        <f>VLOOKUP(B52,Mapping!A:E,5,0)</f>
        <v>Bapi</v>
      </c>
      <c r="G52" s="15" t="str">
        <f>VLOOKUP(B52,Mapping!A:F,6,0)</f>
        <v>Parul</v>
      </c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4"/>
    </row>
    <row r="53" spans="1:20" x14ac:dyDescent="0.35">
      <c r="A53" s="15" t="s">
        <v>115</v>
      </c>
      <c r="B53" s="15" t="s">
        <v>71</v>
      </c>
      <c r="C53" s="15" t="str">
        <f>VLOOKUP(B53,Mapping!A:B,2,0)</f>
        <v>Leadership</v>
      </c>
      <c r="D53" s="15" t="str">
        <f>VLOOKUP(B53,Mapping!A:C,3,0)</f>
        <v>South</v>
      </c>
      <c r="E53" s="15" t="str">
        <f>VLOOKUP(B53,Mapping!A:D,4,0)</f>
        <v>South 2</v>
      </c>
      <c r="F53" s="15" t="str">
        <f>VLOOKUP(B53,Mapping!A:E,5,0)</f>
        <v>Sulabh</v>
      </c>
      <c r="G53" s="15" t="str">
        <f>VLOOKUP(B53,Mapping!A:F,6,0)</f>
        <v>Parul</v>
      </c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4"/>
    </row>
    <row r="54" spans="1:20" x14ac:dyDescent="0.35">
      <c r="A54" s="15" t="s">
        <v>115</v>
      </c>
      <c r="B54" s="15" t="s">
        <v>72</v>
      </c>
      <c r="C54" s="15" t="str">
        <f>VLOOKUP(B54,Mapping!A:B,2,0)</f>
        <v>Leadership</v>
      </c>
      <c r="D54" s="15" t="str">
        <f>VLOOKUP(B54,Mapping!A:C,3,0)</f>
        <v>West</v>
      </c>
      <c r="E54" s="15" t="str">
        <f>VLOOKUP(B54,Mapping!A:D,4,0)</f>
        <v>West 2</v>
      </c>
      <c r="F54" s="15" t="str">
        <f>VLOOKUP(B54,Mapping!A:E,5,0)</f>
        <v>Anjli</v>
      </c>
      <c r="G54" s="15" t="str">
        <f>VLOOKUP(B54,Mapping!A:F,6,0)</f>
        <v>Parul</v>
      </c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4"/>
    </row>
    <row r="55" spans="1:20" x14ac:dyDescent="0.35">
      <c r="A55" s="15" t="s">
        <v>115</v>
      </c>
      <c r="B55" s="15" t="s">
        <v>73</v>
      </c>
      <c r="C55" s="15" t="str">
        <f>VLOOKUP(B55,Mapping!A:B,2,0)</f>
        <v>Leadership</v>
      </c>
      <c r="D55" s="15" t="str">
        <f>VLOOKUP(B55,Mapping!A:C,3,0)</f>
        <v>West</v>
      </c>
      <c r="E55" s="15" t="str">
        <f>VLOOKUP(B55,Mapping!A:D,4,0)</f>
        <v>West 1</v>
      </c>
      <c r="F55" s="15" t="str">
        <f>VLOOKUP(B55,Mapping!A:E,5,0)</f>
        <v>Anjli</v>
      </c>
      <c r="G55" s="15" t="str">
        <f>VLOOKUP(B55,Mapping!A:F,6,0)</f>
        <v>Parul</v>
      </c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4"/>
    </row>
    <row r="56" spans="1:20" x14ac:dyDescent="0.35">
      <c r="A56" s="15" t="s">
        <v>115</v>
      </c>
      <c r="B56" s="15" t="s">
        <v>74</v>
      </c>
      <c r="C56" s="15" t="str">
        <f>VLOOKUP(B56,Mapping!A:B,2,0)</f>
        <v>Leadership</v>
      </c>
      <c r="D56" s="15" t="str">
        <f>VLOOKUP(B56,Mapping!A:C,3,0)</f>
        <v>West</v>
      </c>
      <c r="E56" s="15" t="str">
        <f>VLOOKUP(B56,Mapping!A:D,4,0)</f>
        <v>West 1</v>
      </c>
      <c r="F56" s="15" t="str">
        <f>VLOOKUP(B56,Mapping!A:E,5,0)</f>
        <v>Anjli</v>
      </c>
      <c r="G56" s="15" t="str">
        <f>VLOOKUP(B56,Mapping!A:F,6,0)</f>
        <v>Parul</v>
      </c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4"/>
    </row>
    <row r="57" spans="1:20" x14ac:dyDescent="0.35">
      <c r="A57" s="15" t="s">
        <v>115</v>
      </c>
      <c r="B57" s="15" t="s">
        <v>75</v>
      </c>
      <c r="C57" s="15" t="str">
        <f>VLOOKUP(B57,Mapping!A:B,2,0)</f>
        <v>Leadership</v>
      </c>
      <c r="D57" s="15" t="str">
        <f>VLOOKUP(B57,Mapping!A:C,3,0)</f>
        <v>South</v>
      </c>
      <c r="E57" s="15" t="str">
        <f>VLOOKUP(B57,Mapping!A:D,4,0)</f>
        <v>South 2</v>
      </c>
      <c r="F57" s="15" t="str">
        <f>VLOOKUP(B57,Mapping!A:E,5,0)</f>
        <v>Sulabh</v>
      </c>
      <c r="G57" s="15" t="str">
        <f>VLOOKUP(B57,Mapping!A:F,6,0)</f>
        <v>Parul</v>
      </c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4"/>
    </row>
    <row r="58" spans="1:20" x14ac:dyDescent="0.35">
      <c r="A58" s="15" t="s">
        <v>115</v>
      </c>
      <c r="B58" s="15" t="s">
        <v>76</v>
      </c>
      <c r="C58" s="15" t="str">
        <f>VLOOKUP(B58,Mapping!A:B,2,0)</f>
        <v>Leadership</v>
      </c>
      <c r="D58" s="15" t="str">
        <f>VLOOKUP(B58,Mapping!A:C,3,0)</f>
        <v>South</v>
      </c>
      <c r="E58" s="15" t="str">
        <f>VLOOKUP(B58,Mapping!A:D,4,0)</f>
        <v>South 2</v>
      </c>
      <c r="F58" s="15" t="str">
        <f>VLOOKUP(B58,Mapping!A:E,5,0)</f>
        <v>Sulabh</v>
      </c>
      <c r="G58" s="15" t="str">
        <f>VLOOKUP(B58,Mapping!A:F,6,0)</f>
        <v>Parul</v>
      </c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4"/>
    </row>
    <row r="59" spans="1:20" x14ac:dyDescent="0.35">
      <c r="A59" s="15" t="s">
        <v>115</v>
      </c>
      <c r="B59" s="15" t="s">
        <v>77</v>
      </c>
      <c r="C59" s="15" t="str">
        <f>VLOOKUP(B59,Mapping!A:B,2,0)</f>
        <v>Leadership</v>
      </c>
      <c r="D59" s="15" t="str">
        <f>VLOOKUP(B59,Mapping!A:C,3,0)</f>
        <v>North</v>
      </c>
      <c r="E59" s="15" t="str">
        <f>VLOOKUP(B59,Mapping!A:D,4,0)</f>
        <v>North</v>
      </c>
      <c r="F59" s="15" t="str">
        <f>VLOOKUP(B59,Mapping!A:E,5,0)</f>
        <v>Anjli</v>
      </c>
      <c r="G59" s="15" t="str">
        <f>VLOOKUP(B59,Mapping!A:F,6,0)</f>
        <v>Parul</v>
      </c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4"/>
    </row>
    <row r="60" spans="1:20" x14ac:dyDescent="0.35">
      <c r="A60" s="15" t="s">
        <v>115</v>
      </c>
      <c r="B60" s="15" t="s">
        <v>78</v>
      </c>
      <c r="C60" s="15" t="str">
        <f>VLOOKUP(B60,Mapping!A:B,2,0)</f>
        <v>Leadership</v>
      </c>
      <c r="D60" s="15" t="str">
        <f>VLOOKUP(B60,Mapping!A:C,3,0)</f>
        <v>West</v>
      </c>
      <c r="E60" s="15" t="str">
        <f>VLOOKUP(B60,Mapping!A:D,4,0)</f>
        <v>West 1</v>
      </c>
      <c r="F60" s="15" t="str">
        <f>VLOOKUP(B60,Mapping!A:E,5,0)</f>
        <v>Anjli</v>
      </c>
      <c r="G60" s="15" t="str">
        <f>VLOOKUP(B60,Mapping!A:F,6,0)</f>
        <v>Parul</v>
      </c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4"/>
    </row>
    <row r="61" spans="1:20" x14ac:dyDescent="0.35">
      <c r="A61" s="15" t="s">
        <v>115</v>
      </c>
      <c r="B61" s="15" t="s">
        <v>79</v>
      </c>
      <c r="C61" s="15" t="str">
        <f>VLOOKUP(B61,Mapping!A:B,2,0)</f>
        <v>Leadership</v>
      </c>
      <c r="D61" s="15" t="str">
        <f>VLOOKUP(B61,Mapping!A:C,3,0)</f>
        <v>West</v>
      </c>
      <c r="E61" s="15" t="str">
        <f>VLOOKUP(B61,Mapping!A:D,4,0)</f>
        <v>West 2</v>
      </c>
      <c r="F61" s="15" t="str">
        <f>VLOOKUP(B61,Mapping!A:E,5,0)</f>
        <v>Anjli</v>
      </c>
      <c r="G61" s="15" t="str">
        <f>VLOOKUP(B61,Mapping!A:F,6,0)</f>
        <v>Parul</v>
      </c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4"/>
    </row>
    <row r="62" spans="1:20" x14ac:dyDescent="0.35">
      <c r="A62" s="15" t="s">
        <v>115</v>
      </c>
      <c r="B62" s="15" t="s">
        <v>80</v>
      </c>
      <c r="C62" s="15" t="str">
        <f>VLOOKUP(B62,Mapping!A:B,2,0)</f>
        <v>Leadership</v>
      </c>
      <c r="D62" s="15" t="str">
        <f>VLOOKUP(B62,Mapping!A:C,3,0)</f>
        <v>North</v>
      </c>
      <c r="E62" s="15" t="str">
        <f>VLOOKUP(B62,Mapping!A:D,4,0)</f>
        <v>North</v>
      </c>
      <c r="F62" s="15" t="str">
        <f>VLOOKUP(B62,Mapping!A:E,5,0)</f>
        <v>Anjli</v>
      </c>
      <c r="G62" s="15" t="str">
        <f>VLOOKUP(B62,Mapping!A:F,6,0)</f>
        <v>Parul</v>
      </c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4"/>
    </row>
    <row r="63" spans="1:20" x14ac:dyDescent="0.35">
      <c r="A63" s="15" t="s">
        <v>115</v>
      </c>
      <c r="B63" s="15" t="s">
        <v>81</v>
      </c>
      <c r="C63" s="15" t="str">
        <f>VLOOKUP(B63,Mapping!A:B,2,0)</f>
        <v>Leadership</v>
      </c>
      <c r="D63" s="15" t="str">
        <f>VLOOKUP(B63,Mapping!A:C,3,0)</f>
        <v>North</v>
      </c>
      <c r="E63" s="15" t="str">
        <f>VLOOKUP(B63,Mapping!A:D,4,0)</f>
        <v>North</v>
      </c>
      <c r="F63" s="15" t="str">
        <f>VLOOKUP(B63,Mapping!A:E,5,0)</f>
        <v>Anjli</v>
      </c>
      <c r="G63" s="15" t="str">
        <f>VLOOKUP(B63,Mapping!A:F,6,0)</f>
        <v>Parul</v>
      </c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4"/>
    </row>
    <row r="64" spans="1:20" x14ac:dyDescent="0.35">
      <c r="A64" s="15" t="s">
        <v>115</v>
      </c>
      <c r="B64" s="15" t="s">
        <v>82</v>
      </c>
      <c r="C64" s="15" t="str">
        <f>VLOOKUP(B64,Mapping!A:B,2,0)</f>
        <v>Leadership</v>
      </c>
      <c r="D64" s="15" t="str">
        <f>VLOOKUP(B64,Mapping!A:C,3,0)</f>
        <v>West</v>
      </c>
      <c r="E64" s="15" t="str">
        <f>VLOOKUP(B64,Mapping!A:D,4,0)</f>
        <v>West 1</v>
      </c>
      <c r="F64" s="15" t="str">
        <f>VLOOKUP(B64,Mapping!A:E,5,0)</f>
        <v>Anjli</v>
      </c>
      <c r="G64" s="15" t="str">
        <f>VLOOKUP(B64,Mapping!A:F,6,0)</f>
        <v>Parul</v>
      </c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4"/>
    </row>
    <row r="65" spans="1:20" x14ac:dyDescent="0.35">
      <c r="A65" s="15" t="s">
        <v>115</v>
      </c>
      <c r="B65" s="15" t="s">
        <v>83</v>
      </c>
      <c r="C65" s="15" t="str">
        <f>VLOOKUP(B65,Mapping!A:B,2,0)</f>
        <v>Leadership</v>
      </c>
      <c r="D65" s="15" t="str">
        <f>VLOOKUP(B65,Mapping!A:C,3,0)</f>
        <v>North</v>
      </c>
      <c r="E65" s="15" t="str">
        <f>VLOOKUP(B65,Mapping!A:D,4,0)</f>
        <v>North</v>
      </c>
      <c r="F65" s="15" t="str">
        <f>VLOOKUP(B65,Mapping!A:E,5,0)</f>
        <v>Anjli</v>
      </c>
      <c r="G65" s="15" t="str">
        <f>VLOOKUP(B65,Mapping!A:F,6,0)</f>
        <v>Parul</v>
      </c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4"/>
    </row>
    <row r="66" spans="1:20" x14ac:dyDescent="0.35">
      <c r="A66" s="15" t="s">
        <v>115</v>
      </c>
      <c r="B66" s="15" t="s">
        <v>84</v>
      </c>
      <c r="C66" s="15" t="str">
        <f>VLOOKUP(B66,Mapping!A:B,2,0)</f>
        <v>Lateral</v>
      </c>
      <c r="D66" s="15" t="str">
        <f>VLOOKUP(B66,Mapping!A:C,3,0)</f>
        <v>South</v>
      </c>
      <c r="E66" s="15" t="str">
        <f>VLOOKUP(B66,Mapping!A:D,4,0)</f>
        <v>South 1</v>
      </c>
      <c r="F66" s="15" t="str">
        <f>VLOOKUP(B66,Mapping!A:E,5,0)</f>
        <v>Ashish</v>
      </c>
      <c r="G66" s="15" t="str">
        <f>VLOOKUP(B66,Mapping!A:F,6,0)</f>
        <v>Ashish</v>
      </c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4"/>
    </row>
    <row r="67" spans="1:20" x14ac:dyDescent="0.35">
      <c r="A67" s="15" t="s">
        <v>115</v>
      </c>
      <c r="B67" s="15" t="s">
        <v>86</v>
      </c>
      <c r="C67" s="15" t="str">
        <f>VLOOKUP(B67,Mapping!A:B,2,0)</f>
        <v>Lateral</v>
      </c>
      <c r="D67" s="15" t="str">
        <f>VLOOKUP(B67,Mapping!A:C,3,0)</f>
        <v>New Sales</v>
      </c>
      <c r="E67" s="15" t="str">
        <f>VLOOKUP(B67,Mapping!A:D,4,0)</f>
        <v>New Sales</v>
      </c>
      <c r="F67" s="15" t="str">
        <f>VLOOKUP(B67,Mapping!A:E,5,0)</f>
        <v>Nizar</v>
      </c>
      <c r="G67" s="15" t="str">
        <f>VLOOKUP(B67,Mapping!A:F,6,0)</f>
        <v>Nizar</v>
      </c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4"/>
    </row>
    <row r="68" spans="1:20" x14ac:dyDescent="0.35">
      <c r="A68" s="15" t="s">
        <v>115</v>
      </c>
      <c r="B68" s="15" t="s">
        <v>89</v>
      </c>
      <c r="C68" s="15" t="str">
        <f>VLOOKUP(B68,Mapping!A:B,2,0)</f>
        <v>Lateral</v>
      </c>
      <c r="D68" s="15" t="str">
        <f>VLOOKUP(B68,Mapping!A:C,3,0)</f>
        <v>North</v>
      </c>
      <c r="E68" s="15" t="str">
        <f>VLOOKUP(B68,Mapping!A:D,4,0)</f>
        <v>North</v>
      </c>
      <c r="F68" s="15" t="str">
        <f>VLOOKUP(B68,Mapping!A:E,5,0)</f>
        <v>Anjli</v>
      </c>
      <c r="G68" s="15" t="str">
        <f>VLOOKUP(B68,Mapping!A:F,6,0)</f>
        <v>Archana</v>
      </c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4"/>
    </row>
    <row r="69" spans="1:20" x14ac:dyDescent="0.35">
      <c r="A69" s="15" t="s">
        <v>115</v>
      </c>
      <c r="B69" s="15" t="s">
        <v>91</v>
      </c>
      <c r="C69" s="15" t="str">
        <f>VLOOKUP(B69,Mapping!A:B,2,0)</f>
        <v>Lateral</v>
      </c>
      <c r="D69" s="15" t="str">
        <f>VLOOKUP(B69,Mapping!A:C,3,0)</f>
        <v>North</v>
      </c>
      <c r="E69" s="15" t="str">
        <f>VLOOKUP(B69,Mapping!A:D,4,0)</f>
        <v>North</v>
      </c>
      <c r="F69" s="15" t="str">
        <f>VLOOKUP(B69,Mapping!A:E,5,0)</f>
        <v>Anjli</v>
      </c>
      <c r="G69" s="15" t="str">
        <f>VLOOKUP(B69,Mapping!A:F,6,0)</f>
        <v>Archana</v>
      </c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4"/>
    </row>
    <row r="70" spans="1:20" x14ac:dyDescent="0.35">
      <c r="A70" s="15" t="s">
        <v>115</v>
      </c>
      <c r="B70" s="15" t="s">
        <v>131</v>
      </c>
      <c r="C70" s="15" t="str">
        <f>VLOOKUP(B70,Mapping!A:B,2,0)</f>
        <v>Lateral</v>
      </c>
      <c r="D70" s="15" t="str">
        <f>VLOOKUP(B70,Mapping!A:C,3,0)</f>
        <v>West</v>
      </c>
      <c r="E70" s="15" t="str">
        <f>VLOOKUP(B70,Mapping!A:D,4,0)</f>
        <v>West 1</v>
      </c>
      <c r="F70" s="15" t="str">
        <f>VLOOKUP(B70,Mapping!A:E,5,0)</f>
        <v>Anjli</v>
      </c>
      <c r="G70" s="15" t="str">
        <f>VLOOKUP(B70,Mapping!A:F,6,0)</f>
        <v>Anjli</v>
      </c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4"/>
    </row>
    <row r="71" spans="1:20" x14ac:dyDescent="0.35">
      <c r="A71" s="15" t="s">
        <v>115</v>
      </c>
      <c r="B71" s="15" t="s">
        <v>93</v>
      </c>
      <c r="C71" s="15" t="str">
        <f>VLOOKUP(B71,Mapping!A:B,2,0)</f>
        <v>Lateral</v>
      </c>
      <c r="D71" s="15" t="str">
        <f>VLOOKUP(B71,Mapping!A:C,3,0)</f>
        <v>West</v>
      </c>
      <c r="E71" s="15" t="str">
        <f>VLOOKUP(B71,Mapping!A:D,4,0)</f>
        <v>West 1</v>
      </c>
      <c r="F71" s="15" t="str">
        <f>VLOOKUP(B71,Mapping!A:E,5,0)</f>
        <v>Anjli</v>
      </c>
      <c r="G71" s="15" t="str">
        <f>VLOOKUP(B71,Mapping!A:F,6,0)</f>
        <v>Geetu</v>
      </c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4"/>
    </row>
    <row r="72" spans="1:20" x14ac:dyDescent="0.35">
      <c r="A72" s="15" t="s">
        <v>115</v>
      </c>
      <c r="B72" s="15" t="s">
        <v>94</v>
      </c>
      <c r="C72" s="15" t="str">
        <f>VLOOKUP(B72,Mapping!A:B,2,0)</f>
        <v>Lateral</v>
      </c>
      <c r="D72" s="15" t="str">
        <f>VLOOKUP(B72,Mapping!A:C,3,0)</f>
        <v>West</v>
      </c>
      <c r="E72" s="15" t="str">
        <f>VLOOKUP(B72,Mapping!A:D,4,0)</f>
        <v>West 1</v>
      </c>
      <c r="F72" s="15" t="str">
        <f>VLOOKUP(B72,Mapping!A:E,5,0)</f>
        <v>Anjli</v>
      </c>
      <c r="G72" s="15" t="str">
        <f>VLOOKUP(B72,Mapping!A:F,6,0)</f>
        <v>Archana</v>
      </c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4"/>
    </row>
    <row r="73" spans="1:20" x14ac:dyDescent="0.35">
      <c r="A73" s="15" t="s">
        <v>115</v>
      </c>
      <c r="B73" s="15" t="s">
        <v>95</v>
      </c>
      <c r="C73" s="15" t="str">
        <f>VLOOKUP(B73,Mapping!A:B,2,0)</f>
        <v>Lateral</v>
      </c>
      <c r="D73" s="15" t="str">
        <f>VLOOKUP(B73,Mapping!A:C,3,0)</f>
        <v>South</v>
      </c>
      <c r="E73" s="15" t="str">
        <f>VLOOKUP(B73,Mapping!A:D,4,0)</f>
        <v>South 2</v>
      </c>
      <c r="F73" s="15" t="str">
        <f>VLOOKUP(B73,Mapping!A:E,5,0)</f>
        <v>Sulabh</v>
      </c>
      <c r="G73" s="15" t="str">
        <f>VLOOKUP(B73,Mapping!A:F,6,0)</f>
        <v>Lekhana</v>
      </c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4"/>
    </row>
    <row r="74" spans="1:20" x14ac:dyDescent="0.35">
      <c r="A74" s="15" t="s">
        <v>115</v>
      </c>
      <c r="B74" s="15" t="s">
        <v>97</v>
      </c>
      <c r="C74" s="15" t="str">
        <f>VLOOKUP(B74,Mapping!A:B,2,0)</f>
        <v>Lateral</v>
      </c>
      <c r="D74" s="15" t="str">
        <f>VLOOKUP(B74,Mapping!A:C,3,0)</f>
        <v>South</v>
      </c>
      <c r="E74" s="15" t="str">
        <f>VLOOKUP(B74,Mapping!A:D,4,0)</f>
        <v>South 2</v>
      </c>
      <c r="F74" s="15" t="str">
        <f>VLOOKUP(B74,Mapping!A:E,5,0)</f>
        <v>Sulabh</v>
      </c>
      <c r="G74" s="15" t="str">
        <f>VLOOKUP(B74,Mapping!A:F,6,0)</f>
        <v>Satya</v>
      </c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4"/>
    </row>
    <row r="75" spans="1:20" x14ac:dyDescent="0.35">
      <c r="A75" s="15" t="s">
        <v>115</v>
      </c>
      <c r="B75" s="15" t="s">
        <v>98</v>
      </c>
      <c r="C75" s="15" t="str">
        <f>VLOOKUP(B75,Mapping!A:B,2,0)</f>
        <v>Lateral</v>
      </c>
      <c r="D75" s="15" t="str">
        <f>VLOOKUP(B75,Mapping!A:C,3,0)</f>
        <v>West</v>
      </c>
      <c r="E75" s="15" t="str">
        <f>VLOOKUP(B75,Mapping!A:D,4,0)</f>
        <v>West 1</v>
      </c>
      <c r="F75" s="15" t="str">
        <f>VLOOKUP(B75,Mapping!A:E,5,0)</f>
        <v>Anjli</v>
      </c>
      <c r="G75" s="15" t="str">
        <f>VLOOKUP(B75,Mapping!A:F,6,0)</f>
        <v>Anjli</v>
      </c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4"/>
    </row>
    <row r="76" spans="1:20" x14ac:dyDescent="0.35">
      <c r="A76" s="15" t="s">
        <v>115</v>
      </c>
      <c r="B76" s="15" t="s">
        <v>130</v>
      </c>
      <c r="C76" s="15" t="str">
        <f>VLOOKUP(B76,Mapping!A:B,2,0)</f>
        <v>Lateral</v>
      </c>
      <c r="D76" s="15" t="str">
        <f>VLOOKUP(B76,Mapping!A:C,3,0)</f>
        <v>West</v>
      </c>
      <c r="E76" s="15" t="str">
        <f>VLOOKUP(B76,Mapping!A:D,4,0)</f>
        <v>West 1</v>
      </c>
      <c r="F76" s="15" t="str">
        <f>VLOOKUP(B76,Mapping!A:E,5,0)</f>
        <v>Anjli</v>
      </c>
      <c r="G76" s="15" t="str">
        <f>VLOOKUP(B76,Mapping!A:F,6,0)</f>
        <v>Anjli</v>
      </c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4"/>
    </row>
    <row r="77" spans="1:20" x14ac:dyDescent="0.35">
      <c r="A77" s="15" t="s">
        <v>115</v>
      </c>
      <c r="B77" s="15" t="s">
        <v>100</v>
      </c>
      <c r="C77" s="15" t="str">
        <f>VLOOKUP(B77,Mapping!A:B,2,0)</f>
        <v>Lateral</v>
      </c>
      <c r="D77" s="15" t="str">
        <f>VLOOKUP(B77,Mapping!A:C,3,0)</f>
        <v>West</v>
      </c>
      <c r="E77" s="15" t="str">
        <f>VLOOKUP(B77,Mapping!A:D,4,0)</f>
        <v>West 1</v>
      </c>
      <c r="F77" s="15" t="str">
        <f>VLOOKUP(B77,Mapping!A:E,5,0)</f>
        <v>Anjli</v>
      </c>
      <c r="G77" s="15" t="str">
        <f>VLOOKUP(B77,Mapping!A:F,6,0)</f>
        <v>Anjli</v>
      </c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4"/>
    </row>
    <row r="78" spans="1:20" x14ac:dyDescent="0.35">
      <c r="A78" s="15" t="s">
        <v>115</v>
      </c>
      <c r="B78" s="31" t="s">
        <v>118</v>
      </c>
      <c r="C78" s="31" t="s">
        <v>127</v>
      </c>
      <c r="D78" s="31" t="s">
        <v>127</v>
      </c>
      <c r="E78" s="31" t="s">
        <v>127</v>
      </c>
      <c r="F78" s="31" t="s">
        <v>129</v>
      </c>
      <c r="G78" s="31" t="s">
        <v>128</v>
      </c>
      <c r="H78" s="31"/>
      <c r="I78" s="31"/>
      <c r="J78" s="31"/>
      <c r="K78" s="31"/>
      <c r="L78" s="31"/>
      <c r="M78" s="31"/>
      <c r="N78" s="31"/>
      <c r="O78" s="31"/>
      <c r="P78" s="31"/>
      <c r="Q78" s="30"/>
      <c r="R78" s="30"/>
      <c r="S78" s="30"/>
    </row>
    <row r="79" spans="1:20" x14ac:dyDescent="0.35">
      <c r="A79" s="15" t="s">
        <v>115</v>
      </c>
      <c r="B79" s="31" t="s">
        <v>119</v>
      </c>
      <c r="C79" s="31" t="s">
        <v>127</v>
      </c>
      <c r="D79" s="31" t="s">
        <v>127</v>
      </c>
      <c r="E79" s="31" t="s">
        <v>127</v>
      </c>
      <c r="F79" s="31" t="s">
        <v>129</v>
      </c>
      <c r="G79" s="31" t="s">
        <v>128</v>
      </c>
      <c r="H79" s="31"/>
      <c r="I79" s="31"/>
      <c r="J79" s="31"/>
      <c r="K79" s="31"/>
      <c r="L79" s="31"/>
      <c r="M79" s="31"/>
      <c r="N79" s="31"/>
      <c r="O79" s="31"/>
      <c r="P79" s="31"/>
      <c r="Q79" s="30"/>
      <c r="R79" s="30"/>
      <c r="S79" s="30"/>
    </row>
    <row r="80" spans="1:20" x14ac:dyDescent="0.35">
      <c r="A80" s="15" t="s">
        <v>115</v>
      </c>
      <c r="B80" s="31" t="s">
        <v>120</v>
      </c>
      <c r="C80" s="31" t="s">
        <v>127</v>
      </c>
      <c r="D80" s="31" t="s">
        <v>127</v>
      </c>
      <c r="E80" s="31" t="s">
        <v>127</v>
      </c>
      <c r="F80" s="31" t="s">
        <v>129</v>
      </c>
      <c r="G80" s="31" t="s">
        <v>128</v>
      </c>
      <c r="H80" s="31"/>
      <c r="I80" s="31"/>
      <c r="J80" s="31"/>
      <c r="K80" s="31"/>
      <c r="L80" s="31"/>
      <c r="M80" s="31"/>
      <c r="N80" s="31"/>
      <c r="O80" s="31"/>
      <c r="P80" s="31"/>
      <c r="Q80" s="30"/>
      <c r="R80" s="30"/>
      <c r="S80" s="30"/>
    </row>
    <row r="81" spans="1:19" x14ac:dyDescent="0.35">
      <c r="A81" s="15" t="s">
        <v>115</v>
      </c>
      <c r="B81" s="31" t="s">
        <v>121</v>
      </c>
      <c r="C81" s="31" t="s">
        <v>127</v>
      </c>
      <c r="D81" s="31" t="s">
        <v>127</v>
      </c>
      <c r="E81" s="31" t="s">
        <v>127</v>
      </c>
      <c r="F81" s="31" t="s">
        <v>129</v>
      </c>
      <c r="G81" s="31" t="s">
        <v>128</v>
      </c>
      <c r="H81" s="31"/>
      <c r="I81" s="31"/>
      <c r="J81" s="31"/>
      <c r="K81" s="31"/>
      <c r="L81" s="31"/>
      <c r="M81" s="31"/>
      <c r="N81" s="31"/>
      <c r="O81" s="31"/>
      <c r="P81" s="31"/>
      <c r="Q81" s="30"/>
      <c r="R81" s="30"/>
      <c r="S81" s="30"/>
    </row>
    <row r="82" spans="1:19" x14ac:dyDescent="0.35">
      <c r="A82" s="15" t="s">
        <v>115</v>
      </c>
      <c r="B82" s="31" t="s">
        <v>122</v>
      </c>
      <c r="C82" s="31" t="s">
        <v>127</v>
      </c>
      <c r="D82" s="31" t="s">
        <v>127</v>
      </c>
      <c r="E82" s="31" t="s">
        <v>127</v>
      </c>
      <c r="F82" s="31" t="s">
        <v>129</v>
      </c>
      <c r="G82" s="31" t="s">
        <v>128</v>
      </c>
      <c r="H82" s="31"/>
      <c r="I82" s="31"/>
      <c r="J82" s="31"/>
      <c r="K82" s="31"/>
      <c r="L82" s="31"/>
      <c r="M82" s="31"/>
      <c r="N82" s="31"/>
      <c r="O82" s="31"/>
      <c r="P82" s="31"/>
      <c r="Q82" s="30"/>
      <c r="R82" s="30"/>
      <c r="S82" s="30"/>
    </row>
    <row r="83" spans="1:19" x14ac:dyDescent="0.35">
      <c r="A83" s="15" t="s">
        <v>115</v>
      </c>
      <c r="B83" s="31" t="s">
        <v>123</v>
      </c>
      <c r="C83" s="31" t="s">
        <v>127</v>
      </c>
      <c r="D83" s="31" t="s">
        <v>127</v>
      </c>
      <c r="E83" s="31" t="s">
        <v>127</v>
      </c>
      <c r="F83" s="31" t="s">
        <v>129</v>
      </c>
      <c r="G83" s="31" t="s">
        <v>128</v>
      </c>
      <c r="H83" s="31"/>
      <c r="I83" s="31"/>
      <c r="J83" s="31"/>
      <c r="K83" s="31"/>
      <c r="L83" s="31"/>
      <c r="M83" s="31"/>
      <c r="N83" s="31"/>
      <c r="O83" s="31"/>
      <c r="P83" s="31"/>
      <c r="Q83" s="30"/>
      <c r="R83" s="30"/>
      <c r="S83" s="30"/>
    </row>
    <row r="84" spans="1:19" x14ac:dyDescent="0.35">
      <c r="A84" s="15" t="s">
        <v>115</v>
      </c>
      <c r="B84" s="31" t="s">
        <v>124</v>
      </c>
      <c r="C84" s="31" t="s">
        <v>127</v>
      </c>
      <c r="D84" s="31" t="s">
        <v>127</v>
      </c>
      <c r="E84" s="31" t="s">
        <v>127</v>
      </c>
      <c r="F84" s="31" t="s">
        <v>129</v>
      </c>
      <c r="G84" s="31" t="s">
        <v>128</v>
      </c>
      <c r="H84" s="31"/>
      <c r="I84" s="31"/>
      <c r="J84" s="31"/>
      <c r="K84" s="31"/>
      <c r="L84" s="31"/>
      <c r="M84" s="31"/>
      <c r="N84" s="31"/>
      <c r="O84" s="31"/>
      <c r="P84" s="31"/>
      <c r="Q84" s="30"/>
      <c r="R84" s="30"/>
      <c r="S84" s="30"/>
    </row>
    <row r="85" spans="1:19" x14ac:dyDescent="0.35">
      <c r="A85" s="15" t="s">
        <v>115</v>
      </c>
      <c r="B85" s="31" t="s">
        <v>125</v>
      </c>
      <c r="C85" s="31" t="s">
        <v>127</v>
      </c>
      <c r="D85" s="31" t="s">
        <v>127</v>
      </c>
      <c r="E85" s="31" t="s">
        <v>127</v>
      </c>
      <c r="F85" s="31" t="s">
        <v>129</v>
      </c>
      <c r="G85" s="31" t="s">
        <v>128</v>
      </c>
      <c r="H85" s="31"/>
      <c r="I85" s="31"/>
      <c r="J85" s="31"/>
      <c r="K85" s="31"/>
      <c r="L85" s="31"/>
      <c r="M85" s="31"/>
      <c r="N85" s="31"/>
      <c r="O85" s="31"/>
      <c r="P85" s="31"/>
      <c r="Q85" s="30"/>
      <c r="R85" s="30"/>
      <c r="S85" s="30"/>
    </row>
    <row r="86" spans="1:19" x14ac:dyDescent="0.35">
      <c r="A86" s="15" t="s">
        <v>115</v>
      </c>
      <c r="B86" s="31" t="s">
        <v>126</v>
      </c>
      <c r="C86" s="31" t="s">
        <v>127</v>
      </c>
      <c r="D86" s="31" t="s">
        <v>127</v>
      </c>
      <c r="E86" s="31" t="s">
        <v>127</v>
      </c>
      <c r="F86" s="31" t="s">
        <v>129</v>
      </c>
      <c r="G86" s="31" t="s">
        <v>128</v>
      </c>
      <c r="H86" s="31"/>
      <c r="I86" s="31"/>
      <c r="J86" s="31"/>
      <c r="K86" s="31"/>
      <c r="L86" s="31"/>
      <c r="M86" s="31"/>
      <c r="N86" s="31"/>
      <c r="O86" s="31"/>
      <c r="P86" s="31"/>
      <c r="Q86" s="30"/>
      <c r="R86" s="30"/>
      <c r="S86" s="30"/>
    </row>
  </sheetData>
  <conditionalFormatting sqref="A2:B2 I2:S2 E2:G2">
    <cfRule type="duplicateValues" dxfId="29" priority="1"/>
  </conditionalFormatting>
  <conditionalFormatting sqref="B52:B74 B3:B42">
    <cfRule type="duplicateValues" dxfId="28" priority="5"/>
  </conditionalFormatting>
  <conditionalFormatting sqref="B75:B77 B43:B51">
    <cfRule type="duplicateValues" dxfId="27" priority="6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48E5A-8A1F-4037-83F5-464CF21720EF}">
  <sheetPr codeName="Sheet16">
    <tabColor rgb="FFFF0000"/>
  </sheetPr>
  <dimension ref="A1:T76"/>
  <sheetViews>
    <sheetView workbookViewId="0">
      <pane xSplit="7" ySplit="1" topLeftCell="H55" activePane="bottomRight" state="frozen"/>
      <selection pane="topRight" activeCell="H1" sqref="H1"/>
      <selection pane="bottomLeft" activeCell="A2" sqref="A2"/>
      <selection pane="bottomRight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customWidth="1"/>
    <col min="4" max="4" width="10.1796875" customWidth="1"/>
    <col min="5" max="5" width="10.81640625" customWidth="1"/>
    <col min="6" max="6" width="12.1796875" customWidth="1"/>
    <col min="7" max="7" width="13.1796875" customWidth="1"/>
    <col min="8" max="8" width="6.453125" customWidth="1"/>
    <col min="9" max="9" width="7.08984375" customWidth="1"/>
    <col min="10" max="10" width="6.26953125" customWidth="1"/>
    <col min="11" max="11" width="5.6328125" customWidth="1"/>
    <col min="12" max="12" width="6.6328125" customWidth="1"/>
    <col min="13" max="16" width="9.36328125" customWidth="1"/>
    <col min="17" max="17" width="7.81640625" customWidth="1"/>
    <col min="18" max="18" width="11" customWidth="1"/>
    <col min="19" max="19" width="6.90625" bestFit="1" customWidth="1"/>
  </cols>
  <sheetData>
    <row r="1" spans="1:20" x14ac:dyDescent="0.35">
      <c r="A1" s="13" t="str">
        <f>Revenue_Budget!A2</f>
        <v>FY</v>
      </c>
      <c r="B1" s="13" t="str">
        <f>Revenue_Budget!B2</f>
        <v>Project</v>
      </c>
      <c r="C1" s="13" t="str">
        <f>Revenue_Budget!C2</f>
        <v>Vertical</v>
      </c>
      <c r="D1" s="13" t="str">
        <f>Revenue_Budget!D2</f>
        <v>Region</v>
      </c>
      <c r="E1" s="13" t="str">
        <f>Revenue_Budget!E2</f>
        <v>Sub Region</v>
      </c>
      <c r="F1" s="13" t="str">
        <f>Revenue_Budget!F2</f>
        <v>Region Head</v>
      </c>
      <c r="G1" s="13" t="str">
        <f>Revenue_Budget!G2</f>
        <v>Practice Head</v>
      </c>
      <c r="H1" s="14">
        <f>Revenue_Budget!H2</f>
        <v>46113</v>
      </c>
      <c r="I1" s="14">
        <f>Revenue_Budget!I2</f>
        <v>46143</v>
      </c>
      <c r="J1" s="14">
        <f>Revenue_Budget!J2</f>
        <v>46174</v>
      </c>
      <c r="K1" s="14">
        <f>Revenue_Budget!K2</f>
        <v>46204</v>
      </c>
      <c r="L1" s="14">
        <f>Revenue_Budget!L2</f>
        <v>46235</v>
      </c>
      <c r="M1" s="14">
        <f>Revenue_Budget!M2</f>
        <v>46266</v>
      </c>
      <c r="N1" s="14">
        <f>Revenue_Budget!N2</f>
        <v>46296</v>
      </c>
      <c r="O1" s="14">
        <f>Revenue_Budget!O2</f>
        <v>46327</v>
      </c>
      <c r="P1" s="14">
        <f>Revenue_Budget!P2</f>
        <v>46357</v>
      </c>
      <c r="Q1" s="14">
        <f>Revenue_Budget!Q2</f>
        <v>46388</v>
      </c>
      <c r="R1" s="14">
        <f>Revenue_Budget!R2</f>
        <v>46419</v>
      </c>
      <c r="S1" s="14">
        <f>Revenue_Budget!S2</f>
        <v>46447</v>
      </c>
      <c r="T1" s="14" t="s">
        <v>135</v>
      </c>
    </row>
    <row r="2" spans="1:20" x14ac:dyDescent="0.35">
      <c r="A2" s="16" t="s">
        <v>115</v>
      </c>
      <c r="B2" s="8" t="s">
        <v>2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0"/>
      <c r="I2" s="10"/>
      <c r="J2" s="10"/>
      <c r="K2" s="10"/>
      <c r="L2" s="10"/>
      <c r="M2" s="10"/>
      <c r="N2" s="10"/>
      <c r="O2" s="10"/>
      <c r="P2" s="10"/>
      <c r="Q2" s="11"/>
      <c r="R2" s="11"/>
      <c r="S2" s="11">
        <v>136.0574</v>
      </c>
      <c r="T2" s="2">
        <f>SUM(H2:S2)</f>
        <v>136.0574</v>
      </c>
    </row>
    <row r="3" spans="1:20" x14ac:dyDescent="0.35">
      <c r="A3" s="16" t="s">
        <v>115</v>
      </c>
      <c r="B3" s="8" t="s">
        <v>4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0"/>
      <c r="I3" s="10"/>
      <c r="J3" s="10"/>
      <c r="K3" s="10"/>
      <c r="L3" s="10"/>
      <c r="M3" s="10"/>
      <c r="N3" s="10"/>
      <c r="O3" s="10"/>
      <c r="P3" s="10"/>
      <c r="Q3" s="11"/>
      <c r="R3" s="11"/>
      <c r="S3" s="11"/>
      <c r="T3" s="2">
        <f t="shared" ref="T3:T66" si="0">SUM(H3:S3)</f>
        <v>0</v>
      </c>
    </row>
    <row r="4" spans="1:20" x14ac:dyDescent="0.35">
      <c r="A4" s="16" t="s">
        <v>115</v>
      </c>
      <c r="B4" s="8" t="s">
        <v>8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0"/>
      <c r="I4" s="10"/>
      <c r="J4" s="10"/>
      <c r="K4" s="10"/>
      <c r="L4" s="10"/>
      <c r="M4" s="10"/>
      <c r="N4" s="10"/>
      <c r="O4" s="10"/>
      <c r="P4" s="10"/>
      <c r="Q4" s="11"/>
      <c r="R4" s="11"/>
      <c r="S4" s="11"/>
      <c r="T4" s="2">
        <f t="shared" si="0"/>
        <v>0</v>
      </c>
    </row>
    <row r="5" spans="1:20" x14ac:dyDescent="0.35">
      <c r="A5" s="16" t="s">
        <v>115</v>
      </c>
      <c r="B5" s="8" t="s">
        <v>10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0"/>
      <c r="I5" s="10"/>
      <c r="J5" s="10"/>
      <c r="K5" s="10"/>
      <c r="L5" s="10"/>
      <c r="M5" s="10"/>
      <c r="N5" s="10"/>
      <c r="O5" s="10"/>
      <c r="P5" s="10"/>
      <c r="Q5" s="11"/>
      <c r="R5" s="11">
        <f>2293169/100000</f>
        <v>22.93169</v>
      </c>
      <c r="S5" s="11">
        <v>27.73732</v>
      </c>
      <c r="T5" s="2">
        <f t="shared" si="0"/>
        <v>50.66901</v>
      </c>
    </row>
    <row r="6" spans="1:20" x14ac:dyDescent="0.35">
      <c r="A6" s="16" t="s">
        <v>115</v>
      </c>
      <c r="B6" s="8" t="s">
        <v>12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0"/>
      <c r="I6" s="10"/>
      <c r="J6" s="10"/>
      <c r="K6" s="10"/>
      <c r="L6" s="10"/>
      <c r="M6" s="10">
        <f>338000/100000</f>
        <v>3.38</v>
      </c>
      <c r="N6" s="10">
        <f>1180650/100000</f>
        <v>11.8065</v>
      </c>
      <c r="O6" s="10">
        <f>2628750/100000</f>
        <v>26.287500000000001</v>
      </c>
      <c r="P6" s="10">
        <f>1768275/100000</f>
        <v>17.682749999999999</v>
      </c>
      <c r="Q6" s="11">
        <f>1732387/100000</f>
        <v>17.323869999999999</v>
      </c>
      <c r="R6" s="11">
        <f>2066987/100000</f>
        <v>20.66987</v>
      </c>
      <c r="S6" s="11">
        <v>21.095500000000001</v>
      </c>
      <c r="T6" s="2">
        <f t="shared" si="0"/>
        <v>118.24599000000001</v>
      </c>
    </row>
    <row r="7" spans="1:20" x14ac:dyDescent="0.35">
      <c r="A7" s="16" t="s">
        <v>115</v>
      </c>
      <c r="B7" s="8" t="s">
        <v>16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0"/>
      <c r="I7" s="10"/>
      <c r="J7" s="10"/>
      <c r="K7" s="10"/>
      <c r="L7" s="10"/>
      <c r="M7" s="10"/>
      <c r="N7" s="10"/>
      <c r="O7" s="10"/>
      <c r="P7" s="10">
        <f>55500/100000</f>
        <v>0.55500000000000005</v>
      </c>
      <c r="Q7" s="10">
        <f>47500/100000</f>
        <v>0.47499999999999998</v>
      </c>
      <c r="R7" s="11"/>
      <c r="S7" s="11">
        <v>6.7350000000000003</v>
      </c>
      <c r="T7" s="2">
        <f t="shared" si="0"/>
        <v>7.7650000000000006</v>
      </c>
    </row>
    <row r="8" spans="1:20" x14ac:dyDescent="0.35">
      <c r="A8" s="16" t="s">
        <v>115</v>
      </c>
      <c r="B8" s="8" t="s">
        <v>17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1"/>
      <c r="S8" s="11">
        <v>3.75501</v>
      </c>
      <c r="T8" s="2">
        <f t="shared" si="0"/>
        <v>3.75501</v>
      </c>
    </row>
    <row r="9" spans="1:20" x14ac:dyDescent="0.35">
      <c r="A9" s="16" t="s">
        <v>115</v>
      </c>
      <c r="B9" s="8" t="s">
        <v>18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0"/>
      <c r="I9" s="10"/>
      <c r="J9" s="10"/>
      <c r="K9" s="10"/>
      <c r="L9" s="10"/>
      <c r="M9" s="10"/>
      <c r="N9" s="10"/>
      <c r="O9" s="10"/>
      <c r="P9" s="10"/>
      <c r="Q9" s="11"/>
      <c r="R9" s="11"/>
      <c r="S9" s="11">
        <v>4.9327500000000004</v>
      </c>
      <c r="T9" s="2">
        <f t="shared" si="0"/>
        <v>4.9327500000000004</v>
      </c>
    </row>
    <row r="10" spans="1:20" x14ac:dyDescent="0.35">
      <c r="A10" s="16" t="s">
        <v>115</v>
      </c>
      <c r="B10" s="8" t="s">
        <v>20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0"/>
      <c r="I10" s="10"/>
      <c r="J10" s="10"/>
      <c r="K10" s="10"/>
      <c r="L10" s="10"/>
      <c r="M10" s="10"/>
      <c r="N10" s="10"/>
      <c r="O10" s="10"/>
      <c r="P10" s="10"/>
      <c r="Q10" s="11"/>
      <c r="R10" s="11"/>
      <c r="S10" s="11"/>
      <c r="T10" s="2">
        <f t="shared" si="0"/>
        <v>0</v>
      </c>
    </row>
    <row r="11" spans="1:20" x14ac:dyDescent="0.35">
      <c r="A11" s="16" t="s">
        <v>115</v>
      </c>
      <c r="B11" s="8" t="s">
        <v>21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0"/>
      <c r="I11" s="10"/>
      <c r="J11" s="10"/>
      <c r="K11" s="10"/>
      <c r="L11" s="10"/>
      <c r="M11" s="10"/>
      <c r="N11" s="10"/>
      <c r="O11" s="10"/>
      <c r="P11" s="10"/>
      <c r="Q11" s="11"/>
      <c r="R11" s="11"/>
      <c r="S11" s="11"/>
      <c r="T11" s="2">
        <f t="shared" si="0"/>
        <v>0</v>
      </c>
    </row>
    <row r="12" spans="1:20" x14ac:dyDescent="0.35">
      <c r="A12" s="16" t="s">
        <v>115</v>
      </c>
      <c r="B12" s="8" t="s">
        <v>23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0"/>
      <c r="I12" s="10"/>
      <c r="J12" s="10"/>
      <c r="K12" s="10"/>
      <c r="L12" s="10"/>
      <c r="M12" s="10"/>
      <c r="N12" s="10"/>
      <c r="O12" s="10"/>
      <c r="P12" s="10"/>
      <c r="Q12" s="11"/>
      <c r="R12" s="11"/>
      <c r="S12" s="11">
        <v>4.8739999999999997</v>
      </c>
      <c r="T12" s="2">
        <f t="shared" si="0"/>
        <v>4.8739999999999997</v>
      </c>
    </row>
    <row r="13" spans="1:20" x14ac:dyDescent="0.35">
      <c r="A13" s="16" t="s">
        <v>115</v>
      </c>
      <c r="B13" s="8" t="s">
        <v>25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0"/>
      <c r="I13" s="10"/>
      <c r="J13" s="10"/>
      <c r="K13" s="10"/>
      <c r="L13" s="10"/>
      <c r="M13" s="10"/>
      <c r="N13" s="10"/>
      <c r="O13" s="10"/>
      <c r="P13" s="10"/>
      <c r="Q13" s="11"/>
      <c r="R13" s="11"/>
      <c r="S13" s="11"/>
      <c r="T13" s="2">
        <f t="shared" si="0"/>
        <v>0</v>
      </c>
    </row>
    <row r="14" spans="1:20" x14ac:dyDescent="0.35">
      <c r="A14" s="16" t="s">
        <v>115</v>
      </c>
      <c r="B14" s="8" t="s">
        <v>26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0"/>
      <c r="I14" s="10"/>
      <c r="J14" s="10"/>
      <c r="K14" s="10"/>
      <c r="L14" s="10"/>
      <c r="M14" s="10"/>
      <c r="N14" s="10"/>
      <c r="O14" s="10"/>
      <c r="P14" s="10"/>
      <c r="Q14" s="11"/>
      <c r="R14" s="11"/>
      <c r="S14" s="11"/>
      <c r="T14" s="2">
        <f t="shared" si="0"/>
        <v>0</v>
      </c>
    </row>
    <row r="15" spans="1:20" x14ac:dyDescent="0.35">
      <c r="A15" s="16" t="s">
        <v>115</v>
      </c>
      <c r="B15" s="8" t="s">
        <v>28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0"/>
      <c r="I15" s="10"/>
      <c r="J15" s="10"/>
      <c r="K15" s="10"/>
      <c r="L15" s="10"/>
      <c r="M15" s="10"/>
      <c r="N15" s="10"/>
      <c r="O15" s="10"/>
      <c r="P15" s="10"/>
      <c r="Q15" s="11"/>
      <c r="R15" s="11"/>
      <c r="S15" s="11"/>
      <c r="T15" s="2">
        <f t="shared" si="0"/>
        <v>0</v>
      </c>
    </row>
    <row r="16" spans="1:20" x14ac:dyDescent="0.35">
      <c r="A16" s="16" t="s">
        <v>115</v>
      </c>
      <c r="B16" s="8" t="s">
        <v>29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0"/>
      <c r="I16" s="10"/>
      <c r="J16" s="10"/>
      <c r="K16" s="10"/>
      <c r="L16" s="10"/>
      <c r="M16" s="10"/>
      <c r="N16" s="10"/>
      <c r="O16" s="10"/>
      <c r="P16" s="10"/>
      <c r="Q16" s="11"/>
      <c r="R16" s="11"/>
      <c r="S16" s="11"/>
      <c r="T16" s="2">
        <f t="shared" si="0"/>
        <v>0</v>
      </c>
    </row>
    <row r="17" spans="1:20" x14ac:dyDescent="0.35">
      <c r="A17" s="16" t="s">
        <v>115</v>
      </c>
      <c r="B17" s="8" t="s">
        <v>30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0"/>
      <c r="I17" s="10"/>
      <c r="J17" s="10"/>
      <c r="K17" s="10"/>
      <c r="L17" s="10"/>
      <c r="M17" s="10"/>
      <c r="N17" s="10"/>
      <c r="O17" s="10"/>
      <c r="P17" s="10"/>
      <c r="Q17" s="11"/>
      <c r="R17" s="11"/>
      <c r="S17" s="11">
        <v>12.98</v>
      </c>
      <c r="T17" s="2">
        <f t="shared" si="0"/>
        <v>12.98</v>
      </c>
    </row>
    <row r="18" spans="1:20" x14ac:dyDescent="0.35">
      <c r="A18" s="16" t="s">
        <v>115</v>
      </c>
      <c r="B18" s="8" t="s">
        <v>32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0"/>
      <c r="I18" s="10"/>
      <c r="J18" s="10"/>
      <c r="K18" s="10"/>
      <c r="L18" s="10"/>
      <c r="M18" s="10"/>
      <c r="N18" s="10"/>
      <c r="O18" s="10"/>
      <c r="P18" s="10"/>
      <c r="Q18" s="11"/>
      <c r="R18" s="11"/>
      <c r="S18" s="11"/>
      <c r="T18" s="2">
        <f t="shared" si="0"/>
        <v>0</v>
      </c>
    </row>
    <row r="19" spans="1:20" x14ac:dyDescent="0.35">
      <c r="A19" s="16" t="s">
        <v>115</v>
      </c>
      <c r="B19" s="8" t="s">
        <v>33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0"/>
      <c r="I19" s="10"/>
      <c r="J19" s="10"/>
      <c r="K19" s="10"/>
      <c r="L19" s="10"/>
      <c r="M19" s="10"/>
      <c r="N19" s="10"/>
      <c r="O19" s="10"/>
      <c r="P19" s="10"/>
      <c r="Q19" s="11"/>
      <c r="R19" s="11"/>
      <c r="S19" s="11">
        <v>9.6332500000000003</v>
      </c>
      <c r="T19" s="2">
        <f t="shared" si="0"/>
        <v>9.6332500000000003</v>
      </c>
    </row>
    <row r="20" spans="1:20" x14ac:dyDescent="0.35">
      <c r="A20" s="16" t="s">
        <v>115</v>
      </c>
      <c r="B20" s="8" t="s">
        <v>34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0"/>
      <c r="I20" s="10"/>
      <c r="J20" s="10"/>
      <c r="K20" s="10"/>
      <c r="L20" s="10"/>
      <c r="M20" s="10"/>
      <c r="N20" s="10"/>
      <c r="O20" s="10"/>
      <c r="P20" s="10"/>
      <c r="Q20" s="11"/>
      <c r="R20" s="11"/>
      <c r="S20" s="11"/>
      <c r="T20" s="2">
        <f t="shared" si="0"/>
        <v>0</v>
      </c>
    </row>
    <row r="21" spans="1:20" x14ac:dyDescent="0.35">
      <c r="A21" s="16" t="s">
        <v>115</v>
      </c>
      <c r="B21" s="8" t="s">
        <v>35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0"/>
      <c r="I21" s="10"/>
      <c r="J21" s="10"/>
      <c r="K21" s="10"/>
      <c r="L21" s="10"/>
      <c r="M21" s="10">
        <f>3862000/100000</f>
        <v>38.619999999999997</v>
      </c>
      <c r="N21" s="10">
        <f>2476000/100000</f>
        <v>24.76</v>
      </c>
      <c r="O21" s="10">
        <f>2239000/100000</f>
        <v>22.39</v>
      </c>
      <c r="P21" s="10">
        <f>2487000/100000</f>
        <v>24.87</v>
      </c>
      <c r="Q21" s="11">
        <f>2138000/100000</f>
        <v>21.38</v>
      </c>
      <c r="R21" s="11">
        <f>2170000/100000</f>
        <v>21.7</v>
      </c>
      <c r="S21" s="11">
        <v>33.72</v>
      </c>
      <c r="T21" s="2">
        <f t="shared" si="0"/>
        <v>187.44</v>
      </c>
    </row>
    <row r="22" spans="1:20" x14ac:dyDescent="0.35">
      <c r="A22" s="16" t="s">
        <v>115</v>
      </c>
      <c r="B22" s="8" t="s">
        <v>37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1">
        <f>173107.14/100000</f>
        <v>1.7310714</v>
      </c>
      <c r="S22" s="11">
        <v>4.4974999999999996</v>
      </c>
      <c r="T22" s="2">
        <f t="shared" si="0"/>
        <v>6.2285713999999999</v>
      </c>
    </row>
    <row r="23" spans="1:20" x14ac:dyDescent="0.35">
      <c r="A23" s="16" t="s">
        <v>115</v>
      </c>
      <c r="B23" s="8" t="s">
        <v>38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0"/>
      <c r="I23" s="10"/>
      <c r="J23" s="10"/>
      <c r="K23" s="10"/>
      <c r="L23" s="10"/>
      <c r="M23" s="10"/>
      <c r="N23" s="10"/>
      <c r="O23" s="10"/>
      <c r="P23" s="10"/>
      <c r="Q23" s="11"/>
      <c r="R23" s="11"/>
      <c r="S23" s="11"/>
      <c r="T23" s="2">
        <f t="shared" si="0"/>
        <v>0</v>
      </c>
    </row>
    <row r="24" spans="1:20" x14ac:dyDescent="0.35">
      <c r="A24" s="16" t="s">
        <v>115</v>
      </c>
      <c r="B24" s="8" t="s">
        <v>39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0"/>
      <c r="I24" s="10"/>
      <c r="J24" s="10"/>
      <c r="K24" s="10"/>
      <c r="L24" s="10"/>
      <c r="M24" s="10"/>
      <c r="N24" s="10"/>
      <c r="O24" s="10"/>
      <c r="P24" s="10"/>
      <c r="Q24" s="11"/>
      <c r="R24" s="11"/>
      <c r="S24" s="11"/>
      <c r="T24" s="2">
        <f t="shared" si="0"/>
        <v>0</v>
      </c>
    </row>
    <row r="25" spans="1:20" x14ac:dyDescent="0.35">
      <c r="A25" s="16" t="s">
        <v>115</v>
      </c>
      <c r="B25" s="8" t="s">
        <v>40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0"/>
      <c r="I25" s="10"/>
      <c r="J25" s="10"/>
      <c r="K25" s="10"/>
      <c r="L25" s="10"/>
      <c r="M25" s="10"/>
      <c r="N25" s="10"/>
      <c r="O25" s="10"/>
      <c r="P25" s="10"/>
      <c r="Q25" s="11"/>
      <c r="R25" s="11"/>
      <c r="S25" s="11">
        <v>4.6085000000000003</v>
      </c>
      <c r="T25" s="2">
        <f t="shared" si="0"/>
        <v>4.6085000000000003</v>
      </c>
    </row>
    <row r="26" spans="1:20" x14ac:dyDescent="0.35">
      <c r="A26" s="16" t="s">
        <v>115</v>
      </c>
      <c r="B26" s="8" t="s">
        <v>41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0"/>
      <c r="I26" s="10"/>
      <c r="J26" s="10"/>
      <c r="K26" s="10"/>
      <c r="L26" s="10"/>
      <c r="M26" s="10"/>
      <c r="N26" s="10"/>
      <c r="O26" s="10"/>
      <c r="P26" s="10"/>
      <c r="Q26" s="11"/>
      <c r="R26" s="11"/>
      <c r="S26" s="11">
        <v>34.010554599999999</v>
      </c>
      <c r="T26" s="2">
        <f t="shared" si="0"/>
        <v>34.010554599999999</v>
      </c>
    </row>
    <row r="27" spans="1:20" x14ac:dyDescent="0.35">
      <c r="A27" s="16" t="s">
        <v>115</v>
      </c>
      <c r="B27" s="8" t="s">
        <v>42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0"/>
      <c r="I27" s="10"/>
      <c r="J27" s="10"/>
      <c r="K27" s="10"/>
      <c r="L27" s="10"/>
      <c r="M27" s="10"/>
      <c r="N27" s="10"/>
      <c r="O27" s="10"/>
      <c r="P27" s="10"/>
      <c r="Q27" s="11"/>
      <c r="R27" s="11"/>
      <c r="S27" s="11"/>
      <c r="T27" s="2">
        <f t="shared" si="0"/>
        <v>0</v>
      </c>
    </row>
    <row r="28" spans="1:20" x14ac:dyDescent="0.35">
      <c r="A28" s="16" t="s">
        <v>115</v>
      </c>
      <c r="B28" s="8" t="s">
        <v>43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0"/>
      <c r="I28" s="10"/>
      <c r="J28" s="10"/>
      <c r="K28" s="10"/>
      <c r="L28" s="10"/>
      <c r="M28" s="10"/>
      <c r="N28" s="10"/>
      <c r="O28" s="10"/>
      <c r="P28" s="10"/>
      <c r="Q28" s="11"/>
      <c r="R28" s="11"/>
      <c r="S28" s="11"/>
      <c r="T28" s="2">
        <f t="shared" si="0"/>
        <v>0</v>
      </c>
    </row>
    <row r="29" spans="1:20" x14ac:dyDescent="0.35">
      <c r="A29" s="16" t="s">
        <v>115</v>
      </c>
      <c r="B29" s="8" t="s">
        <v>44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0"/>
      <c r="I29" s="10"/>
      <c r="J29" s="10"/>
      <c r="K29" s="10"/>
      <c r="L29" s="10"/>
      <c r="M29" s="10"/>
      <c r="N29" s="10"/>
      <c r="O29" s="10"/>
      <c r="P29" s="10"/>
      <c r="Q29" s="11"/>
      <c r="R29" s="11"/>
      <c r="S29" s="11"/>
      <c r="T29" s="2">
        <f t="shared" si="0"/>
        <v>0</v>
      </c>
    </row>
    <row r="30" spans="1:20" x14ac:dyDescent="0.35">
      <c r="A30" s="16" t="s">
        <v>115</v>
      </c>
      <c r="B30" s="8" t="s">
        <v>45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0"/>
      <c r="I30" s="10"/>
      <c r="J30" s="10"/>
      <c r="K30" s="10"/>
      <c r="L30" s="10"/>
      <c r="M30" s="10"/>
      <c r="N30" s="10"/>
      <c r="O30" s="10"/>
      <c r="P30" s="10"/>
      <c r="Q30" s="11"/>
      <c r="R30" s="11"/>
      <c r="S30" s="11"/>
      <c r="T30" s="2">
        <f t="shared" si="0"/>
        <v>0</v>
      </c>
    </row>
    <row r="31" spans="1:20" x14ac:dyDescent="0.35">
      <c r="A31" s="16" t="s">
        <v>115</v>
      </c>
      <c r="B31" s="8" t="s">
        <v>46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0"/>
      <c r="I31" s="10"/>
      <c r="J31" s="10"/>
      <c r="K31" s="10"/>
      <c r="L31" s="10"/>
      <c r="M31" s="10"/>
      <c r="N31" s="10"/>
      <c r="O31" s="10"/>
      <c r="P31" s="10"/>
      <c r="Q31" s="11"/>
      <c r="R31" s="11"/>
      <c r="S31" s="11">
        <v>16.75</v>
      </c>
      <c r="T31" s="2">
        <f t="shared" si="0"/>
        <v>16.75</v>
      </c>
    </row>
    <row r="32" spans="1:20" x14ac:dyDescent="0.35">
      <c r="A32" s="16" t="s">
        <v>115</v>
      </c>
      <c r="B32" s="8" t="s">
        <v>47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0"/>
      <c r="I32" s="10"/>
      <c r="J32" s="10"/>
      <c r="K32" s="10"/>
      <c r="L32" s="10"/>
      <c r="M32" s="10"/>
      <c r="N32" s="10"/>
      <c r="O32" s="10"/>
      <c r="P32" s="10"/>
      <c r="Q32" s="11"/>
      <c r="R32" s="11"/>
      <c r="S32" s="11"/>
      <c r="T32" s="2">
        <f t="shared" si="0"/>
        <v>0</v>
      </c>
    </row>
    <row r="33" spans="1:20" x14ac:dyDescent="0.35">
      <c r="A33" s="16" t="s">
        <v>115</v>
      </c>
      <c r="B33" s="8" t="s">
        <v>48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0"/>
      <c r="I33" s="10"/>
      <c r="J33" s="10"/>
      <c r="K33" s="10"/>
      <c r="L33" s="10"/>
      <c r="M33" s="10"/>
      <c r="N33" s="10"/>
      <c r="O33" s="10"/>
      <c r="P33" s="10"/>
      <c r="Q33" s="11"/>
      <c r="R33" s="11"/>
      <c r="S33" s="11"/>
      <c r="T33" s="2">
        <f t="shared" si="0"/>
        <v>0</v>
      </c>
    </row>
    <row r="34" spans="1:20" x14ac:dyDescent="0.35">
      <c r="A34" s="16" t="s">
        <v>115</v>
      </c>
      <c r="B34" s="8" t="s">
        <v>49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0"/>
      <c r="I34" s="10"/>
      <c r="J34" s="10"/>
      <c r="K34" s="10"/>
      <c r="L34" s="10"/>
      <c r="M34" s="10"/>
      <c r="N34" s="10"/>
      <c r="O34" s="10"/>
      <c r="P34" s="10"/>
      <c r="Q34" s="11"/>
      <c r="R34" s="11"/>
      <c r="S34" s="11"/>
      <c r="T34" s="2">
        <f t="shared" si="0"/>
        <v>0</v>
      </c>
    </row>
    <row r="35" spans="1:20" x14ac:dyDescent="0.35">
      <c r="A35" s="16" t="s">
        <v>115</v>
      </c>
      <c r="B35" s="8" t="s">
        <v>50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0"/>
      <c r="I35" s="10"/>
      <c r="J35" s="10"/>
      <c r="K35" s="10"/>
      <c r="L35" s="10"/>
      <c r="M35" s="10"/>
      <c r="N35" s="10"/>
      <c r="O35" s="10"/>
      <c r="P35" s="10"/>
      <c r="Q35" s="11"/>
      <c r="R35" s="11"/>
      <c r="S35" s="11"/>
      <c r="T35" s="2">
        <f t="shared" si="0"/>
        <v>0</v>
      </c>
    </row>
    <row r="36" spans="1:20" x14ac:dyDescent="0.35">
      <c r="A36" s="16" t="s">
        <v>115</v>
      </c>
      <c r="B36" s="8" t="s">
        <v>51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0"/>
      <c r="I36" s="10"/>
      <c r="J36" s="10"/>
      <c r="K36" s="10"/>
      <c r="L36" s="10"/>
      <c r="M36" s="10"/>
      <c r="N36" s="10"/>
      <c r="O36" s="10"/>
      <c r="P36" s="10"/>
      <c r="Q36" s="11"/>
      <c r="R36" s="11"/>
      <c r="S36" s="11"/>
      <c r="T36" s="2">
        <f t="shared" si="0"/>
        <v>0</v>
      </c>
    </row>
    <row r="37" spans="1:20" x14ac:dyDescent="0.35">
      <c r="A37" s="16" t="s">
        <v>115</v>
      </c>
      <c r="B37" s="8" t="s">
        <v>52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0"/>
      <c r="I37" s="10"/>
      <c r="J37" s="10"/>
      <c r="K37" s="10"/>
      <c r="L37" s="10"/>
      <c r="M37" s="10"/>
      <c r="N37" s="10"/>
      <c r="O37" s="10"/>
      <c r="P37" s="10"/>
      <c r="Q37" s="11"/>
      <c r="R37" s="11"/>
      <c r="S37" s="11"/>
      <c r="T37" s="2">
        <f t="shared" si="0"/>
        <v>0</v>
      </c>
    </row>
    <row r="38" spans="1:20" x14ac:dyDescent="0.35">
      <c r="A38" s="16" t="s">
        <v>115</v>
      </c>
      <c r="B38" s="8" t="s">
        <v>53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0"/>
      <c r="I38" s="10"/>
      <c r="J38" s="10"/>
      <c r="K38" s="10"/>
      <c r="L38" s="10"/>
      <c r="M38" s="10"/>
      <c r="N38" s="10"/>
      <c r="O38" s="10"/>
      <c r="P38" s="10"/>
      <c r="Q38" s="11"/>
      <c r="R38" s="11"/>
      <c r="S38" s="11">
        <v>39.622369999999997</v>
      </c>
      <c r="T38" s="2">
        <f t="shared" si="0"/>
        <v>39.622369999999997</v>
      </c>
    </row>
    <row r="39" spans="1:20" x14ac:dyDescent="0.35">
      <c r="A39" s="16" t="s">
        <v>115</v>
      </c>
      <c r="B39" s="8" t="s">
        <v>55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0"/>
      <c r="I39" s="10"/>
      <c r="J39" s="10"/>
      <c r="K39" s="10"/>
      <c r="L39" s="10"/>
      <c r="M39" s="10"/>
      <c r="N39" s="10"/>
      <c r="O39" s="10"/>
      <c r="P39" s="10"/>
      <c r="Q39" s="11"/>
      <c r="R39" s="11"/>
      <c r="S39" s="11"/>
      <c r="T39" s="2">
        <f t="shared" si="0"/>
        <v>0</v>
      </c>
    </row>
    <row r="40" spans="1:20" x14ac:dyDescent="0.35">
      <c r="A40" s="16" t="s">
        <v>115</v>
      </c>
      <c r="B40" s="8" t="s">
        <v>56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0"/>
      <c r="I40" s="10"/>
      <c r="J40" s="10"/>
      <c r="K40" s="10"/>
      <c r="L40" s="10"/>
      <c r="M40" s="10"/>
      <c r="N40" s="10"/>
      <c r="O40" s="10"/>
      <c r="P40" s="10"/>
      <c r="Q40" s="11"/>
      <c r="R40" s="11"/>
      <c r="S40" s="11"/>
      <c r="T40" s="2">
        <f t="shared" si="0"/>
        <v>0</v>
      </c>
    </row>
    <row r="41" spans="1:20" x14ac:dyDescent="0.35">
      <c r="A41" s="16" t="s">
        <v>115</v>
      </c>
      <c r="B41" s="8" t="s">
        <v>57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0"/>
      <c r="I41" s="10"/>
      <c r="J41" s="10"/>
      <c r="K41" s="10"/>
      <c r="L41" s="10"/>
      <c r="M41" s="10"/>
      <c r="N41" s="10"/>
      <c r="O41" s="10"/>
      <c r="P41" s="10"/>
      <c r="Q41" s="11"/>
      <c r="R41" s="11"/>
      <c r="S41" s="11"/>
      <c r="T41" s="2">
        <f t="shared" si="0"/>
        <v>0</v>
      </c>
    </row>
    <row r="42" spans="1:20" x14ac:dyDescent="0.35">
      <c r="A42" s="16" t="s">
        <v>115</v>
      </c>
      <c r="B42" s="8" t="s">
        <v>58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0"/>
      <c r="I42" s="10"/>
      <c r="J42" s="10"/>
      <c r="K42" s="10"/>
      <c r="L42" s="10"/>
      <c r="M42" s="10"/>
      <c r="N42" s="10"/>
      <c r="O42" s="10"/>
      <c r="P42" s="10"/>
      <c r="Q42" s="11"/>
      <c r="R42" s="11"/>
      <c r="S42" s="11"/>
      <c r="T42" s="2">
        <f t="shared" si="0"/>
        <v>0</v>
      </c>
    </row>
    <row r="43" spans="1:20" x14ac:dyDescent="0.35">
      <c r="A43" s="16" t="s">
        <v>115</v>
      </c>
      <c r="B43" s="8" t="s">
        <v>60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0"/>
      <c r="I43" s="10"/>
      <c r="J43" s="10"/>
      <c r="K43" s="10"/>
      <c r="L43" s="10"/>
      <c r="M43" s="10"/>
      <c r="N43" s="10"/>
      <c r="O43" s="10"/>
      <c r="P43" s="10"/>
      <c r="Q43" s="11"/>
      <c r="R43" s="11"/>
      <c r="S43" s="11"/>
      <c r="T43" s="2">
        <f t="shared" si="0"/>
        <v>0</v>
      </c>
    </row>
    <row r="44" spans="1:20" x14ac:dyDescent="0.35">
      <c r="A44" s="16" t="s">
        <v>115</v>
      </c>
      <c r="B44" s="8" t="s">
        <v>61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0"/>
      <c r="I44" s="10"/>
      <c r="J44" s="10"/>
      <c r="K44" s="10"/>
      <c r="L44" s="10"/>
      <c r="M44" s="10"/>
      <c r="N44" s="10"/>
      <c r="O44" s="10"/>
      <c r="P44" s="10"/>
      <c r="Q44" s="11"/>
      <c r="R44" s="11"/>
      <c r="S44" s="11"/>
      <c r="T44" s="2">
        <f t="shared" si="0"/>
        <v>0</v>
      </c>
    </row>
    <row r="45" spans="1:20" x14ac:dyDescent="0.35">
      <c r="A45" s="16" t="s">
        <v>115</v>
      </c>
      <c r="B45" s="8" t="s">
        <v>62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0"/>
      <c r="I45" s="10"/>
      <c r="J45" s="10"/>
      <c r="K45" s="10"/>
      <c r="L45" s="10"/>
      <c r="M45" s="10"/>
      <c r="N45" s="10"/>
      <c r="O45" s="10"/>
      <c r="P45" s="10"/>
      <c r="Q45" s="11"/>
      <c r="R45" s="11"/>
      <c r="S45" s="11"/>
      <c r="T45" s="2">
        <f t="shared" si="0"/>
        <v>0</v>
      </c>
    </row>
    <row r="46" spans="1:20" x14ac:dyDescent="0.35">
      <c r="A46" s="16" t="s">
        <v>115</v>
      </c>
      <c r="B46" s="8" t="s">
        <v>63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0"/>
      <c r="I46" s="10"/>
      <c r="J46" s="10"/>
      <c r="K46" s="10"/>
      <c r="L46" s="10"/>
      <c r="M46" s="10"/>
      <c r="N46" s="10"/>
      <c r="O46" s="10"/>
      <c r="P46" s="10"/>
      <c r="Q46" s="11"/>
      <c r="R46" s="11"/>
      <c r="S46" s="11"/>
      <c r="T46" s="2">
        <f t="shared" si="0"/>
        <v>0</v>
      </c>
    </row>
    <row r="47" spans="1:20" x14ac:dyDescent="0.35">
      <c r="A47" s="16" t="s">
        <v>115</v>
      </c>
      <c r="B47" s="8" t="s">
        <v>64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0"/>
      <c r="I47" s="10"/>
      <c r="J47" s="10"/>
      <c r="K47" s="10"/>
      <c r="L47" s="10"/>
      <c r="M47" s="10"/>
      <c r="N47" s="10"/>
      <c r="O47" s="10"/>
      <c r="P47" s="10"/>
      <c r="Q47" s="11"/>
      <c r="R47" s="11"/>
      <c r="S47" s="11"/>
      <c r="T47" s="2">
        <f t="shared" si="0"/>
        <v>0</v>
      </c>
    </row>
    <row r="48" spans="1:20" x14ac:dyDescent="0.35">
      <c r="A48" s="16" t="s">
        <v>115</v>
      </c>
      <c r="B48" s="8" t="s">
        <v>65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0"/>
      <c r="I48" s="10"/>
      <c r="J48" s="10"/>
      <c r="K48" s="10"/>
      <c r="L48" s="10"/>
      <c r="M48" s="10"/>
      <c r="N48" s="10"/>
      <c r="O48" s="10"/>
      <c r="P48" s="10"/>
      <c r="Q48" s="11"/>
      <c r="R48" s="11"/>
      <c r="S48" s="11"/>
      <c r="T48" s="2">
        <f t="shared" si="0"/>
        <v>0</v>
      </c>
    </row>
    <row r="49" spans="1:20" x14ac:dyDescent="0.35">
      <c r="A49" s="16" t="s">
        <v>115</v>
      </c>
      <c r="B49" s="8" t="s">
        <v>66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0"/>
      <c r="I49" s="10"/>
      <c r="J49" s="10"/>
      <c r="K49" s="10"/>
      <c r="L49" s="10"/>
      <c r="M49" s="10"/>
      <c r="N49" s="10"/>
      <c r="O49" s="10"/>
      <c r="P49" s="10"/>
      <c r="Q49" s="11"/>
      <c r="R49" s="11"/>
      <c r="S49" s="11"/>
      <c r="T49" s="2">
        <f t="shared" si="0"/>
        <v>0</v>
      </c>
    </row>
    <row r="50" spans="1:20" x14ac:dyDescent="0.35">
      <c r="A50" s="16" t="s">
        <v>115</v>
      </c>
      <c r="B50" s="8" t="s">
        <v>68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0"/>
      <c r="I50" s="10"/>
      <c r="J50" s="10"/>
      <c r="K50" s="10"/>
      <c r="L50" s="10"/>
      <c r="M50" s="10"/>
      <c r="N50" s="10"/>
      <c r="O50" s="10"/>
      <c r="P50" s="10"/>
      <c r="Q50" s="11"/>
      <c r="R50" s="11"/>
      <c r="S50" s="11"/>
      <c r="T50" s="2">
        <f t="shared" si="0"/>
        <v>0</v>
      </c>
    </row>
    <row r="51" spans="1:20" x14ac:dyDescent="0.35">
      <c r="A51" s="16" t="s">
        <v>115</v>
      </c>
      <c r="B51" s="8" t="s">
        <v>69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0"/>
      <c r="I51" s="10"/>
      <c r="J51" s="10"/>
      <c r="K51" s="10"/>
      <c r="L51" s="10"/>
      <c r="M51" s="10"/>
      <c r="N51" s="10"/>
      <c r="O51" s="10"/>
      <c r="P51" s="10"/>
      <c r="Q51" s="11"/>
      <c r="R51" s="11"/>
      <c r="S51" s="11"/>
      <c r="T51" s="2">
        <f t="shared" si="0"/>
        <v>0</v>
      </c>
    </row>
    <row r="52" spans="1:20" x14ac:dyDescent="0.35">
      <c r="A52" s="16" t="s">
        <v>115</v>
      </c>
      <c r="B52" s="8" t="s">
        <v>71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0"/>
      <c r="I52" s="10"/>
      <c r="J52" s="10"/>
      <c r="K52" s="10"/>
      <c r="L52" s="10">
        <f>531000/100000</f>
        <v>5.31</v>
      </c>
      <c r="M52" s="10"/>
      <c r="N52" s="10"/>
      <c r="O52" s="10"/>
      <c r="P52" s="10"/>
      <c r="Q52" s="11"/>
      <c r="R52" s="11"/>
      <c r="S52" s="11"/>
      <c r="T52" s="2">
        <f t="shared" si="0"/>
        <v>5.31</v>
      </c>
    </row>
    <row r="53" spans="1:20" x14ac:dyDescent="0.35">
      <c r="A53" s="16" t="s">
        <v>115</v>
      </c>
      <c r="B53" s="8" t="s">
        <v>72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0"/>
      <c r="I53" s="10"/>
      <c r="J53" s="10"/>
      <c r="K53" s="10"/>
      <c r="L53" s="10"/>
      <c r="M53" s="10"/>
      <c r="N53" s="10"/>
      <c r="O53" s="10"/>
      <c r="P53" s="10"/>
      <c r="Q53" s="11"/>
      <c r="R53" s="11"/>
      <c r="S53" s="11"/>
      <c r="T53" s="2">
        <f t="shared" si="0"/>
        <v>0</v>
      </c>
    </row>
    <row r="54" spans="1:20" x14ac:dyDescent="0.35">
      <c r="A54" s="16" t="s">
        <v>115</v>
      </c>
      <c r="B54" s="8" t="s">
        <v>73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0"/>
      <c r="I54" s="10"/>
      <c r="J54" s="10"/>
      <c r="K54" s="10"/>
      <c r="L54" s="10"/>
      <c r="M54" s="10"/>
      <c r="N54" s="10"/>
      <c r="O54" s="10"/>
      <c r="P54" s="10"/>
      <c r="Q54" s="11"/>
      <c r="R54" s="11"/>
      <c r="S54" s="11"/>
      <c r="T54" s="2">
        <f t="shared" si="0"/>
        <v>0</v>
      </c>
    </row>
    <row r="55" spans="1:20" x14ac:dyDescent="0.35">
      <c r="A55" s="16" t="s">
        <v>115</v>
      </c>
      <c r="B55" s="8" t="s">
        <v>74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0"/>
      <c r="I55" s="10"/>
      <c r="J55" s="10"/>
      <c r="K55" s="10"/>
      <c r="L55" s="10"/>
      <c r="M55" s="10">
        <f>870000/100000</f>
        <v>8.6999999999999993</v>
      </c>
      <c r="N55" s="10"/>
      <c r="O55" s="10">
        <f>435000/100000</f>
        <v>4.3499999999999996</v>
      </c>
      <c r="P55" s="10">
        <f>145000/100000</f>
        <v>1.45</v>
      </c>
      <c r="Q55" s="11"/>
      <c r="R55" s="11"/>
      <c r="S55" s="11"/>
      <c r="T55" s="2">
        <f t="shared" si="0"/>
        <v>14.499999999999998</v>
      </c>
    </row>
    <row r="56" spans="1:20" x14ac:dyDescent="0.35">
      <c r="A56" s="16" t="s">
        <v>115</v>
      </c>
      <c r="B56" s="8" t="s">
        <v>75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0"/>
      <c r="I56" s="10"/>
      <c r="J56" s="10"/>
      <c r="K56" s="10"/>
      <c r="L56" s="10"/>
      <c r="M56" s="10"/>
      <c r="N56" s="10"/>
      <c r="O56" s="10"/>
      <c r="P56" s="10"/>
      <c r="Q56" s="11"/>
      <c r="R56" s="11"/>
      <c r="S56" s="11"/>
      <c r="T56" s="2">
        <f t="shared" si="0"/>
        <v>0</v>
      </c>
    </row>
    <row r="57" spans="1:20" x14ac:dyDescent="0.35">
      <c r="A57" s="16" t="s">
        <v>115</v>
      </c>
      <c r="B57" s="8" t="s">
        <v>76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0"/>
      <c r="I57" s="10"/>
      <c r="J57" s="10"/>
      <c r="K57" s="10"/>
      <c r="L57" s="10"/>
      <c r="M57" s="10"/>
      <c r="N57" s="10"/>
      <c r="O57" s="10"/>
      <c r="P57" s="10"/>
      <c r="Q57" s="11"/>
      <c r="R57" s="11"/>
      <c r="S57" s="11"/>
      <c r="T57" s="2">
        <f t="shared" si="0"/>
        <v>0</v>
      </c>
    </row>
    <row r="58" spans="1:20" x14ac:dyDescent="0.35">
      <c r="A58" s="16" t="s">
        <v>115</v>
      </c>
      <c r="B58" s="8" t="s">
        <v>77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0"/>
      <c r="I58" s="10"/>
      <c r="J58" s="10"/>
      <c r="K58" s="10"/>
      <c r="L58" s="10"/>
      <c r="M58" s="10"/>
      <c r="N58" s="10"/>
      <c r="O58" s="10"/>
      <c r="P58" s="10"/>
      <c r="Q58" s="11"/>
      <c r="R58" s="11"/>
      <c r="S58" s="11"/>
      <c r="T58" s="2">
        <f t="shared" si="0"/>
        <v>0</v>
      </c>
    </row>
    <row r="59" spans="1:20" x14ac:dyDescent="0.35">
      <c r="A59" s="16" t="s">
        <v>115</v>
      </c>
      <c r="B59" s="8" t="s">
        <v>78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0"/>
      <c r="I59" s="10"/>
      <c r="J59" s="10"/>
      <c r="K59" s="10"/>
      <c r="L59" s="10"/>
      <c r="M59" s="10"/>
      <c r="N59" s="10"/>
      <c r="O59" s="10"/>
      <c r="P59" s="10"/>
      <c r="Q59" s="11"/>
      <c r="R59" s="11"/>
      <c r="S59" s="11"/>
      <c r="T59" s="2">
        <f t="shared" si="0"/>
        <v>0</v>
      </c>
    </row>
    <row r="60" spans="1:20" x14ac:dyDescent="0.35">
      <c r="A60" s="16" t="s">
        <v>115</v>
      </c>
      <c r="B60" s="8" t="s">
        <v>79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0"/>
      <c r="I60" s="10"/>
      <c r="J60" s="10"/>
      <c r="K60" s="10"/>
      <c r="L60" s="10"/>
      <c r="M60" s="10"/>
      <c r="N60" s="10"/>
      <c r="O60" s="10"/>
      <c r="P60" s="10"/>
      <c r="Q60" s="11"/>
      <c r="R60" s="11"/>
      <c r="S60" s="11"/>
      <c r="T60" s="2">
        <f t="shared" si="0"/>
        <v>0</v>
      </c>
    </row>
    <row r="61" spans="1:20" x14ac:dyDescent="0.35">
      <c r="A61" s="16" t="s">
        <v>115</v>
      </c>
      <c r="B61" s="8" t="s">
        <v>80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0"/>
      <c r="I61" s="10"/>
      <c r="J61" s="10"/>
      <c r="K61" s="10"/>
      <c r="L61" s="10"/>
      <c r="M61" s="10"/>
      <c r="N61" s="10"/>
      <c r="O61" s="10"/>
      <c r="P61" s="10"/>
      <c r="Q61" s="11"/>
      <c r="R61" s="11"/>
      <c r="S61" s="11"/>
      <c r="T61" s="2">
        <f t="shared" si="0"/>
        <v>0</v>
      </c>
    </row>
    <row r="62" spans="1:20" x14ac:dyDescent="0.35">
      <c r="A62" s="16" t="s">
        <v>115</v>
      </c>
      <c r="B62" s="8" t="s">
        <v>81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0"/>
      <c r="I62" s="10"/>
      <c r="J62" s="10"/>
      <c r="K62" s="10"/>
      <c r="L62" s="10"/>
      <c r="M62" s="10"/>
      <c r="N62" s="10"/>
      <c r="O62" s="10"/>
      <c r="P62" s="10"/>
      <c r="Q62" s="11"/>
      <c r="R62" s="11"/>
      <c r="S62" s="11"/>
      <c r="T62" s="2">
        <f t="shared" si="0"/>
        <v>0</v>
      </c>
    </row>
    <row r="63" spans="1:20" x14ac:dyDescent="0.35">
      <c r="A63" s="16" t="s">
        <v>115</v>
      </c>
      <c r="B63" s="8" t="s">
        <v>82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0"/>
      <c r="I63" s="10"/>
      <c r="J63" s="10"/>
      <c r="K63" s="10"/>
      <c r="L63" s="10"/>
      <c r="M63" s="10"/>
      <c r="N63" s="10"/>
      <c r="O63" s="10"/>
      <c r="P63" s="10"/>
      <c r="Q63" s="11"/>
      <c r="R63" s="11"/>
      <c r="S63" s="11"/>
      <c r="T63" s="2">
        <f t="shared" si="0"/>
        <v>0</v>
      </c>
    </row>
    <row r="64" spans="1:20" x14ac:dyDescent="0.35">
      <c r="A64" s="16" t="s">
        <v>115</v>
      </c>
      <c r="B64" s="8" t="s">
        <v>83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0"/>
      <c r="I64" s="10"/>
      <c r="J64" s="10"/>
      <c r="K64" s="10"/>
      <c r="L64" s="10"/>
      <c r="M64" s="10"/>
      <c r="N64" s="10"/>
      <c r="O64" s="10"/>
      <c r="P64" s="10"/>
      <c r="Q64" s="11"/>
      <c r="R64" s="11"/>
      <c r="S64" s="11"/>
      <c r="T64" s="2">
        <f t="shared" si="0"/>
        <v>0</v>
      </c>
    </row>
    <row r="65" spans="1:20" x14ac:dyDescent="0.35">
      <c r="A65" s="16" t="s">
        <v>115</v>
      </c>
      <c r="B65" s="8" t="s">
        <v>84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0"/>
      <c r="I65" s="10"/>
      <c r="J65" s="10"/>
      <c r="K65" s="10"/>
      <c r="L65" s="10"/>
      <c r="M65" s="10"/>
      <c r="N65" s="10"/>
      <c r="O65" s="10"/>
      <c r="P65" s="10"/>
      <c r="Q65" s="11"/>
      <c r="R65" s="11"/>
      <c r="S65" s="11">
        <v>58</v>
      </c>
      <c r="T65" s="2">
        <f t="shared" si="0"/>
        <v>58</v>
      </c>
    </row>
    <row r="66" spans="1:20" x14ac:dyDescent="0.35">
      <c r="A66" s="16" t="s">
        <v>115</v>
      </c>
      <c r="B66" s="8" t="s">
        <v>86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0"/>
      <c r="I66" s="10"/>
      <c r="J66" s="10"/>
      <c r="K66" s="10"/>
      <c r="L66" s="10"/>
      <c r="M66" s="10"/>
      <c r="N66" s="10"/>
      <c r="O66" s="10"/>
      <c r="P66" s="10"/>
      <c r="Q66" s="11"/>
      <c r="R66" s="11"/>
      <c r="S66" s="11"/>
      <c r="T66" s="2">
        <f t="shared" si="0"/>
        <v>0</v>
      </c>
    </row>
    <row r="67" spans="1:20" x14ac:dyDescent="0.35">
      <c r="A67" s="16" t="s">
        <v>115</v>
      </c>
      <c r="B67" s="8" t="s">
        <v>89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0"/>
      <c r="I67" s="10"/>
      <c r="J67" s="10"/>
      <c r="K67" s="10"/>
      <c r="L67" s="10"/>
      <c r="M67" s="10"/>
      <c r="N67" s="10"/>
      <c r="O67" s="10"/>
      <c r="P67" s="10"/>
      <c r="Q67" s="11"/>
      <c r="R67" s="11">
        <f>874500/100000</f>
        <v>8.7449999999999992</v>
      </c>
      <c r="S67" s="11">
        <v>16.170000000000002</v>
      </c>
      <c r="T67" s="2">
        <f t="shared" ref="T67:T76" si="1">SUM(H67:S67)</f>
        <v>24.914999999999999</v>
      </c>
    </row>
    <row r="68" spans="1:20" x14ac:dyDescent="0.35">
      <c r="A68" s="16" t="s">
        <v>115</v>
      </c>
      <c r="B68" s="8" t="s">
        <v>91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0"/>
      <c r="I68" s="10"/>
      <c r="J68" s="10"/>
      <c r="K68" s="10"/>
      <c r="L68" s="10"/>
      <c r="M68" s="10"/>
      <c r="N68" s="10"/>
      <c r="O68" s="10"/>
      <c r="P68" s="10"/>
      <c r="Q68" s="11"/>
      <c r="R68" s="11"/>
      <c r="S68" s="11"/>
      <c r="T68" s="2">
        <f t="shared" si="1"/>
        <v>0</v>
      </c>
    </row>
    <row r="69" spans="1:20" x14ac:dyDescent="0.35">
      <c r="A69" s="16" t="s">
        <v>115</v>
      </c>
      <c r="B69" s="8" t="s">
        <v>92</v>
      </c>
      <c r="C69" s="15" t="e">
        <f>VLOOKUP(B69,Mapping!A:B,2,0)</f>
        <v>#N/A</v>
      </c>
      <c r="D69" s="15" t="e">
        <f>VLOOKUP(B69,Mapping!A:C,3,0)</f>
        <v>#N/A</v>
      </c>
      <c r="E69" s="16" t="e">
        <f>VLOOKUP(B69,Mapping!A:D,4,0)</f>
        <v>#N/A</v>
      </c>
      <c r="F69" s="16" t="e">
        <f>VLOOKUP(B69,Mapping!A:E,5,0)</f>
        <v>#N/A</v>
      </c>
      <c r="G69" s="16" t="e">
        <f>VLOOKUP(B69,Mapping!A:F,6,0)</f>
        <v>#N/A</v>
      </c>
      <c r="H69" s="10"/>
      <c r="I69" s="10"/>
      <c r="J69" s="10"/>
      <c r="K69" s="10"/>
      <c r="L69" s="10"/>
      <c r="M69" s="10"/>
      <c r="N69" s="10"/>
      <c r="O69" s="10"/>
      <c r="P69" s="10"/>
      <c r="Q69" s="11"/>
      <c r="R69" s="11"/>
      <c r="S69" s="11"/>
      <c r="T69" s="2">
        <f t="shared" si="1"/>
        <v>0</v>
      </c>
    </row>
    <row r="70" spans="1:20" x14ac:dyDescent="0.35">
      <c r="A70" s="16" t="s">
        <v>115</v>
      </c>
      <c r="B70" s="8" t="s">
        <v>93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0"/>
      <c r="I70" s="10"/>
      <c r="J70" s="10"/>
      <c r="K70" s="10"/>
      <c r="L70" s="10"/>
      <c r="M70" s="10"/>
      <c r="N70" s="10"/>
      <c r="O70" s="10"/>
      <c r="P70" s="10"/>
      <c r="Q70" s="11"/>
      <c r="R70" s="11"/>
      <c r="S70" s="11"/>
      <c r="T70" s="2">
        <f t="shared" si="1"/>
        <v>0</v>
      </c>
    </row>
    <row r="71" spans="1:20" x14ac:dyDescent="0.35">
      <c r="A71" s="16" t="s">
        <v>115</v>
      </c>
      <c r="B71" s="8" t="s">
        <v>94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0"/>
      <c r="I71" s="10"/>
      <c r="J71" s="10"/>
      <c r="K71" s="10"/>
      <c r="L71" s="10"/>
      <c r="M71" s="10"/>
      <c r="N71" s="10"/>
      <c r="O71" s="10"/>
      <c r="P71" s="10"/>
      <c r="Q71" s="11"/>
      <c r="R71" s="11"/>
      <c r="S71" s="11"/>
      <c r="T71" s="2">
        <f t="shared" si="1"/>
        <v>0</v>
      </c>
    </row>
    <row r="72" spans="1:20" x14ac:dyDescent="0.35">
      <c r="A72" s="16" t="s">
        <v>115</v>
      </c>
      <c r="B72" s="8" t="s">
        <v>95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0"/>
      <c r="I72" s="10"/>
      <c r="J72" s="10"/>
      <c r="K72" s="10"/>
      <c r="L72" s="10"/>
      <c r="M72" s="10">
        <f>1536000/100000</f>
        <v>15.36</v>
      </c>
      <c r="N72" s="10">
        <f>225000/100000</f>
        <v>2.25</v>
      </c>
      <c r="O72" s="10">
        <f>19200/100000</f>
        <v>0.192</v>
      </c>
      <c r="P72" s="10">
        <f>250000/100000</f>
        <v>2.5</v>
      </c>
      <c r="Q72" s="11"/>
      <c r="R72" s="11">
        <f>395600/100000</f>
        <v>3.956</v>
      </c>
      <c r="S72" s="11">
        <v>4.1520000000000001</v>
      </c>
      <c r="T72" s="2">
        <f t="shared" si="1"/>
        <v>28.41</v>
      </c>
    </row>
    <row r="73" spans="1:20" x14ac:dyDescent="0.35">
      <c r="A73" s="16" t="s">
        <v>115</v>
      </c>
      <c r="B73" s="8" t="s">
        <v>97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0"/>
      <c r="I73" s="10"/>
      <c r="J73" s="10"/>
      <c r="K73" s="10"/>
      <c r="L73" s="10"/>
      <c r="M73" s="10"/>
      <c r="N73" s="10"/>
      <c r="O73" s="10"/>
      <c r="P73" s="10">
        <f>254375/100000</f>
        <v>2.5437500000000002</v>
      </c>
      <c r="Q73" s="10"/>
      <c r="R73" s="11">
        <f>562187.5/100000</f>
        <v>5.6218750000000002</v>
      </c>
      <c r="S73" s="11">
        <v>4.9187500000000002</v>
      </c>
      <c r="T73" s="2">
        <f t="shared" si="1"/>
        <v>13.084375000000001</v>
      </c>
    </row>
    <row r="74" spans="1:20" x14ac:dyDescent="0.35">
      <c r="A74" s="16" t="s">
        <v>115</v>
      </c>
      <c r="B74" s="8" t="s">
        <v>98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0"/>
      <c r="I74" s="10"/>
      <c r="J74" s="10"/>
      <c r="K74" s="10"/>
      <c r="L74" s="10"/>
      <c r="M74" s="10"/>
      <c r="N74" s="10"/>
      <c r="O74" s="10"/>
      <c r="P74" s="10"/>
      <c r="Q74" s="11"/>
      <c r="R74" s="11"/>
      <c r="S74" s="11"/>
      <c r="T74" s="2">
        <f t="shared" si="1"/>
        <v>0</v>
      </c>
    </row>
    <row r="75" spans="1:20" x14ac:dyDescent="0.35">
      <c r="A75" s="16" t="s">
        <v>115</v>
      </c>
      <c r="B75" s="8" t="s">
        <v>99</v>
      </c>
      <c r="C75" s="15" t="e">
        <f>VLOOKUP(B75,Mapping!A:B,2,0)</f>
        <v>#N/A</v>
      </c>
      <c r="D75" s="15" t="e">
        <f>VLOOKUP(B75,Mapping!A:C,3,0)</f>
        <v>#N/A</v>
      </c>
      <c r="E75" s="16" t="e">
        <f>VLOOKUP(B75,Mapping!A:D,4,0)</f>
        <v>#N/A</v>
      </c>
      <c r="F75" s="16" t="e">
        <f>VLOOKUP(B75,Mapping!A:E,5,0)</f>
        <v>#N/A</v>
      </c>
      <c r="G75" s="16" t="e">
        <f>VLOOKUP(B75,Mapping!A:F,6,0)</f>
        <v>#N/A</v>
      </c>
      <c r="H75" s="10"/>
      <c r="I75" s="10"/>
      <c r="J75" s="10"/>
      <c r="K75" s="10"/>
      <c r="L75" s="10"/>
      <c r="M75" s="10"/>
      <c r="N75" s="10"/>
      <c r="O75" s="10"/>
      <c r="P75" s="10"/>
      <c r="Q75" s="11"/>
      <c r="R75" s="11"/>
      <c r="S75" s="11"/>
      <c r="T75" s="2">
        <f t="shared" si="1"/>
        <v>0</v>
      </c>
    </row>
    <row r="76" spans="1:20" x14ac:dyDescent="0.35">
      <c r="A76" s="16" t="s">
        <v>115</v>
      </c>
      <c r="B76" s="8" t="s">
        <v>100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0"/>
      <c r="I76" s="10"/>
      <c r="J76" s="10"/>
      <c r="K76" s="10"/>
      <c r="L76" s="10"/>
      <c r="M76" s="10"/>
      <c r="N76" s="10"/>
      <c r="O76" s="10"/>
      <c r="P76" s="10"/>
      <c r="Q76" s="11"/>
      <c r="R76" s="11"/>
      <c r="S76" s="11"/>
      <c r="T76" s="2">
        <f t="shared" si="1"/>
        <v>0</v>
      </c>
    </row>
  </sheetData>
  <conditionalFormatting sqref="A1:B1 E1:G1 I1:T1">
    <cfRule type="duplicateValues" dxfId="26" priority="3"/>
  </conditionalFormatting>
  <conditionalFormatting sqref="B51:B73 B2:B41">
    <cfRule type="duplicateValues" dxfId="25" priority="12"/>
  </conditionalFormatting>
  <conditionalFormatting sqref="B74:B76 B42:B50">
    <cfRule type="duplicateValues" dxfId="24" priority="13"/>
  </conditionalFormatting>
  <conditionalFormatting sqref="B77:D1048576 B2:B76">
    <cfRule type="duplicateValues" dxfId="23" priority="11"/>
  </conditionalFormatting>
  <conditionalFormatting sqref="H1:S1048576">
    <cfRule type="duplicateValues" dxfId="22" priority="2"/>
  </conditionalFormatting>
  <conditionalFormatting sqref="H2:S83">
    <cfRule type="cellIs" dxfId="21" priority="10" operator="greaterThan">
      <formula>0</formula>
    </cfRule>
  </conditionalFormatting>
  <conditionalFormatting sqref="T1">
    <cfRule type="duplicateValues" dxfId="20" priority="1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3CFAF-3AF6-4CAE-A7F1-5A6E8422AE15}">
  <sheetPr codeName="Sheet17">
    <tabColor rgb="FFFFC000"/>
  </sheetPr>
  <dimension ref="A1:S81"/>
  <sheetViews>
    <sheetView topLeftCell="C1" workbookViewId="0">
      <selection activeCell="H2" sqref="H2:H17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2.1796875" bestFit="1" customWidth="1"/>
    <col min="7" max="7" width="13.1796875" bestFit="1" customWidth="1"/>
    <col min="8" max="8" width="6.81640625" bestFit="1" customWidth="1"/>
    <col min="9" max="9" width="7.453125" bestFit="1" customWidth="1"/>
    <col min="10" max="10" width="6.7265625" bestFit="1" customWidth="1"/>
    <col min="11" max="11" width="6.1796875" bestFit="1" customWidth="1"/>
    <col min="12" max="12" width="7.1796875" bestFit="1" customWidth="1"/>
    <col min="13" max="13" width="7" bestFit="1" customWidth="1"/>
    <col min="14" max="14" width="6.7265625" bestFit="1" customWidth="1"/>
    <col min="15" max="15" width="7.26953125" bestFit="1" customWidth="1"/>
    <col min="16" max="16" width="7" bestFit="1" customWidth="1"/>
    <col min="17" max="17" width="6.54296875" bestFit="1" customWidth="1"/>
    <col min="18" max="18" width="10.36328125" bestFit="1" customWidth="1"/>
    <col min="19" max="19" width="8.81640625" bestFit="1" customWidth="1"/>
  </cols>
  <sheetData>
    <row r="1" spans="1:19" x14ac:dyDescent="0.35">
      <c r="A1" s="25" t="str">
        <f>Revenue_Budget!A2</f>
        <v>FY</v>
      </c>
      <c r="B1" s="25" t="str">
        <f>Revenue_Budget!B2</f>
        <v>Project</v>
      </c>
      <c r="C1" s="25" t="str">
        <f>Revenue_Budget!C2</f>
        <v>Vertical</v>
      </c>
      <c r="D1" s="25" t="str">
        <f>Revenue_Budget!D2</f>
        <v>Region</v>
      </c>
      <c r="E1" s="25" t="str">
        <f>Revenue_Budget!E2</f>
        <v>Sub Region</v>
      </c>
      <c r="F1" s="25" t="str">
        <f>Revenue_Budget!F2</f>
        <v>Region Head</v>
      </c>
      <c r="G1" s="25" t="str">
        <f>Revenue_Budget!G2</f>
        <v>Practice Head</v>
      </c>
      <c r="H1" s="26">
        <f>Revenue_Budget!H2</f>
        <v>46113</v>
      </c>
      <c r="I1" s="26">
        <f>Revenue_Budget!I2</f>
        <v>46143</v>
      </c>
      <c r="J1" s="26">
        <f>Revenue_Budget!J2</f>
        <v>46174</v>
      </c>
      <c r="K1" s="26">
        <f>Revenue_Budget!K2</f>
        <v>46204</v>
      </c>
      <c r="L1" s="26">
        <f>Revenue_Budget!L2</f>
        <v>46235</v>
      </c>
      <c r="M1" s="26">
        <f>Revenue_Budget!M2</f>
        <v>46266</v>
      </c>
      <c r="N1" s="26">
        <f>Revenue_Budget!N2</f>
        <v>46296</v>
      </c>
      <c r="O1" s="26">
        <f>Revenue_Budget!O2</f>
        <v>46327</v>
      </c>
      <c r="P1" s="26">
        <f>Revenue_Budget!P2</f>
        <v>46357</v>
      </c>
      <c r="Q1" s="26">
        <f>Revenue_Budget!Q2</f>
        <v>46388</v>
      </c>
      <c r="R1" s="26">
        <f>Revenue_Budget!R2</f>
        <v>46419</v>
      </c>
      <c r="S1" s="26">
        <f>Revenue_Budget!S2</f>
        <v>46447</v>
      </c>
    </row>
    <row r="2" spans="1:19" x14ac:dyDescent="0.35">
      <c r="A2" s="1" t="s">
        <v>115</v>
      </c>
      <c r="B2" s="1" t="s">
        <v>2</v>
      </c>
      <c r="C2" s="1" t="str">
        <f>VLOOKUP(B2,Mapping!A:B,2,0)</f>
        <v>Lateral</v>
      </c>
      <c r="D2" s="1" t="str">
        <f>VLOOKUP(B2,Mapping!A:C,3,0)</f>
        <v>South</v>
      </c>
      <c r="E2" s="1" t="str">
        <f>VLOOKUP(B2,Mapping!A:D,4,0)</f>
        <v>South 1</v>
      </c>
      <c r="F2" s="1" t="str">
        <f>VLOOKUP(B2,Mapping!A:E,5,0)</f>
        <v>Bapi</v>
      </c>
      <c r="G2" s="1" t="str">
        <f>VLOOKUP(B2,Mapping!A:F,6,0)</f>
        <v>Bapi</v>
      </c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7"/>
    </row>
    <row r="3" spans="1:19" x14ac:dyDescent="0.35">
      <c r="A3" s="1" t="s">
        <v>115</v>
      </c>
      <c r="B3" s="1" t="s">
        <v>4</v>
      </c>
      <c r="C3" s="1" t="str">
        <f>VLOOKUP(B3,Mapping!A:B,2,0)</f>
        <v>Lateral</v>
      </c>
      <c r="D3" s="1" t="str">
        <f>VLOOKUP(B3,Mapping!A:C,3,0)</f>
        <v>West</v>
      </c>
      <c r="E3" s="1" t="str">
        <f>VLOOKUP(B3,Mapping!A:D,4,0)</f>
        <v>West 1</v>
      </c>
      <c r="F3" s="1" t="str">
        <f>VLOOKUP(B3,Mapping!A:E,5,0)</f>
        <v>Anjli</v>
      </c>
      <c r="G3" s="1" t="str">
        <f>VLOOKUP(B3,Mapping!A:F,6,0)</f>
        <v>Usha</v>
      </c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7"/>
    </row>
    <row r="4" spans="1:19" x14ac:dyDescent="0.35">
      <c r="A4" s="1" t="s">
        <v>115</v>
      </c>
      <c r="B4" s="1" t="s">
        <v>8</v>
      </c>
      <c r="C4" s="1" t="str">
        <f>VLOOKUP(B4,Mapping!A:B,2,0)</f>
        <v>Lateral</v>
      </c>
      <c r="D4" s="1" t="str">
        <f>VLOOKUP(B4,Mapping!A:C,3,0)</f>
        <v>West</v>
      </c>
      <c r="E4" s="1" t="str">
        <f>VLOOKUP(B4,Mapping!A:D,4,0)</f>
        <v>West 2</v>
      </c>
      <c r="F4" s="1" t="str">
        <f>VLOOKUP(B4,Mapping!A:E,5,0)</f>
        <v>Anjli</v>
      </c>
      <c r="G4" s="1" t="str">
        <f>VLOOKUP(B4,Mapping!A:F,6,0)</f>
        <v>Shweta</v>
      </c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7"/>
    </row>
    <row r="5" spans="1:19" x14ac:dyDescent="0.35">
      <c r="A5" s="1" t="s">
        <v>115</v>
      </c>
      <c r="B5" s="1" t="s">
        <v>10</v>
      </c>
      <c r="C5" s="1" t="str">
        <f>VLOOKUP(B5,Mapping!A:B,2,0)</f>
        <v>Lateral</v>
      </c>
      <c r="D5" s="1" t="str">
        <f>VLOOKUP(B5,Mapping!A:C,3,0)</f>
        <v>North</v>
      </c>
      <c r="E5" s="1" t="str">
        <f>VLOOKUP(B5,Mapping!A:D,4,0)</f>
        <v>North</v>
      </c>
      <c r="F5" s="1" t="str">
        <f>VLOOKUP(B5,Mapping!A:E,5,0)</f>
        <v>Anjli</v>
      </c>
      <c r="G5" s="1" t="str">
        <f>VLOOKUP(B5,Mapping!A:F,6,0)</f>
        <v>Archana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7"/>
    </row>
    <row r="6" spans="1:19" x14ac:dyDescent="0.35">
      <c r="A6" s="1" t="s">
        <v>115</v>
      </c>
      <c r="B6" s="1" t="s">
        <v>12</v>
      </c>
      <c r="C6" s="1" t="str">
        <f>VLOOKUP(B6,Mapping!A:B,2,0)</f>
        <v>Lateral</v>
      </c>
      <c r="D6" s="1" t="str">
        <f>VLOOKUP(B6,Mapping!A:C,3,0)</f>
        <v>South</v>
      </c>
      <c r="E6" s="1" t="str">
        <f>VLOOKUP(B6,Mapping!A:D,4,0)</f>
        <v>South 1</v>
      </c>
      <c r="F6" s="1" t="str">
        <f>VLOOKUP(B6,Mapping!A:E,5,0)</f>
        <v>Sulabh</v>
      </c>
      <c r="G6" s="1" t="str">
        <f>VLOOKUP(B6,Mapping!A:F,6,0)</f>
        <v>Kunal</v>
      </c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7"/>
    </row>
    <row r="7" spans="1:19" x14ac:dyDescent="0.35">
      <c r="A7" s="1" t="s">
        <v>115</v>
      </c>
      <c r="B7" s="1" t="s">
        <v>16</v>
      </c>
      <c r="C7" s="1" t="str">
        <f>VLOOKUP(B7,Mapping!A:B,2,0)</f>
        <v>Lateral</v>
      </c>
      <c r="D7" s="1" t="str">
        <f>VLOOKUP(B7,Mapping!A:C,3,0)</f>
        <v>West</v>
      </c>
      <c r="E7" s="1" t="str">
        <f>VLOOKUP(B7,Mapping!A:D,4,0)</f>
        <v>West 1</v>
      </c>
      <c r="F7" s="1" t="str">
        <f>VLOOKUP(B7,Mapping!A:E,5,0)</f>
        <v>Anjli</v>
      </c>
      <c r="G7" s="1" t="str">
        <f>VLOOKUP(B7,Mapping!A:F,6,0)</f>
        <v>Usha</v>
      </c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7"/>
    </row>
    <row r="8" spans="1:19" x14ac:dyDescent="0.35">
      <c r="A8" s="1" t="s">
        <v>115</v>
      </c>
      <c r="B8" s="1" t="s">
        <v>17</v>
      </c>
      <c r="C8" s="1" t="str">
        <f>VLOOKUP(B8,Mapping!A:B,2,0)</f>
        <v>Lateral</v>
      </c>
      <c r="D8" s="1" t="str">
        <f>VLOOKUP(B8,Mapping!A:C,3,0)</f>
        <v>West</v>
      </c>
      <c r="E8" s="1" t="str">
        <f>VLOOKUP(B8,Mapping!A:D,4,0)</f>
        <v>West 2</v>
      </c>
      <c r="F8" s="1" t="str">
        <f>VLOOKUP(B8,Mapping!A:E,5,0)</f>
        <v>Anjli</v>
      </c>
      <c r="G8" s="1" t="str">
        <f>VLOOKUP(B8,Mapping!A:F,6,0)</f>
        <v>Shweta</v>
      </c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7"/>
    </row>
    <row r="9" spans="1:19" x14ac:dyDescent="0.35">
      <c r="A9" s="1" t="s">
        <v>115</v>
      </c>
      <c r="B9" s="1" t="s">
        <v>18</v>
      </c>
      <c r="C9" s="1" t="str">
        <f>VLOOKUP(B9,Mapping!A:B,2,0)</f>
        <v>Lateral</v>
      </c>
      <c r="D9" s="1" t="str">
        <f>VLOOKUP(B9,Mapping!A:C,3,0)</f>
        <v>West</v>
      </c>
      <c r="E9" s="1" t="str">
        <f>VLOOKUP(B9,Mapping!A:D,4,0)</f>
        <v>West 1</v>
      </c>
      <c r="F9" s="1" t="str">
        <f>VLOOKUP(B9,Mapping!A:E,5,0)</f>
        <v>Anjli</v>
      </c>
      <c r="G9" s="1" t="str">
        <f>VLOOKUP(B9,Mapping!A:F,6,0)</f>
        <v>Geetu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7"/>
    </row>
    <row r="10" spans="1:19" x14ac:dyDescent="0.35">
      <c r="A10" s="1" t="s">
        <v>115</v>
      </c>
      <c r="B10" s="1" t="s">
        <v>20</v>
      </c>
      <c r="C10" s="1" t="str">
        <f>VLOOKUP(B10,Mapping!A:B,2,0)</f>
        <v>Lateral</v>
      </c>
      <c r="D10" s="1" t="str">
        <f>VLOOKUP(B10,Mapping!A:C,3,0)</f>
        <v>West</v>
      </c>
      <c r="E10" s="1" t="str">
        <f>VLOOKUP(B10,Mapping!A:D,4,0)</f>
        <v>West 1</v>
      </c>
      <c r="F10" s="1" t="str">
        <f>VLOOKUP(B10,Mapping!A:E,5,0)</f>
        <v>Anjli</v>
      </c>
      <c r="G10" s="1" t="str">
        <f>VLOOKUP(B10,Mapping!A:F,6,0)</f>
        <v>Geetu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7"/>
    </row>
    <row r="11" spans="1:19" x14ac:dyDescent="0.35">
      <c r="A11" s="1" t="s">
        <v>115</v>
      </c>
      <c r="B11" s="1" t="s">
        <v>21</v>
      </c>
      <c r="C11" s="1" t="str">
        <f>VLOOKUP(B11,Mapping!A:B,2,0)</f>
        <v>Lateral</v>
      </c>
      <c r="D11" s="1" t="str">
        <f>VLOOKUP(B11,Mapping!A:C,3,0)</f>
        <v>South</v>
      </c>
      <c r="E11" s="1" t="str">
        <f>VLOOKUP(B11,Mapping!A:D,4,0)</f>
        <v>South 1</v>
      </c>
      <c r="F11" s="1" t="str">
        <f>VLOOKUP(B11,Mapping!A:E,5,0)</f>
        <v>Mahak</v>
      </c>
      <c r="G11" s="1" t="str">
        <f>VLOOKUP(B11,Mapping!A:F,6,0)</f>
        <v>Mahak</v>
      </c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7"/>
    </row>
    <row r="12" spans="1:19" x14ac:dyDescent="0.35">
      <c r="A12" s="1" t="s">
        <v>115</v>
      </c>
      <c r="B12" s="1" t="s">
        <v>23</v>
      </c>
      <c r="C12" s="1" t="str">
        <f>VLOOKUP(B12,Mapping!A:B,2,0)</f>
        <v>Lateral</v>
      </c>
      <c r="D12" s="1" t="str">
        <f>VLOOKUP(B12,Mapping!A:C,3,0)</f>
        <v>South</v>
      </c>
      <c r="E12" s="1" t="str">
        <f>VLOOKUP(B12,Mapping!A:D,4,0)</f>
        <v>South 1</v>
      </c>
      <c r="F12" s="1" t="str">
        <f>VLOOKUP(B12,Mapping!A:E,5,0)</f>
        <v>Anjli</v>
      </c>
      <c r="G12" s="1" t="str">
        <f>VLOOKUP(B12,Mapping!A:F,6,0)</f>
        <v>Satya</v>
      </c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7"/>
    </row>
    <row r="13" spans="1:19" x14ac:dyDescent="0.35">
      <c r="A13" s="1" t="s">
        <v>115</v>
      </c>
      <c r="B13" s="1" t="s">
        <v>25</v>
      </c>
      <c r="C13" s="1" t="str">
        <f>VLOOKUP(B13,Mapping!A:B,2,0)</f>
        <v>Lateral</v>
      </c>
      <c r="D13" s="1" t="str">
        <f>VLOOKUP(B13,Mapping!A:C,3,0)</f>
        <v>West</v>
      </c>
      <c r="E13" s="1" t="str">
        <f>VLOOKUP(B13,Mapping!A:D,4,0)</f>
        <v>West 1</v>
      </c>
      <c r="F13" s="1" t="str">
        <f>VLOOKUP(B13,Mapping!A:E,5,0)</f>
        <v>Anjli</v>
      </c>
      <c r="G13" s="1" t="str">
        <f>VLOOKUP(B13,Mapping!A:F,6,0)</f>
        <v>Geetu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7"/>
    </row>
    <row r="14" spans="1:19" x14ac:dyDescent="0.35">
      <c r="A14" s="1" t="s">
        <v>115</v>
      </c>
      <c r="B14" s="1" t="s">
        <v>26</v>
      </c>
      <c r="C14" s="1" t="str">
        <f>VLOOKUP(B14,Mapping!A:B,2,0)</f>
        <v>Lateral</v>
      </c>
      <c r="D14" s="1" t="str">
        <f>VLOOKUP(B14,Mapping!A:C,3,0)</f>
        <v>South</v>
      </c>
      <c r="E14" s="1" t="str">
        <f>VLOOKUP(B14,Mapping!A:D,4,0)</f>
        <v>South 2</v>
      </c>
      <c r="F14" s="1" t="str">
        <f>VLOOKUP(B14,Mapping!A:E,5,0)</f>
        <v>Sulabh</v>
      </c>
      <c r="G14" s="1" t="str">
        <f>VLOOKUP(B14,Mapping!A:F,6,0)</f>
        <v>Krishna</v>
      </c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7"/>
    </row>
    <row r="15" spans="1:19" x14ac:dyDescent="0.35">
      <c r="A15" s="1" t="s">
        <v>115</v>
      </c>
      <c r="B15" s="1" t="s">
        <v>28</v>
      </c>
      <c r="C15" s="1" t="str">
        <f>VLOOKUP(B15,Mapping!A:B,2,0)</f>
        <v>Lateral</v>
      </c>
      <c r="D15" s="1" t="str">
        <f>VLOOKUP(B15,Mapping!A:C,3,0)</f>
        <v>West</v>
      </c>
      <c r="E15" s="1" t="str">
        <f>VLOOKUP(B15,Mapping!A:D,4,0)</f>
        <v>West 1</v>
      </c>
      <c r="F15" s="1" t="str">
        <f>VLOOKUP(B15,Mapping!A:E,5,0)</f>
        <v>Anjli</v>
      </c>
      <c r="G15" s="1" t="str">
        <f>VLOOKUP(B15,Mapping!A:F,6,0)</f>
        <v>Dhriti</v>
      </c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7"/>
    </row>
    <row r="16" spans="1:19" x14ac:dyDescent="0.35">
      <c r="A16" s="1" t="s">
        <v>115</v>
      </c>
      <c r="B16" s="1" t="s">
        <v>29</v>
      </c>
      <c r="C16" s="1" t="str">
        <f>VLOOKUP(B16,Mapping!A:B,2,0)</f>
        <v>Lateral</v>
      </c>
      <c r="D16" s="1" t="str">
        <f>VLOOKUP(B16,Mapping!A:C,3,0)</f>
        <v>South</v>
      </c>
      <c r="E16" s="1" t="str">
        <f>VLOOKUP(B16,Mapping!A:D,4,0)</f>
        <v>South 2</v>
      </c>
      <c r="F16" s="1" t="str">
        <f>VLOOKUP(B16,Mapping!A:E,5,0)</f>
        <v>Sulabh</v>
      </c>
      <c r="G16" s="1" t="str">
        <f>VLOOKUP(B16,Mapping!A:F,6,0)</f>
        <v>Krishna</v>
      </c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7"/>
    </row>
    <row r="17" spans="1:19" x14ac:dyDescent="0.35">
      <c r="A17" s="1" t="s">
        <v>115</v>
      </c>
      <c r="B17" s="1" t="s">
        <v>30</v>
      </c>
      <c r="C17" s="1" t="str">
        <f>VLOOKUP(B17,Mapping!A:B,2,0)</f>
        <v>Lateral</v>
      </c>
      <c r="D17" s="1" t="str">
        <f>VLOOKUP(B17,Mapping!A:C,3,0)</f>
        <v>South</v>
      </c>
      <c r="E17" s="1" t="str">
        <f>VLOOKUP(B17,Mapping!A:D,4,0)</f>
        <v>South 1</v>
      </c>
      <c r="F17" s="1" t="str">
        <f>VLOOKUP(B17,Mapping!A:E,5,0)</f>
        <v>Sulabh</v>
      </c>
      <c r="G17" s="1" t="str">
        <f>VLOOKUP(B17,Mapping!A:F,6,0)</f>
        <v>Subu</v>
      </c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7"/>
    </row>
    <row r="18" spans="1:19" x14ac:dyDescent="0.35">
      <c r="A18" s="1" t="s">
        <v>115</v>
      </c>
      <c r="B18" s="1" t="s">
        <v>32</v>
      </c>
      <c r="C18" s="1" t="str">
        <f>VLOOKUP(B18,Mapping!A:B,2,0)</f>
        <v>Lateral</v>
      </c>
      <c r="D18" s="1" t="str">
        <f>VLOOKUP(B18,Mapping!A:C,3,0)</f>
        <v>West</v>
      </c>
      <c r="E18" s="1" t="str">
        <f>VLOOKUP(B18,Mapping!A:D,4,0)</f>
        <v>West 2</v>
      </c>
      <c r="F18" s="1" t="str">
        <f>VLOOKUP(B18,Mapping!A:E,5,0)</f>
        <v>Anjli</v>
      </c>
      <c r="G18" s="1" t="str">
        <f>VLOOKUP(B18,Mapping!A:F,6,0)</f>
        <v>Anjli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7"/>
    </row>
    <row r="19" spans="1:19" x14ac:dyDescent="0.35">
      <c r="A19" s="1" t="s">
        <v>115</v>
      </c>
      <c r="B19" s="1" t="s">
        <v>33</v>
      </c>
      <c r="C19" s="1" t="str">
        <f>VLOOKUP(B19,Mapping!A:B,2,0)</f>
        <v>Lateral</v>
      </c>
      <c r="D19" s="1" t="str">
        <f>VLOOKUP(B19,Mapping!A:C,3,0)</f>
        <v>West</v>
      </c>
      <c r="E19" s="1" t="str">
        <f>VLOOKUP(B19,Mapping!A:D,4,0)</f>
        <v>West 1</v>
      </c>
      <c r="F19" s="1" t="str">
        <f>VLOOKUP(B19,Mapping!A:E,5,0)</f>
        <v>Anjli</v>
      </c>
      <c r="G19" s="1" t="str">
        <f>VLOOKUP(B19,Mapping!A:F,6,0)</f>
        <v>Geetu</v>
      </c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7"/>
    </row>
    <row r="20" spans="1:19" x14ac:dyDescent="0.35">
      <c r="A20" s="1" t="s">
        <v>115</v>
      </c>
      <c r="B20" s="1" t="s">
        <v>34</v>
      </c>
      <c r="C20" s="1" t="str">
        <f>VLOOKUP(B20,Mapping!A:B,2,0)</f>
        <v>Lateral</v>
      </c>
      <c r="D20" s="1" t="str">
        <f>VLOOKUP(B20,Mapping!A:C,3,0)</f>
        <v>South</v>
      </c>
      <c r="E20" s="1" t="str">
        <f>VLOOKUP(B20,Mapping!A:D,4,0)</f>
        <v>South 1</v>
      </c>
      <c r="F20" s="1" t="str">
        <f>VLOOKUP(B20,Mapping!A:E,5,0)</f>
        <v>Sulabh</v>
      </c>
      <c r="G20" s="1" t="str">
        <f>VLOOKUP(B20,Mapping!A:F,6,0)</f>
        <v>Satya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7"/>
    </row>
    <row r="21" spans="1:19" x14ac:dyDescent="0.35">
      <c r="A21" s="1" t="s">
        <v>115</v>
      </c>
      <c r="B21" s="1" t="s">
        <v>35</v>
      </c>
      <c r="C21" s="1" t="str">
        <f>VLOOKUP(B21,Mapping!A:B,2,0)</f>
        <v>Lateral</v>
      </c>
      <c r="D21" s="1" t="str">
        <f>VLOOKUP(B21,Mapping!A:C,3,0)</f>
        <v>West</v>
      </c>
      <c r="E21" s="1" t="str">
        <f>VLOOKUP(B21,Mapping!A:D,4,0)</f>
        <v>West 1</v>
      </c>
      <c r="F21" s="1" t="str">
        <f>VLOOKUP(B21,Mapping!A:E,5,0)</f>
        <v>Anjli</v>
      </c>
      <c r="G21" s="1" t="str">
        <f>VLOOKUP(B21,Mapping!A:F,6,0)</f>
        <v>Alifia</v>
      </c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7"/>
    </row>
    <row r="22" spans="1:19" x14ac:dyDescent="0.35">
      <c r="A22" s="1" t="s">
        <v>115</v>
      </c>
      <c r="B22" s="1" t="s">
        <v>37</v>
      </c>
      <c r="C22" s="1" t="str">
        <f>VLOOKUP(B22,Mapping!A:B,2,0)</f>
        <v>Lateral</v>
      </c>
      <c r="D22" s="1" t="str">
        <f>VLOOKUP(B22,Mapping!A:C,3,0)</f>
        <v>South</v>
      </c>
      <c r="E22" s="1" t="str">
        <f>VLOOKUP(B22,Mapping!A:D,4,0)</f>
        <v>South 2</v>
      </c>
      <c r="F22" s="1" t="str">
        <f>VLOOKUP(B22,Mapping!A:E,5,0)</f>
        <v>Sulabh</v>
      </c>
      <c r="G22" s="1" t="str">
        <f>VLOOKUP(B22,Mapping!A:F,6,0)</f>
        <v>Subu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7"/>
    </row>
    <row r="23" spans="1:19" x14ac:dyDescent="0.35">
      <c r="A23" s="1" t="s">
        <v>115</v>
      </c>
      <c r="B23" s="1" t="s">
        <v>38</v>
      </c>
      <c r="C23" s="1" t="str">
        <f>VLOOKUP(B23,Mapping!A:B,2,0)</f>
        <v>Lateral</v>
      </c>
      <c r="D23" s="1" t="str">
        <f>VLOOKUP(B23,Mapping!A:C,3,0)</f>
        <v>North</v>
      </c>
      <c r="E23" s="1" t="str">
        <f>VLOOKUP(B23,Mapping!A:D,4,0)</f>
        <v>North</v>
      </c>
      <c r="F23" s="1" t="str">
        <f>VLOOKUP(B23,Mapping!A:E,5,0)</f>
        <v>Anjli</v>
      </c>
      <c r="G23" s="1" t="str">
        <f>VLOOKUP(B23,Mapping!A:F,6,0)</f>
        <v>Archana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7"/>
    </row>
    <row r="24" spans="1:19" x14ac:dyDescent="0.35">
      <c r="A24" s="1" t="s">
        <v>115</v>
      </c>
      <c r="B24" s="1" t="s">
        <v>39</v>
      </c>
      <c r="C24" s="1" t="str">
        <f>VLOOKUP(B24,Mapping!A:B,2,0)</f>
        <v>Lateral</v>
      </c>
      <c r="D24" s="1" t="str">
        <f>VLOOKUP(B24,Mapping!A:C,3,0)</f>
        <v>South</v>
      </c>
      <c r="E24" s="1" t="str">
        <f>VLOOKUP(B24,Mapping!A:D,4,0)</f>
        <v>South 2</v>
      </c>
      <c r="F24" s="1" t="str">
        <f>VLOOKUP(B24,Mapping!A:E,5,0)</f>
        <v>Sulabh</v>
      </c>
      <c r="G24" s="1" t="str">
        <f>VLOOKUP(B24,Mapping!A:F,6,0)</f>
        <v>Krishna</v>
      </c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7"/>
    </row>
    <row r="25" spans="1:19" x14ac:dyDescent="0.35">
      <c r="A25" s="1" t="s">
        <v>115</v>
      </c>
      <c r="B25" s="1" t="s">
        <v>40</v>
      </c>
      <c r="C25" s="1" t="str">
        <f>VLOOKUP(B25,Mapping!A:B,2,0)</f>
        <v>Lateral</v>
      </c>
      <c r="D25" s="1" t="str">
        <f>VLOOKUP(B25,Mapping!A:C,3,0)</f>
        <v>West</v>
      </c>
      <c r="E25" s="1" t="str">
        <f>VLOOKUP(B25,Mapping!A:D,4,0)</f>
        <v>West 2</v>
      </c>
      <c r="F25" s="1" t="str">
        <f>VLOOKUP(B25,Mapping!A:E,5,0)</f>
        <v>Anjli</v>
      </c>
      <c r="G25" s="1" t="str">
        <f>VLOOKUP(B25,Mapping!A:F,6,0)</f>
        <v>Shweta</v>
      </c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7"/>
    </row>
    <row r="26" spans="1:19" x14ac:dyDescent="0.35">
      <c r="A26" s="1" t="s">
        <v>115</v>
      </c>
      <c r="B26" s="1" t="s">
        <v>41</v>
      </c>
      <c r="C26" s="1" t="str">
        <f>VLOOKUP(B26,Mapping!A:B,2,0)</f>
        <v>Lateral</v>
      </c>
      <c r="D26" s="1" t="str">
        <f>VLOOKUP(B26,Mapping!A:C,3,0)</f>
        <v>South</v>
      </c>
      <c r="E26" s="1" t="str">
        <f>VLOOKUP(B26,Mapping!A:D,4,0)</f>
        <v>South 2</v>
      </c>
      <c r="F26" s="1" t="str">
        <f>VLOOKUP(B26,Mapping!A:E,5,0)</f>
        <v>Sulabh</v>
      </c>
      <c r="G26" s="1" t="str">
        <f>VLOOKUP(B26,Mapping!A:F,6,0)</f>
        <v>Krishna</v>
      </c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7"/>
    </row>
    <row r="27" spans="1:19" x14ac:dyDescent="0.35">
      <c r="A27" s="1" t="s">
        <v>115</v>
      </c>
      <c r="B27" s="1" t="s">
        <v>42</v>
      </c>
      <c r="C27" s="1" t="str">
        <f>VLOOKUP(B27,Mapping!A:B,2,0)</f>
        <v>Lateral</v>
      </c>
      <c r="D27" s="1" t="str">
        <f>VLOOKUP(B27,Mapping!A:C,3,0)</f>
        <v>North</v>
      </c>
      <c r="E27" s="1" t="str">
        <f>VLOOKUP(B27,Mapping!A:D,4,0)</f>
        <v>North</v>
      </c>
      <c r="F27" s="1" t="str">
        <f>VLOOKUP(B27,Mapping!A:E,5,0)</f>
        <v>Anjli</v>
      </c>
      <c r="G27" s="1" t="str">
        <f>VLOOKUP(B27,Mapping!A:F,6,0)</f>
        <v>Archana</v>
      </c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7"/>
    </row>
    <row r="28" spans="1:19" x14ac:dyDescent="0.35">
      <c r="A28" s="1" t="s">
        <v>115</v>
      </c>
      <c r="B28" s="1" t="s">
        <v>43</v>
      </c>
      <c r="C28" s="1" t="str">
        <f>VLOOKUP(B28,Mapping!A:B,2,0)</f>
        <v>Lateral</v>
      </c>
      <c r="D28" s="1" t="str">
        <f>VLOOKUP(B28,Mapping!A:C,3,0)</f>
        <v>West</v>
      </c>
      <c r="E28" s="1" t="str">
        <f>VLOOKUP(B28,Mapping!A:D,4,0)</f>
        <v>West 2</v>
      </c>
      <c r="F28" s="1" t="str">
        <f>VLOOKUP(B28,Mapping!A:E,5,0)</f>
        <v>Anjli</v>
      </c>
      <c r="G28" s="1" t="str">
        <f>VLOOKUP(B28,Mapping!A:F,6,0)</f>
        <v>Shweta</v>
      </c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7"/>
    </row>
    <row r="29" spans="1:19" x14ac:dyDescent="0.35">
      <c r="A29" s="1" t="s">
        <v>115</v>
      </c>
      <c r="B29" s="1" t="s">
        <v>44</v>
      </c>
      <c r="C29" s="1" t="str">
        <f>VLOOKUP(B29,Mapping!A:B,2,0)</f>
        <v>Lateral</v>
      </c>
      <c r="D29" s="1" t="str">
        <f>VLOOKUP(B29,Mapping!A:C,3,0)</f>
        <v>North</v>
      </c>
      <c r="E29" s="1" t="str">
        <f>VLOOKUP(B29,Mapping!A:D,4,0)</f>
        <v>North</v>
      </c>
      <c r="F29" s="1" t="str">
        <f>VLOOKUP(B29,Mapping!A:E,5,0)</f>
        <v>Anjli</v>
      </c>
      <c r="G29" s="1" t="str">
        <f>VLOOKUP(B29,Mapping!A:F,6,0)</f>
        <v>Archana</v>
      </c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7"/>
    </row>
    <row r="30" spans="1:19" x14ac:dyDescent="0.35">
      <c r="A30" s="1" t="s">
        <v>115</v>
      </c>
      <c r="B30" s="1" t="s">
        <v>45</v>
      </c>
      <c r="C30" s="1" t="str">
        <f>VLOOKUP(B30,Mapping!A:B,2,0)</f>
        <v>Lateral</v>
      </c>
      <c r="D30" s="1" t="str">
        <f>VLOOKUP(B30,Mapping!A:C,3,0)</f>
        <v>South</v>
      </c>
      <c r="E30" s="1" t="str">
        <f>VLOOKUP(B30,Mapping!A:D,4,0)</f>
        <v>South 2</v>
      </c>
      <c r="F30" s="1" t="str">
        <f>VLOOKUP(B30,Mapping!A:E,5,0)</f>
        <v>Sulabh</v>
      </c>
      <c r="G30" s="1" t="str">
        <f>VLOOKUP(B30,Mapping!A:F,6,0)</f>
        <v>Krishna</v>
      </c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7"/>
    </row>
    <row r="31" spans="1:19" x14ac:dyDescent="0.35">
      <c r="A31" s="1" t="s">
        <v>115</v>
      </c>
      <c r="B31" s="1" t="s">
        <v>46</v>
      </c>
      <c r="C31" s="1" t="str">
        <f>VLOOKUP(B31,Mapping!A:B,2,0)</f>
        <v>Lateral</v>
      </c>
      <c r="D31" s="1" t="str">
        <f>VLOOKUP(B31,Mapping!A:C,3,0)</f>
        <v>West</v>
      </c>
      <c r="E31" s="1" t="str">
        <f>VLOOKUP(B31,Mapping!A:D,4,0)</f>
        <v>West 1</v>
      </c>
      <c r="F31" s="1" t="str">
        <f>VLOOKUP(B31,Mapping!A:E,5,0)</f>
        <v>Anjli</v>
      </c>
      <c r="G31" s="1" t="str">
        <f>VLOOKUP(B31,Mapping!A:F,6,0)</f>
        <v>Geetu</v>
      </c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7"/>
    </row>
    <row r="32" spans="1:19" x14ac:dyDescent="0.35">
      <c r="A32" s="1" t="s">
        <v>115</v>
      </c>
      <c r="B32" s="1" t="s">
        <v>47</v>
      </c>
      <c r="C32" s="1" t="str">
        <f>VLOOKUP(B32,Mapping!A:B,2,0)</f>
        <v>Lateral</v>
      </c>
      <c r="D32" s="1" t="str">
        <f>VLOOKUP(B32,Mapping!A:C,3,0)</f>
        <v>West</v>
      </c>
      <c r="E32" s="1" t="str">
        <f>VLOOKUP(B32,Mapping!A:D,4,0)</f>
        <v>West 1</v>
      </c>
      <c r="F32" s="1" t="str">
        <f>VLOOKUP(B32,Mapping!A:E,5,0)</f>
        <v>Anjli</v>
      </c>
      <c r="G32" s="1" t="str">
        <f>VLOOKUP(B32,Mapping!A:F,6,0)</f>
        <v>Geetu</v>
      </c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7"/>
    </row>
    <row r="33" spans="1:19" x14ac:dyDescent="0.35">
      <c r="A33" s="1" t="s">
        <v>115</v>
      </c>
      <c r="B33" s="1" t="s">
        <v>48</v>
      </c>
      <c r="C33" s="1" t="str">
        <f>VLOOKUP(B33,Mapping!A:B,2,0)</f>
        <v>Lateral</v>
      </c>
      <c r="D33" s="1" t="str">
        <f>VLOOKUP(B33,Mapping!A:C,3,0)</f>
        <v>West</v>
      </c>
      <c r="E33" s="1" t="str">
        <f>VLOOKUP(B33,Mapping!A:D,4,0)</f>
        <v>West 1</v>
      </c>
      <c r="F33" s="1" t="str">
        <f>VLOOKUP(B33,Mapping!A:E,5,0)</f>
        <v>Anjli</v>
      </c>
      <c r="G33" s="1" t="str">
        <f>VLOOKUP(B33,Mapping!A:F,6,0)</f>
        <v>Geetu</v>
      </c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7"/>
    </row>
    <row r="34" spans="1:19" x14ac:dyDescent="0.35">
      <c r="A34" s="1" t="s">
        <v>115</v>
      </c>
      <c r="B34" s="1" t="s">
        <v>49</v>
      </c>
      <c r="C34" s="1" t="str">
        <f>VLOOKUP(B34,Mapping!A:B,2,0)</f>
        <v>Lateral</v>
      </c>
      <c r="D34" s="1" t="str">
        <f>VLOOKUP(B34,Mapping!A:C,3,0)</f>
        <v>North</v>
      </c>
      <c r="E34" s="1" t="str">
        <f>VLOOKUP(B34,Mapping!A:D,4,0)</f>
        <v>North</v>
      </c>
      <c r="F34" s="1" t="str">
        <f>VLOOKUP(B34,Mapping!A:E,5,0)</f>
        <v>Anjli</v>
      </c>
      <c r="G34" s="1" t="str">
        <f>VLOOKUP(B34,Mapping!A:F,6,0)</f>
        <v>Archana</v>
      </c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7"/>
    </row>
    <row r="35" spans="1:19" x14ac:dyDescent="0.35">
      <c r="A35" s="1" t="s">
        <v>115</v>
      </c>
      <c r="B35" s="1" t="s">
        <v>50</v>
      </c>
      <c r="C35" s="1" t="str">
        <f>VLOOKUP(B35,Mapping!A:B,2,0)</f>
        <v>Lateral</v>
      </c>
      <c r="D35" s="1" t="str">
        <f>VLOOKUP(B35,Mapping!A:C,3,0)</f>
        <v>North</v>
      </c>
      <c r="E35" s="1" t="str">
        <f>VLOOKUP(B35,Mapping!A:D,4,0)</f>
        <v>North</v>
      </c>
      <c r="F35" s="1" t="str">
        <f>VLOOKUP(B35,Mapping!A:E,5,0)</f>
        <v>Anjli</v>
      </c>
      <c r="G35" s="1" t="str">
        <f>VLOOKUP(B35,Mapping!A:F,6,0)</f>
        <v>Archana</v>
      </c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7"/>
    </row>
    <row r="36" spans="1:19" x14ac:dyDescent="0.35">
      <c r="A36" s="1" t="s">
        <v>115</v>
      </c>
      <c r="B36" s="1" t="s">
        <v>51</v>
      </c>
      <c r="C36" s="1" t="str">
        <f>VLOOKUP(B36,Mapping!A:B,2,0)</f>
        <v>Lateral</v>
      </c>
      <c r="D36" s="1" t="str">
        <f>VLOOKUP(B36,Mapping!A:C,3,0)</f>
        <v>West</v>
      </c>
      <c r="E36" s="1" t="str">
        <f>VLOOKUP(B36,Mapping!A:D,4,0)</f>
        <v>West 1</v>
      </c>
      <c r="F36" s="1" t="str">
        <f>VLOOKUP(B36,Mapping!A:E,5,0)</f>
        <v>Anjli</v>
      </c>
      <c r="G36" s="1" t="str">
        <f>VLOOKUP(B36,Mapping!A:F,6,0)</f>
        <v>Geetu</v>
      </c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7"/>
    </row>
    <row r="37" spans="1:19" x14ac:dyDescent="0.35">
      <c r="A37" s="1" t="s">
        <v>115</v>
      </c>
      <c r="B37" s="1" t="s">
        <v>52</v>
      </c>
      <c r="C37" s="1" t="str">
        <f>VLOOKUP(B37,Mapping!A:B,2,0)</f>
        <v>Lateral</v>
      </c>
      <c r="D37" s="1" t="str">
        <f>VLOOKUP(B37,Mapping!A:C,3,0)</f>
        <v>West</v>
      </c>
      <c r="E37" s="1" t="str">
        <f>VLOOKUP(B37,Mapping!A:D,4,0)</f>
        <v>West 2</v>
      </c>
      <c r="F37" s="1" t="str">
        <f>VLOOKUP(B37,Mapping!A:E,5,0)</f>
        <v>Anjli</v>
      </c>
      <c r="G37" s="1" t="str">
        <f>VLOOKUP(B37,Mapping!A:F,6,0)</f>
        <v>Shweta</v>
      </c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7"/>
    </row>
    <row r="38" spans="1:19" x14ac:dyDescent="0.35">
      <c r="A38" s="1" t="s">
        <v>115</v>
      </c>
      <c r="B38" s="1" t="s">
        <v>53</v>
      </c>
      <c r="C38" s="1" t="str">
        <f>VLOOKUP(B38,Mapping!A:B,2,0)</f>
        <v>Lateral</v>
      </c>
      <c r="D38" s="1" t="str">
        <f>VLOOKUP(B38,Mapping!A:C,3,0)</f>
        <v>West</v>
      </c>
      <c r="E38" s="1" t="str">
        <f>VLOOKUP(B38,Mapping!A:D,4,0)</f>
        <v>West 1</v>
      </c>
      <c r="F38" s="1" t="str">
        <f>VLOOKUP(B38,Mapping!A:E,5,0)</f>
        <v>Anjli</v>
      </c>
      <c r="G38" s="1" t="str">
        <f>VLOOKUP(B38,Mapping!A:F,6,0)</f>
        <v>Ankit</v>
      </c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7"/>
    </row>
    <row r="39" spans="1:19" x14ac:dyDescent="0.35">
      <c r="A39" s="1" t="s">
        <v>115</v>
      </c>
      <c r="B39" s="1" t="s">
        <v>55</v>
      </c>
      <c r="C39" s="1" t="str">
        <f>VLOOKUP(B39,Mapping!A:B,2,0)</f>
        <v>Lateral</v>
      </c>
      <c r="D39" s="1" t="str">
        <f>VLOOKUP(B39,Mapping!A:C,3,0)</f>
        <v>South</v>
      </c>
      <c r="E39" s="1" t="str">
        <f>VLOOKUP(B39,Mapping!A:D,4,0)</f>
        <v>South 2</v>
      </c>
      <c r="F39" s="1" t="str">
        <f>VLOOKUP(B39,Mapping!A:E,5,0)</f>
        <v>Sulabh</v>
      </c>
      <c r="G39" s="1" t="str">
        <f>VLOOKUP(B39,Mapping!A:F,6,0)</f>
        <v>Krishna</v>
      </c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7"/>
    </row>
    <row r="40" spans="1:19" x14ac:dyDescent="0.35">
      <c r="A40" s="1" t="s">
        <v>115</v>
      </c>
      <c r="B40" s="1" t="s">
        <v>56</v>
      </c>
      <c r="C40" s="1" t="str">
        <f>VLOOKUP(B40,Mapping!A:B,2,0)</f>
        <v>Lateral</v>
      </c>
      <c r="D40" s="1" t="str">
        <f>VLOOKUP(B40,Mapping!A:C,3,0)</f>
        <v>North</v>
      </c>
      <c r="E40" s="1" t="str">
        <f>VLOOKUP(B40,Mapping!A:D,4,0)</f>
        <v>North</v>
      </c>
      <c r="F40" s="1" t="str">
        <f>VLOOKUP(B40,Mapping!A:E,5,0)</f>
        <v>Anjli</v>
      </c>
      <c r="G40" s="1" t="str">
        <f>VLOOKUP(B40,Mapping!A:F,6,0)</f>
        <v>Archana</v>
      </c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7"/>
    </row>
    <row r="41" spans="1:19" x14ac:dyDescent="0.35">
      <c r="A41" s="1" t="s">
        <v>115</v>
      </c>
      <c r="B41" s="1" t="s">
        <v>57</v>
      </c>
      <c r="C41" s="1" t="str">
        <f>VLOOKUP(B41,Mapping!A:B,2,0)</f>
        <v>Lateral</v>
      </c>
      <c r="D41" s="1" t="str">
        <f>VLOOKUP(B41,Mapping!A:C,3,0)</f>
        <v>South</v>
      </c>
      <c r="E41" s="1" t="str">
        <f>VLOOKUP(B41,Mapping!A:D,4,0)</f>
        <v>South 2</v>
      </c>
      <c r="F41" s="1" t="str">
        <f>VLOOKUP(B41,Mapping!A:E,5,0)</f>
        <v>Sulabh</v>
      </c>
      <c r="G41" s="1" t="str">
        <f>VLOOKUP(B41,Mapping!A:F,6,0)</f>
        <v>Krishna</v>
      </c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7"/>
    </row>
    <row r="42" spans="1:19" x14ac:dyDescent="0.35">
      <c r="A42" s="1" t="s">
        <v>115</v>
      </c>
      <c r="B42" s="1" t="s">
        <v>58</v>
      </c>
      <c r="C42" s="1" t="str">
        <f>VLOOKUP(B42,Mapping!A:B,2,0)</f>
        <v>Lateral</v>
      </c>
      <c r="D42" s="1" t="str">
        <f>VLOOKUP(B42,Mapping!A:C,3,0)</f>
        <v>West</v>
      </c>
      <c r="E42" s="1" t="str">
        <f>VLOOKUP(B42,Mapping!A:D,4,0)</f>
        <v>West 1</v>
      </c>
      <c r="F42" s="1" t="str">
        <f>VLOOKUP(B42,Mapping!A:E,5,0)</f>
        <v>Anjli</v>
      </c>
      <c r="G42" s="1" t="str">
        <f>VLOOKUP(B42,Mapping!A:F,6,0)</f>
        <v>Elton</v>
      </c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7"/>
    </row>
    <row r="43" spans="1:19" x14ac:dyDescent="0.35">
      <c r="A43" s="1" t="s">
        <v>115</v>
      </c>
      <c r="B43" s="1" t="s">
        <v>60</v>
      </c>
      <c r="C43" s="1" t="str">
        <f>VLOOKUP(B43,Mapping!A:B,2,0)</f>
        <v>Lateral</v>
      </c>
      <c r="D43" s="1" t="str">
        <f>VLOOKUP(B43,Mapping!A:C,3,0)</f>
        <v>West</v>
      </c>
      <c r="E43" s="1" t="str">
        <f>VLOOKUP(B43,Mapping!A:D,4,0)</f>
        <v>West 2</v>
      </c>
      <c r="F43" s="1" t="str">
        <f>VLOOKUP(B43,Mapping!A:E,5,0)</f>
        <v>Anjli</v>
      </c>
      <c r="G43" s="1" t="str">
        <f>VLOOKUP(B43,Mapping!A:F,6,0)</f>
        <v>Shweta</v>
      </c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7"/>
    </row>
    <row r="44" spans="1:19" x14ac:dyDescent="0.35">
      <c r="A44" s="1" t="s">
        <v>115</v>
      </c>
      <c r="B44" s="1" t="s">
        <v>61</v>
      </c>
      <c r="C44" s="1" t="str">
        <f>VLOOKUP(B44,Mapping!A:B,2,0)</f>
        <v>Lateral</v>
      </c>
      <c r="D44" s="1" t="str">
        <f>VLOOKUP(B44,Mapping!A:C,3,0)</f>
        <v>West</v>
      </c>
      <c r="E44" s="1" t="str">
        <f>VLOOKUP(B44,Mapping!A:D,4,0)</f>
        <v>West 1</v>
      </c>
      <c r="F44" s="1" t="str">
        <f>VLOOKUP(B44,Mapping!A:E,5,0)</f>
        <v>Anjli</v>
      </c>
      <c r="G44" s="1" t="str">
        <f>VLOOKUP(B44,Mapping!A:F,6,0)</f>
        <v>Elton</v>
      </c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7"/>
    </row>
    <row r="45" spans="1:19" x14ac:dyDescent="0.35">
      <c r="A45" s="1" t="s">
        <v>115</v>
      </c>
      <c r="B45" s="1" t="s">
        <v>62</v>
      </c>
      <c r="C45" s="1" t="str">
        <f>VLOOKUP(B45,Mapping!A:B,2,0)</f>
        <v>Lateral</v>
      </c>
      <c r="D45" s="1" t="str">
        <f>VLOOKUP(B45,Mapping!A:C,3,0)</f>
        <v>South</v>
      </c>
      <c r="E45" s="1" t="str">
        <f>VLOOKUP(B45,Mapping!A:D,4,0)</f>
        <v>South 2</v>
      </c>
      <c r="F45" s="1" t="str">
        <f>VLOOKUP(B45,Mapping!A:E,5,0)</f>
        <v>Sulabh</v>
      </c>
      <c r="G45" s="1" t="str">
        <f>VLOOKUP(B45,Mapping!A:F,6,0)</f>
        <v>Subu</v>
      </c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7"/>
    </row>
    <row r="46" spans="1:19" x14ac:dyDescent="0.35">
      <c r="A46" s="1" t="s">
        <v>115</v>
      </c>
      <c r="B46" s="1" t="s">
        <v>63</v>
      </c>
      <c r="C46" s="1" t="str">
        <f>VLOOKUP(B46,Mapping!A:B,2,0)</f>
        <v>Lateral</v>
      </c>
      <c r="D46" s="1" t="str">
        <f>VLOOKUP(B46,Mapping!A:C,3,0)</f>
        <v>West</v>
      </c>
      <c r="E46" s="1" t="str">
        <f>VLOOKUP(B46,Mapping!A:D,4,0)</f>
        <v>West 1</v>
      </c>
      <c r="F46" s="1" t="str">
        <f>VLOOKUP(B46,Mapping!A:E,5,0)</f>
        <v>Anjli</v>
      </c>
      <c r="G46" s="1" t="str">
        <f>VLOOKUP(B46,Mapping!A:F,6,0)</f>
        <v>Elton</v>
      </c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7"/>
    </row>
    <row r="47" spans="1:19" x14ac:dyDescent="0.35">
      <c r="A47" s="1" t="s">
        <v>115</v>
      </c>
      <c r="B47" s="1" t="s">
        <v>64</v>
      </c>
      <c r="C47" s="1" t="str">
        <f>VLOOKUP(B47,Mapping!A:B,2,0)</f>
        <v>Lateral</v>
      </c>
      <c r="D47" s="1" t="str">
        <f>VLOOKUP(B47,Mapping!A:C,3,0)</f>
        <v>South</v>
      </c>
      <c r="E47" s="1" t="str">
        <f>VLOOKUP(B47,Mapping!A:D,4,0)</f>
        <v>South 2</v>
      </c>
      <c r="F47" s="1" t="str">
        <f>VLOOKUP(B47,Mapping!A:E,5,0)</f>
        <v>Sulabh</v>
      </c>
      <c r="G47" s="1" t="str">
        <f>VLOOKUP(B47,Mapping!A:F,6,0)</f>
        <v>Sulabh</v>
      </c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7"/>
    </row>
    <row r="48" spans="1:19" x14ac:dyDescent="0.35">
      <c r="A48" s="1" t="s">
        <v>115</v>
      </c>
      <c r="B48" s="1" t="s">
        <v>65</v>
      </c>
      <c r="C48" s="1" t="str">
        <f>VLOOKUP(B48,Mapping!A:B,2,0)</f>
        <v>Lateral</v>
      </c>
      <c r="D48" s="1" t="str">
        <f>VLOOKUP(B48,Mapping!A:C,3,0)</f>
        <v>South</v>
      </c>
      <c r="E48" s="1" t="str">
        <f>VLOOKUP(B48,Mapping!A:D,4,0)</f>
        <v>South 2</v>
      </c>
      <c r="F48" s="1" t="str">
        <f>VLOOKUP(B48,Mapping!A:E,5,0)</f>
        <v>Sulabh</v>
      </c>
      <c r="G48" s="1" t="str">
        <f>VLOOKUP(B48,Mapping!A:F,6,0)</f>
        <v>Sulabh</v>
      </c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7"/>
    </row>
    <row r="49" spans="1:19" x14ac:dyDescent="0.35">
      <c r="A49" s="1" t="s">
        <v>115</v>
      </c>
      <c r="B49" s="1" t="s">
        <v>66</v>
      </c>
      <c r="C49" s="1" t="str">
        <f>VLOOKUP(B49,Mapping!A:B,2,0)</f>
        <v>Lateral</v>
      </c>
      <c r="D49" s="1" t="str">
        <f>VLOOKUP(B49,Mapping!A:C,3,0)</f>
        <v>South</v>
      </c>
      <c r="E49" s="1" t="str">
        <f>VLOOKUP(B49,Mapping!A:D,4,0)</f>
        <v>South 2</v>
      </c>
      <c r="F49" s="1" t="str">
        <f>VLOOKUP(B49,Mapping!A:E,5,0)</f>
        <v>Sulabh</v>
      </c>
      <c r="G49" s="1" t="str">
        <f>VLOOKUP(B49,Mapping!A:F,6,0)</f>
        <v>Abhilash</v>
      </c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7"/>
    </row>
    <row r="50" spans="1:19" x14ac:dyDescent="0.35">
      <c r="A50" s="1" t="s">
        <v>115</v>
      </c>
      <c r="B50" s="1" t="s">
        <v>68</v>
      </c>
      <c r="C50" s="1" t="str">
        <f>VLOOKUP(B50,Mapping!A:B,2,0)</f>
        <v>Lateral</v>
      </c>
      <c r="D50" s="1" t="str">
        <f>VLOOKUP(B50,Mapping!A:C,3,0)</f>
        <v>West</v>
      </c>
      <c r="E50" s="1" t="str">
        <f>VLOOKUP(B50,Mapping!A:D,4,0)</f>
        <v>West 1</v>
      </c>
      <c r="F50" s="1" t="str">
        <f>VLOOKUP(B50,Mapping!A:E,5,0)</f>
        <v>Anjli</v>
      </c>
      <c r="G50" s="1" t="str">
        <f>VLOOKUP(B50,Mapping!A:F,6,0)</f>
        <v>Elton</v>
      </c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7"/>
    </row>
    <row r="51" spans="1:19" x14ac:dyDescent="0.35">
      <c r="A51" s="1" t="s">
        <v>115</v>
      </c>
      <c r="B51" s="1" t="s">
        <v>69</v>
      </c>
      <c r="C51" s="1" t="str">
        <f>VLOOKUP(B51,Mapping!A:B,2,0)</f>
        <v>Leadership</v>
      </c>
      <c r="D51" s="1" t="str">
        <f>VLOOKUP(B51,Mapping!A:C,3,0)</f>
        <v>South</v>
      </c>
      <c r="E51" s="1" t="str">
        <f>VLOOKUP(B51,Mapping!A:D,4,0)</f>
        <v>South 1</v>
      </c>
      <c r="F51" s="1" t="str">
        <f>VLOOKUP(B51,Mapping!A:E,5,0)</f>
        <v>Bapi</v>
      </c>
      <c r="G51" s="1" t="str">
        <f>VLOOKUP(B51,Mapping!A:F,6,0)</f>
        <v>Parul</v>
      </c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7"/>
    </row>
    <row r="52" spans="1:19" x14ac:dyDescent="0.35">
      <c r="A52" s="1" t="s">
        <v>115</v>
      </c>
      <c r="B52" s="1" t="s">
        <v>71</v>
      </c>
      <c r="C52" s="1" t="str">
        <f>VLOOKUP(B52,Mapping!A:B,2,0)</f>
        <v>Leadership</v>
      </c>
      <c r="D52" s="1" t="str">
        <f>VLOOKUP(B52,Mapping!A:C,3,0)</f>
        <v>South</v>
      </c>
      <c r="E52" s="1" t="str">
        <f>VLOOKUP(B52,Mapping!A:D,4,0)</f>
        <v>South 2</v>
      </c>
      <c r="F52" s="1" t="str">
        <f>VLOOKUP(B52,Mapping!A:E,5,0)</f>
        <v>Sulabh</v>
      </c>
      <c r="G52" s="1" t="str">
        <f>VLOOKUP(B52,Mapping!A:F,6,0)</f>
        <v>Parul</v>
      </c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7"/>
    </row>
    <row r="53" spans="1:19" x14ac:dyDescent="0.35">
      <c r="A53" s="1" t="s">
        <v>115</v>
      </c>
      <c r="B53" s="1" t="s">
        <v>72</v>
      </c>
      <c r="C53" s="1" t="str">
        <f>VLOOKUP(B53,Mapping!A:B,2,0)</f>
        <v>Leadership</v>
      </c>
      <c r="D53" s="1" t="str">
        <f>VLOOKUP(B53,Mapping!A:C,3,0)</f>
        <v>West</v>
      </c>
      <c r="E53" s="1" t="str">
        <f>VLOOKUP(B53,Mapping!A:D,4,0)</f>
        <v>West 2</v>
      </c>
      <c r="F53" s="1" t="str">
        <f>VLOOKUP(B53,Mapping!A:E,5,0)</f>
        <v>Anjli</v>
      </c>
      <c r="G53" s="1" t="str">
        <f>VLOOKUP(B53,Mapping!A:F,6,0)</f>
        <v>Parul</v>
      </c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7"/>
    </row>
    <row r="54" spans="1:19" x14ac:dyDescent="0.35">
      <c r="A54" s="1" t="s">
        <v>115</v>
      </c>
      <c r="B54" s="1" t="s">
        <v>73</v>
      </c>
      <c r="C54" s="1" t="str">
        <f>VLOOKUP(B54,Mapping!A:B,2,0)</f>
        <v>Leadership</v>
      </c>
      <c r="D54" s="1" t="str">
        <f>VLOOKUP(B54,Mapping!A:C,3,0)</f>
        <v>West</v>
      </c>
      <c r="E54" s="1" t="str">
        <f>VLOOKUP(B54,Mapping!A:D,4,0)</f>
        <v>West 1</v>
      </c>
      <c r="F54" s="1" t="str">
        <f>VLOOKUP(B54,Mapping!A:E,5,0)</f>
        <v>Anjli</v>
      </c>
      <c r="G54" s="1" t="str">
        <f>VLOOKUP(B54,Mapping!A:F,6,0)</f>
        <v>Parul</v>
      </c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7"/>
    </row>
    <row r="55" spans="1:19" x14ac:dyDescent="0.35">
      <c r="A55" s="1" t="s">
        <v>115</v>
      </c>
      <c r="B55" s="1" t="s">
        <v>74</v>
      </c>
      <c r="C55" s="1" t="str">
        <f>VLOOKUP(B55,Mapping!A:B,2,0)</f>
        <v>Leadership</v>
      </c>
      <c r="D55" s="1" t="str">
        <f>VLOOKUP(B55,Mapping!A:C,3,0)</f>
        <v>West</v>
      </c>
      <c r="E55" s="1" t="str">
        <f>VLOOKUP(B55,Mapping!A:D,4,0)</f>
        <v>West 1</v>
      </c>
      <c r="F55" s="1" t="str">
        <f>VLOOKUP(B55,Mapping!A:E,5,0)</f>
        <v>Anjli</v>
      </c>
      <c r="G55" s="1" t="str">
        <f>VLOOKUP(B55,Mapping!A:F,6,0)</f>
        <v>Parul</v>
      </c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7"/>
    </row>
    <row r="56" spans="1:19" x14ac:dyDescent="0.35">
      <c r="A56" s="1" t="s">
        <v>115</v>
      </c>
      <c r="B56" s="1" t="s">
        <v>75</v>
      </c>
      <c r="C56" s="1" t="str">
        <f>VLOOKUP(B56,Mapping!A:B,2,0)</f>
        <v>Leadership</v>
      </c>
      <c r="D56" s="1" t="str">
        <f>VLOOKUP(B56,Mapping!A:C,3,0)</f>
        <v>South</v>
      </c>
      <c r="E56" s="1" t="str">
        <f>VLOOKUP(B56,Mapping!A:D,4,0)</f>
        <v>South 2</v>
      </c>
      <c r="F56" s="1" t="str">
        <f>VLOOKUP(B56,Mapping!A:E,5,0)</f>
        <v>Sulabh</v>
      </c>
      <c r="G56" s="1" t="str">
        <f>VLOOKUP(B56,Mapping!A:F,6,0)</f>
        <v>Parul</v>
      </c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7"/>
    </row>
    <row r="57" spans="1:19" x14ac:dyDescent="0.35">
      <c r="A57" s="1" t="s">
        <v>115</v>
      </c>
      <c r="B57" s="1" t="s">
        <v>76</v>
      </c>
      <c r="C57" s="1" t="str">
        <f>VLOOKUP(B57,Mapping!A:B,2,0)</f>
        <v>Leadership</v>
      </c>
      <c r="D57" s="1" t="str">
        <f>VLOOKUP(B57,Mapping!A:C,3,0)</f>
        <v>South</v>
      </c>
      <c r="E57" s="1" t="str">
        <f>VLOOKUP(B57,Mapping!A:D,4,0)</f>
        <v>South 2</v>
      </c>
      <c r="F57" s="1" t="str">
        <f>VLOOKUP(B57,Mapping!A:E,5,0)</f>
        <v>Sulabh</v>
      </c>
      <c r="G57" s="1" t="str">
        <f>VLOOKUP(B57,Mapping!A:F,6,0)</f>
        <v>Parul</v>
      </c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7"/>
    </row>
    <row r="58" spans="1:19" x14ac:dyDescent="0.35">
      <c r="A58" s="1" t="s">
        <v>115</v>
      </c>
      <c r="B58" s="1" t="s">
        <v>77</v>
      </c>
      <c r="C58" s="1" t="str">
        <f>VLOOKUP(B58,Mapping!A:B,2,0)</f>
        <v>Leadership</v>
      </c>
      <c r="D58" s="1" t="str">
        <f>VLOOKUP(B58,Mapping!A:C,3,0)</f>
        <v>North</v>
      </c>
      <c r="E58" s="1" t="str">
        <f>VLOOKUP(B58,Mapping!A:D,4,0)</f>
        <v>North</v>
      </c>
      <c r="F58" s="1" t="str">
        <f>VLOOKUP(B58,Mapping!A:E,5,0)</f>
        <v>Anjli</v>
      </c>
      <c r="G58" s="1" t="str">
        <f>VLOOKUP(B58,Mapping!A:F,6,0)</f>
        <v>Parul</v>
      </c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7"/>
    </row>
    <row r="59" spans="1:19" x14ac:dyDescent="0.35">
      <c r="A59" s="1" t="s">
        <v>115</v>
      </c>
      <c r="B59" s="1" t="s">
        <v>78</v>
      </c>
      <c r="C59" s="1" t="str">
        <f>VLOOKUP(B59,Mapping!A:B,2,0)</f>
        <v>Leadership</v>
      </c>
      <c r="D59" s="1" t="str">
        <f>VLOOKUP(B59,Mapping!A:C,3,0)</f>
        <v>West</v>
      </c>
      <c r="E59" s="1" t="str">
        <f>VLOOKUP(B59,Mapping!A:D,4,0)</f>
        <v>West 1</v>
      </c>
      <c r="F59" s="1" t="str">
        <f>VLOOKUP(B59,Mapping!A:E,5,0)</f>
        <v>Anjli</v>
      </c>
      <c r="G59" s="1" t="str">
        <f>VLOOKUP(B59,Mapping!A:F,6,0)</f>
        <v>Parul</v>
      </c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7"/>
    </row>
    <row r="60" spans="1:19" x14ac:dyDescent="0.35">
      <c r="A60" s="1" t="s">
        <v>115</v>
      </c>
      <c r="B60" s="1" t="s">
        <v>79</v>
      </c>
      <c r="C60" s="1" t="str">
        <f>VLOOKUP(B60,Mapping!A:B,2,0)</f>
        <v>Leadership</v>
      </c>
      <c r="D60" s="1" t="str">
        <f>VLOOKUP(B60,Mapping!A:C,3,0)</f>
        <v>West</v>
      </c>
      <c r="E60" s="1" t="str">
        <f>VLOOKUP(B60,Mapping!A:D,4,0)</f>
        <v>West 2</v>
      </c>
      <c r="F60" s="1" t="str">
        <f>VLOOKUP(B60,Mapping!A:E,5,0)</f>
        <v>Anjli</v>
      </c>
      <c r="G60" s="1" t="str">
        <f>VLOOKUP(B60,Mapping!A:F,6,0)</f>
        <v>Parul</v>
      </c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7"/>
    </row>
    <row r="61" spans="1:19" x14ac:dyDescent="0.35">
      <c r="A61" s="1" t="s">
        <v>115</v>
      </c>
      <c r="B61" s="1" t="s">
        <v>80</v>
      </c>
      <c r="C61" s="1" t="str">
        <f>VLOOKUP(B61,Mapping!A:B,2,0)</f>
        <v>Leadership</v>
      </c>
      <c r="D61" s="1" t="str">
        <f>VLOOKUP(B61,Mapping!A:C,3,0)</f>
        <v>North</v>
      </c>
      <c r="E61" s="1" t="str">
        <f>VLOOKUP(B61,Mapping!A:D,4,0)</f>
        <v>North</v>
      </c>
      <c r="F61" s="1" t="str">
        <f>VLOOKUP(B61,Mapping!A:E,5,0)</f>
        <v>Anjli</v>
      </c>
      <c r="G61" s="1" t="str">
        <f>VLOOKUP(B61,Mapping!A:F,6,0)</f>
        <v>Parul</v>
      </c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7"/>
    </row>
    <row r="62" spans="1:19" x14ac:dyDescent="0.35">
      <c r="A62" s="1" t="s">
        <v>115</v>
      </c>
      <c r="B62" s="1" t="s">
        <v>81</v>
      </c>
      <c r="C62" s="1" t="str">
        <f>VLOOKUP(B62,Mapping!A:B,2,0)</f>
        <v>Leadership</v>
      </c>
      <c r="D62" s="1" t="str">
        <f>VLOOKUP(B62,Mapping!A:C,3,0)</f>
        <v>North</v>
      </c>
      <c r="E62" s="1" t="str">
        <f>VLOOKUP(B62,Mapping!A:D,4,0)</f>
        <v>North</v>
      </c>
      <c r="F62" s="1" t="str">
        <f>VLOOKUP(B62,Mapping!A:E,5,0)</f>
        <v>Anjli</v>
      </c>
      <c r="G62" s="1" t="str">
        <f>VLOOKUP(B62,Mapping!A:F,6,0)</f>
        <v>Parul</v>
      </c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7"/>
    </row>
    <row r="63" spans="1:19" x14ac:dyDescent="0.35">
      <c r="A63" s="1" t="s">
        <v>115</v>
      </c>
      <c r="B63" s="1" t="s">
        <v>82</v>
      </c>
      <c r="C63" s="1" t="str">
        <f>VLOOKUP(B63,Mapping!A:B,2,0)</f>
        <v>Leadership</v>
      </c>
      <c r="D63" s="1" t="str">
        <f>VLOOKUP(B63,Mapping!A:C,3,0)</f>
        <v>West</v>
      </c>
      <c r="E63" s="1" t="str">
        <f>VLOOKUP(B63,Mapping!A:D,4,0)</f>
        <v>West 1</v>
      </c>
      <c r="F63" s="1" t="str">
        <f>VLOOKUP(B63,Mapping!A:E,5,0)</f>
        <v>Anjli</v>
      </c>
      <c r="G63" s="1" t="str">
        <f>VLOOKUP(B63,Mapping!A:F,6,0)</f>
        <v>Parul</v>
      </c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7"/>
    </row>
    <row r="64" spans="1:19" x14ac:dyDescent="0.35">
      <c r="A64" s="1" t="s">
        <v>115</v>
      </c>
      <c r="B64" s="1" t="s">
        <v>83</v>
      </c>
      <c r="C64" s="1" t="str">
        <f>VLOOKUP(B64,Mapping!A:B,2,0)</f>
        <v>Leadership</v>
      </c>
      <c r="D64" s="1" t="str">
        <f>VLOOKUP(B64,Mapping!A:C,3,0)</f>
        <v>North</v>
      </c>
      <c r="E64" s="1" t="str">
        <f>VLOOKUP(B64,Mapping!A:D,4,0)</f>
        <v>North</v>
      </c>
      <c r="F64" s="1" t="str">
        <f>VLOOKUP(B64,Mapping!A:E,5,0)</f>
        <v>Anjli</v>
      </c>
      <c r="G64" s="1" t="str">
        <f>VLOOKUP(B64,Mapping!A:F,6,0)</f>
        <v>Parul</v>
      </c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7"/>
    </row>
    <row r="65" spans="1:19" x14ac:dyDescent="0.35">
      <c r="A65" s="1" t="s">
        <v>115</v>
      </c>
      <c r="B65" s="1" t="s">
        <v>84</v>
      </c>
      <c r="C65" s="1" t="str">
        <f>VLOOKUP(B65,Mapping!A:B,2,0)</f>
        <v>Lateral</v>
      </c>
      <c r="D65" s="1" t="str">
        <f>VLOOKUP(B65,Mapping!A:C,3,0)</f>
        <v>South</v>
      </c>
      <c r="E65" s="1" t="str">
        <f>VLOOKUP(B65,Mapping!A:D,4,0)</f>
        <v>South 1</v>
      </c>
      <c r="F65" s="1" t="str">
        <f>VLOOKUP(B65,Mapping!A:E,5,0)</f>
        <v>Ashish</v>
      </c>
      <c r="G65" s="1" t="str">
        <f>VLOOKUP(B65,Mapping!A:F,6,0)</f>
        <v>Ashish</v>
      </c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7"/>
    </row>
    <row r="66" spans="1:19" x14ac:dyDescent="0.35">
      <c r="A66" s="1" t="s">
        <v>115</v>
      </c>
      <c r="B66" s="1" t="s">
        <v>86</v>
      </c>
      <c r="C66" s="1" t="str">
        <f>VLOOKUP(B66,Mapping!A:B,2,0)</f>
        <v>Lateral</v>
      </c>
      <c r="D66" s="1" t="str">
        <f>VLOOKUP(B66,Mapping!A:C,3,0)</f>
        <v>New Sales</v>
      </c>
      <c r="E66" s="1" t="str">
        <f>VLOOKUP(B66,Mapping!A:D,4,0)</f>
        <v>New Sales</v>
      </c>
      <c r="F66" s="1" t="str">
        <f>VLOOKUP(B66,Mapping!A:E,5,0)</f>
        <v>Nizar</v>
      </c>
      <c r="G66" s="1" t="str">
        <f>VLOOKUP(B66,Mapping!A:F,6,0)</f>
        <v>Nizar</v>
      </c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7"/>
    </row>
    <row r="67" spans="1:19" x14ac:dyDescent="0.35">
      <c r="A67" s="1" t="s">
        <v>115</v>
      </c>
      <c r="B67" s="1" t="s">
        <v>89</v>
      </c>
      <c r="C67" s="1" t="str">
        <f>VLOOKUP(B67,Mapping!A:B,2,0)</f>
        <v>Lateral</v>
      </c>
      <c r="D67" s="1" t="str">
        <f>VLOOKUP(B67,Mapping!A:C,3,0)</f>
        <v>North</v>
      </c>
      <c r="E67" s="1" t="str">
        <f>VLOOKUP(B67,Mapping!A:D,4,0)</f>
        <v>North</v>
      </c>
      <c r="F67" s="1" t="str">
        <f>VLOOKUP(B67,Mapping!A:E,5,0)</f>
        <v>Anjli</v>
      </c>
      <c r="G67" s="1" t="str">
        <f>VLOOKUP(B67,Mapping!A:F,6,0)</f>
        <v>Archana</v>
      </c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7"/>
    </row>
    <row r="68" spans="1:19" x14ac:dyDescent="0.35">
      <c r="A68" s="1" t="s">
        <v>115</v>
      </c>
      <c r="B68" s="1" t="s">
        <v>91</v>
      </c>
      <c r="C68" s="1" t="str">
        <f>VLOOKUP(B68,Mapping!A:B,2,0)</f>
        <v>Lateral</v>
      </c>
      <c r="D68" s="1" t="str">
        <f>VLOOKUP(B68,Mapping!A:C,3,0)</f>
        <v>North</v>
      </c>
      <c r="E68" s="1" t="str">
        <f>VLOOKUP(B68,Mapping!A:D,4,0)</f>
        <v>North</v>
      </c>
      <c r="F68" s="1" t="str">
        <f>VLOOKUP(B68,Mapping!A:E,5,0)</f>
        <v>Anjli</v>
      </c>
      <c r="G68" s="1" t="str">
        <f>VLOOKUP(B68,Mapping!A:F,6,0)</f>
        <v>Archana</v>
      </c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7"/>
    </row>
    <row r="69" spans="1:19" x14ac:dyDescent="0.35">
      <c r="A69" s="1" t="s">
        <v>115</v>
      </c>
      <c r="B69" s="1" t="s">
        <v>92</v>
      </c>
      <c r="C69" s="1" t="e">
        <f>VLOOKUP(B69,Mapping!A:B,2,0)</f>
        <v>#N/A</v>
      </c>
      <c r="D69" s="1" t="e">
        <f>VLOOKUP(B69,Mapping!A:C,3,0)</f>
        <v>#N/A</v>
      </c>
      <c r="E69" s="1" t="e">
        <f>VLOOKUP(B69,Mapping!A:D,4,0)</f>
        <v>#N/A</v>
      </c>
      <c r="F69" s="1" t="e">
        <f>VLOOKUP(B69,Mapping!A:E,5,0)</f>
        <v>#N/A</v>
      </c>
      <c r="G69" s="1" t="e">
        <f>VLOOKUP(B69,Mapping!A:F,6,0)</f>
        <v>#N/A</v>
      </c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7"/>
    </row>
    <row r="70" spans="1:19" x14ac:dyDescent="0.35">
      <c r="A70" s="1" t="s">
        <v>115</v>
      </c>
      <c r="B70" s="1" t="s">
        <v>93</v>
      </c>
      <c r="C70" s="1" t="str">
        <f>VLOOKUP(B70,Mapping!A:B,2,0)</f>
        <v>Lateral</v>
      </c>
      <c r="D70" s="1" t="str">
        <f>VLOOKUP(B70,Mapping!A:C,3,0)</f>
        <v>West</v>
      </c>
      <c r="E70" s="1" t="str">
        <f>VLOOKUP(B70,Mapping!A:D,4,0)</f>
        <v>West 1</v>
      </c>
      <c r="F70" s="1" t="str">
        <f>VLOOKUP(B70,Mapping!A:E,5,0)</f>
        <v>Anjli</v>
      </c>
      <c r="G70" s="1" t="str">
        <f>VLOOKUP(B70,Mapping!A:F,6,0)</f>
        <v>Geetu</v>
      </c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7"/>
    </row>
    <row r="71" spans="1:19" x14ac:dyDescent="0.35">
      <c r="A71" s="1" t="s">
        <v>115</v>
      </c>
      <c r="B71" s="1" t="s">
        <v>94</v>
      </c>
      <c r="C71" s="1" t="str">
        <f>VLOOKUP(B71,Mapping!A:B,2,0)</f>
        <v>Lateral</v>
      </c>
      <c r="D71" s="1" t="str">
        <f>VLOOKUP(B71,Mapping!A:C,3,0)</f>
        <v>West</v>
      </c>
      <c r="E71" s="1" t="str">
        <f>VLOOKUP(B71,Mapping!A:D,4,0)</f>
        <v>West 1</v>
      </c>
      <c r="F71" s="1" t="str">
        <f>VLOOKUP(B71,Mapping!A:E,5,0)</f>
        <v>Anjli</v>
      </c>
      <c r="G71" s="1" t="str">
        <f>VLOOKUP(B71,Mapping!A:F,6,0)</f>
        <v>Archana</v>
      </c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7"/>
    </row>
    <row r="72" spans="1:19" x14ac:dyDescent="0.35">
      <c r="A72" s="1" t="s">
        <v>115</v>
      </c>
      <c r="B72" s="1" t="s">
        <v>95</v>
      </c>
      <c r="C72" s="1" t="str">
        <f>VLOOKUP(B72,Mapping!A:B,2,0)</f>
        <v>Lateral</v>
      </c>
      <c r="D72" s="1" t="str">
        <f>VLOOKUP(B72,Mapping!A:C,3,0)</f>
        <v>South</v>
      </c>
      <c r="E72" s="1" t="str">
        <f>VLOOKUP(B72,Mapping!A:D,4,0)</f>
        <v>South 2</v>
      </c>
      <c r="F72" s="1" t="str">
        <f>VLOOKUP(B72,Mapping!A:E,5,0)</f>
        <v>Sulabh</v>
      </c>
      <c r="G72" s="1" t="str">
        <f>VLOOKUP(B72,Mapping!A:F,6,0)</f>
        <v>Lekhana</v>
      </c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7"/>
    </row>
    <row r="73" spans="1:19" x14ac:dyDescent="0.35">
      <c r="A73" s="1" t="s">
        <v>115</v>
      </c>
      <c r="B73" s="1" t="s">
        <v>97</v>
      </c>
      <c r="C73" s="1" t="str">
        <f>VLOOKUP(B73,Mapping!A:B,2,0)</f>
        <v>Lateral</v>
      </c>
      <c r="D73" s="1" t="str">
        <f>VLOOKUP(B73,Mapping!A:C,3,0)</f>
        <v>South</v>
      </c>
      <c r="E73" s="1" t="str">
        <f>VLOOKUP(B73,Mapping!A:D,4,0)</f>
        <v>South 2</v>
      </c>
      <c r="F73" s="1" t="str">
        <f>VLOOKUP(B73,Mapping!A:E,5,0)</f>
        <v>Sulabh</v>
      </c>
      <c r="G73" s="1" t="str">
        <f>VLOOKUP(B73,Mapping!A:F,6,0)</f>
        <v>Satya</v>
      </c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7"/>
    </row>
    <row r="74" spans="1:19" x14ac:dyDescent="0.35">
      <c r="A74" s="1" t="s">
        <v>115</v>
      </c>
      <c r="B74" s="1" t="s">
        <v>98</v>
      </c>
      <c r="C74" s="1" t="str">
        <f>VLOOKUP(B74,Mapping!A:B,2,0)</f>
        <v>Lateral</v>
      </c>
      <c r="D74" s="1" t="str">
        <f>VLOOKUP(B74,Mapping!A:C,3,0)</f>
        <v>West</v>
      </c>
      <c r="E74" s="1" t="str">
        <f>VLOOKUP(B74,Mapping!A:D,4,0)</f>
        <v>West 1</v>
      </c>
      <c r="F74" s="1" t="str">
        <f>VLOOKUP(B74,Mapping!A:E,5,0)</f>
        <v>Anjli</v>
      </c>
      <c r="G74" s="1" t="str">
        <f>VLOOKUP(B74,Mapping!A:F,6,0)</f>
        <v>Anjli</v>
      </c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7"/>
    </row>
    <row r="75" spans="1:19" x14ac:dyDescent="0.35">
      <c r="A75" s="1" t="s">
        <v>115</v>
      </c>
      <c r="B75" s="1" t="s">
        <v>130</v>
      </c>
      <c r="C75" s="1" t="str">
        <f>VLOOKUP(B75,Mapping!A:B,2,0)</f>
        <v>Lateral</v>
      </c>
      <c r="D75" s="1" t="str">
        <f>VLOOKUP(B75,Mapping!A:C,3,0)</f>
        <v>West</v>
      </c>
      <c r="E75" s="1" t="str">
        <f>VLOOKUP(B75,Mapping!A:D,4,0)</f>
        <v>West 1</v>
      </c>
      <c r="F75" s="1" t="str">
        <f>VLOOKUP(B75,Mapping!A:E,5,0)</f>
        <v>Anjli</v>
      </c>
      <c r="G75" s="1" t="str">
        <f>VLOOKUP(B75,Mapping!A:F,6,0)</f>
        <v>Anjli</v>
      </c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7"/>
    </row>
    <row r="76" spans="1:19" x14ac:dyDescent="0.35">
      <c r="A76" s="1" t="s">
        <v>115</v>
      </c>
      <c r="B76" s="1" t="s">
        <v>100</v>
      </c>
      <c r="C76" s="1" t="str">
        <f>VLOOKUP(B76,Mapping!A:B,2,0)</f>
        <v>Lateral</v>
      </c>
      <c r="D76" s="1" t="str">
        <f>VLOOKUP(B76,Mapping!A:C,3,0)</f>
        <v>West</v>
      </c>
      <c r="E76" s="1" t="str">
        <f>VLOOKUP(B76,Mapping!A:D,4,0)</f>
        <v>West 1</v>
      </c>
      <c r="F76" s="1" t="str">
        <f>VLOOKUP(B76,Mapping!A:E,5,0)</f>
        <v>Anjli</v>
      </c>
      <c r="G76" s="1" t="str">
        <f>VLOOKUP(B76,Mapping!A:F,6,0)</f>
        <v>Anjli</v>
      </c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7"/>
    </row>
    <row r="77" spans="1:19" x14ac:dyDescent="0.35">
      <c r="A77" s="1" t="s">
        <v>115</v>
      </c>
      <c r="B77" s="1" t="s">
        <v>108</v>
      </c>
      <c r="C77" s="1" t="str">
        <f>VLOOKUP(B77,Mapping!A:B,2,0)</f>
        <v>Lateral</v>
      </c>
      <c r="D77" s="1" t="str">
        <f>VLOOKUP(B77,Mapping!A:C,3,0)</f>
        <v>North</v>
      </c>
      <c r="E77" s="1" t="str">
        <f>VLOOKUP(B77,Mapping!A:D,4,0)</f>
        <v>North</v>
      </c>
      <c r="F77" s="1" t="str">
        <f>VLOOKUP(B77,Mapping!A:E,5,0)</f>
        <v>Anjli</v>
      </c>
      <c r="G77" s="1" t="str">
        <f>VLOOKUP(B77,Mapping!A:F,6,0)</f>
        <v>Anjli</v>
      </c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7"/>
    </row>
    <row r="78" spans="1:19" x14ac:dyDescent="0.35">
      <c r="A78" s="1" t="s">
        <v>115</v>
      </c>
      <c r="B78" s="1" t="s">
        <v>109</v>
      </c>
      <c r="C78" s="1" t="str">
        <f>VLOOKUP(B78,Mapping!A:B,2,0)</f>
        <v>Lateral</v>
      </c>
      <c r="D78" s="1" t="str">
        <f>VLOOKUP(B78,Mapping!A:C,3,0)</f>
        <v>West</v>
      </c>
      <c r="E78" s="1" t="str">
        <f>VLOOKUP(B78,Mapping!A:D,4,0)</f>
        <v>West 1</v>
      </c>
      <c r="F78" s="1" t="str">
        <f>VLOOKUP(B78,Mapping!A:E,5,0)</f>
        <v>Anjli</v>
      </c>
      <c r="G78" s="1" t="str">
        <f>VLOOKUP(B78,Mapping!A:F,6,0)</f>
        <v>Anjli</v>
      </c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7"/>
    </row>
    <row r="79" spans="1:19" x14ac:dyDescent="0.35">
      <c r="A79" s="1" t="s">
        <v>115</v>
      </c>
      <c r="B79" s="1" t="s">
        <v>110</v>
      </c>
      <c r="C79" s="1" t="str">
        <f>VLOOKUP(B79,Mapping!A:B,2,0)</f>
        <v>Lateral</v>
      </c>
      <c r="D79" s="1" t="str">
        <f>VLOOKUP(B79,Mapping!A:C,3,0)</f>
        <v>West</v>
      </c>
      <c r="E79" s="1" t="str">
        <f>VLOOKUP(B79,Mapping!A:D,4,0)</f>
        <v>West 1</v>
      </c>
      <c r="F79" s="1" t="str">
        <f>VLOOKUP(B79,Mapping!A:E,5,0)</f>
        <v>Anjli</v>
      </c>
      <c r="G79" s="1" t="str">
        <f>VLOOKUP(B79,Mapping!A:F,6,0)</f>
        <v>Anjli</v>
      </c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7"/>
    </row>
    <row r="80" spans="1:19" x14ac:dyDescent="0.35">
      <c r="A80" s="1" t="s">
        <v>115</v>
      </c>
      <c r="B80" s="1" t="s">
        <v>137</v>
      </c>
      <c r="C80" s="1" t="s">
        <v>127</v>
      </c>
      <c r="D80" s="1" t="s">
        <v>127</v>
      </c>
      <c r="E80" s="1" t="s">
        <v>127</v>
      </c>
      <c r="F80" s="1" t="s">
        <v>129</v>
      </c>
      <c r="G80" s="1" t="s">
        <v>128</v>
      </c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7"/>
    </row>
    <row r="81" spans="1:19" x14ac:dyDescent="0.35">
      <c r="A81" s="1" t="s">
        <v>115</v>
      </c>
      <c r="B81" s="1" t="s">
        <v>138</v>
      </c>
      <c r="C81" s="1" t="s">
        <v>127</v>
      </c>
      <c r="D81" s="1" t="s">
        <v>127</v>
      </c>
      <c r="E81" s="1" t="s">
        <v>127</v>
      </c>
      <c r="F81" s="1" t="s">
        <v>129</v>
      </c>
      <c r="G81" s="1" t="s">
        <v>128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28"/>
      <c r="S81" s="1"/>
    </row>
  </sheetData>
  <conditionalFormatting sqref="A1:B1 I1:S1 E1:G1">
    <cfRule type="duplicateValues" dxfId="19" priority="1"/>
  </conditionalFormatting>
  <conditionalFormatting sqref="B42:B50 B74:B79">
    <cfRule type="duplicateValues" dxfId="18" priority="74"/>
  </conditionalFormatting>
  <conditionalFormatting sqref="B51:B73 B2:B41">
    <cfRule type="duplicateValues" dxfId="17" priority="70"/>
  </conditionalFormatting>
  <conditionalFormatting sqref="B82:D1048576 B2:B79 B80:G81">
    <cfRule type="duplicateValues" dxfId="16" priority="67"/>
  </conditionalFormatting>
  <conditionalFormatting sqref="H2:S83">
    <cfRule type="cellIs" dxfId="15" priority="9" operator="greaterThan">
      <formula>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1C4C0-51AA-4AD3-BED2-DE442E1343A7}">
  <sheetPr codeName="Sheet18">
    <tabColor rgb="FF92D050"/>
  </sheetPr>
  <dimension ref="A1:AD80"/>
  <sheetViews>
    <sheetView topLeftCell="C1" workbookViewId="0">
      <selection activeCell="K18" sqref="K18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2.1796875" bestFit="1" customWidth="1"/>
    <col min="7" max="7" width="13.1796875" bestFit="1" customWidth="1"/>
    <col min="8" max="8" width="6.81640625" bestFit="1" customWidth="1"/>
    <col min="9" max="9" width="7.453125" bestFit="1" customWidth="1"/>
    <col min="10" max="10" width="6.7265625" bestFit="1" customWidth="1"/>
    <col min="11" max="11" width="6.1796875" bestFit="1" customWidth="1"/>
    <col min="12" max="12" width="7.1796875" bestFit="1" customWidth="1"/>
    <col min="13" max="13" width="7" bestFit="1" customWidth="1"/>
    <col min="14" max="14" width="6.7265625" bestFit="1" customWidth="1"/>
    <col min="15" max="15" width="7.26953125" bestFit="1" customWidth="1"/>
    <col min="16" max="16" width="7" bestFit="1" customWidth="1"/>
    <col min="17" max="17" width="6.54296875" bestFit="1" customWidth="1"/>
    <col min="18" max="18" width="7" bestFit="1" customWidth="1"/>
    <col min="19" max="19" width="8.81640625" bestFit="1" customWidth="1"/>
  </cols>
  <sheetData>
    <row r="1" spans="1:30" x14ac:dyDescent="0.35">
      <c r="A1" s="25" t="str">
        <f>Revenue_Budget!A2</f>
        <v>FY</v>
      </c>
      <c r="B1" s="25" t="str">
        <f>Revenue_Budget!B2</f>
        <v>Project</v>
      </c>
      <c r="C1" s="25" t="str">
        <f>Revenue_Budget!C2</f>
        <v>Vertical</v>
      </c>
      <c r="D1" s="25" t="str">
        <f>Revenue_Budget!D2</f>
        <v>Region</v>
      </c>
      <c r="E1" s="25" t="str">
        <f>Revenue_Budget!E2</f>
        <v>Sub Region</v>
      </c>
      <c r="F1" s="25" t="str">
        <f>Revenue_Budget!F2</f>
        <v>Region Head</v>
      </c>
      <c r="G1" s="25" t="str">
        <f>Revenue_Budget!G2</f>
        <v>Practice Head</v>
      </c>
      <c r="H1" s="26">
        <f>Revenue_Budget!H2</f>
        <v>46113</v>
      </c>
      <c r="I1" s="26">
        <f>Revenue_Budget!I2</f>
        <v>46143</v>
      </c>
      <c r="J1" s="26">
        <f>Revenue_Budget!J2</f>
        <v>46174</v>
      </c>
      <c r="K1" s="26">
        <f>Revenue_Budget!K2</f>
        <v>46204</v>
      </c>
      <c r="L1" s="26">
        <f>Revenue_Budget!L2</f>
        <v>46235</v>
      </c>
      <c r="M1" s="26">
        <f>Revenue_Budget!M2</f>
        <v>46266</v>
      </c>
      <c r="N1" s="26">
        <f>Revenue_Budget!N2</f>
        <v>46296</v>
      </c>
      <c r="O1" s="26">
        <f>Revenue_Budget!O2</f>
        <v>46327</v>
      </c>
      <c r="P1" s="26">
        <f>Revenue_Budget!P2</f>
        <v>46357</v>
      </c>
      <c r="Q1" s="26">
        <f>Revenue_Budget!Q2</f>
        <v>46388</v>
      </c>
      <c r="R1" s="26">
        <f>Revenue_Budget!R2</f>
        <v>46419</v>
      </c>
      <c r="S1" s="26">
        <f>Revenue_Budget!S2</f>
        <v>46447</v>
      </c>
    </row>
    <row r="2" spans="1:30" x14ac:dyDescent="0.35">
      <c r="A2" s="1" t="s">
        <v>115</v>
      </c>
      <c r="B2" s="1" t="s">
        <v>2</v>
      </c>
      <c r="C2" s="1" t="str">
        <f>VLOOKUP(B2,Mapping!A:B,2,0)</f>
        <v>Lateral</v>
      </c>
      <c r="D2" s="1" t="str">
        <f>VLOOKUP(B2,Mapping!A:C,3,0)</f>
        <v>South</v>
      </c>
      <c r="E2" s="1" t="str">
        <f>VLOOKUP(B2,Mapping!A:D,4,0)</f>
        <v>South 1</v>
      </c>
      <c r="F2" s="1" t="str">
        <f>VLOOKUP(B2,Mapping!A:E,5,0)</f>
        <v>Bapi</v>
      </c>
      <c r="G2" s="1" t="str">
        <f>VLOOKUP(B2,Mapping!A:F,6,0)</f>
        <v>Bapi</v>
      </c>
      <c r="H2" s="28"/>
      <c r="I2" s="28"/>
      <c r="J2" s="28"/>
      <c r="K2" s="28"/>
      <c r="L2" s="28"/>
      <c r="M2" s="28"/>
      <c r="N2" s="28"/>
      <c r="O2" s="28"/>
      <c r="P2" s="28"/>
      <c r="Q2" s="28"/>
      <c r="R2" s="27"/>
      <c r="S2" s="27"/>
      <c r="U2" s="2"/>
      <c r="V2" s="2"/>
      <c r="W2" s="2"/>
      <c r="X2" s="2">
        <f>Target_Collection!K2-Actual_Collection!K2</f>
        <v>0</v>
      </c>
      <c r="Y2" s="2">
        <f>Target_Collection!L2-Actual_Collection!L2</f>
        <v>0</v>
      </c>
      <c r="Z2" s="2">
        <f>Target_Collection!M2-Actual_Collection!M2</f>
        <v>0</v>
      </c>
      <c r="AA2" s="2">
        <f>Target_Collection!N2-Actual_Collection!N2</f>
        <v>0</v>
      </c>
      <c r="AB2" s="2">
        <f>Target_Collection!O2-Actual_Collection!O2</f>
        <v>0</v>
      </c>
      <c r="AC2" s="2">
        <f>Target_Collection!P2-Actual_Collection!P2</f>
        <v>0</v>
      </c>
      <c r="AD2" s="2">
        <f>Target_Collection!Q2-Actual_Collection!Q2</f>
        <v>0</v>
      </c>
    </row>
    <row r="3" spans="1:30" x14ac:dyDescent="0.35">
      <c r="A3" s="1" t="s">
        <v>115</v>
      </c>
      <c r="B3" s="1" t="s">
        <v>4</v>
      </c>
      <c r="C3" s="1" t="str">
        <f>VLOOKUP(B3,Mapping!A:B,2,0)</f>
        <v>Lateral</v>
      </c>
      <c r="D3" s="1" t="str">
        <f>VLOOKUP(B3,Mapping!A:C,3,0)</f>
        <v>West</v>
      </c>
      <c r="E3" s="1" t="str">
        <f>VLOOKUP(B3,Mapping!A:D,4,0)</f>
        <v>West 1</v>
      </c>
      <c r="F3" s="1" t="str">
        <f>VLOOKUP(B3,Mapping!A:E,5,0)</f>
        <v>Anjli</v>
      </c>
      <c r="G3" s="1" t="str">
        <f>VLOOKUP(B3,Mapping!A:F,6,0)</f>
        <v>Usha</v>
      </c>
      <c r="H3" s="28"/>
      <c r="I3" s="28"/>
      <c r="J3" s="28"/>
      <c r="K3" s="28"/>
      <c r="L3" s="28"/>
      <c r="M3" s="28"/>
      <c r="N3" s="28"/>
      <c r="O3" s="28"/>
      <c r="P3" s="28"/>
      <c r="Q3" s="28"/>
      <c r="R3" s="27"/>
      <c r="S3" s="27"/>
    </row>
    <row r="4" spans="1:30" x14ac:dyDescent="0.35">
      <c r="A4" s="1" t="s">
        <v>115</v>
      </c>
      <c r="B4" s="1" t="s">
        <v>8</v>
      </c>
      <c r="C4" s="1" t="str">
        <f>VLOOKUP(B4,Mapping!A:B,2,0)</f>
        <v>Lateral</v>
      </c>
      <c r="D4" s="1" t="str">
        <f>VLOOKUP(B4,Mapping!A:C,3,0)</f>
        <v>West</v>
      </c>
      <c r="E4" s="1" t="str">
        <f>VLOOKUP(B4,Mapping!A:D,4,0)</f>
        <v>West 2</v>
      </c>
      <c r="F4" s="1" t="str">
        <f>VLOOKUP(B4,Mapping!A:E,5,0)</f>
        <v>Anjli</v>
      </c>
      <c r="G4" s="1" t="str">
        <f>VLOOKUP(B4,Mapping!A:F,6,0)</f>
        <v>Shweta</v>
      </c>
      <c r="H4" s="28"/>
      <c r="I4" s="28"/>
      <c r="J4" s="28"/>
      <c r="K4" s="28"/>
      <c r="L4" s="28"/>
      <c r="M4" s="28"/>
      <c r="N4" s="28"/>
      <c r="O4" s="28"/>
      <c r="P4" s="28"/>
      <c r="Q4" s="28"/>
      <c r="R4" s="27"/>
      <c r="S4" s="27"/>
    </row>
    <row r="5" spans="1:30" x14ac:dyDescent="0.35">
      <c r="A5" s="1" t="s">
        <v>115</v>
      </c>
      <c r="B5" s="1" t="s">
        <v>10</v>
      </c>
      <c r="C5" s="1" t="str">
        <f>VLOOKUP(B5,Mapping!A:B,2,0)</f>
        <v>Lateral</v>
      </c>
      <c r="D5" s="1" t="str">
        <f>VLOOKUP(B5,Mapping!A:C,3,0)</f>
        <v>North</v>
      </c>
      <c r="E5" s="1" t="str">
        <f>VLOOKUP(B5,Mapping!A:D,4,0)</f>
        <v>North</v>
      </c>
      <c r="F5" s="1" t="str">
        <f>VLOOKUP(B5,Mapping!A:E,5,0)</f>
        <v>Anjli</v>
      </c>
      <c r="G5" s="1" t="str">
        <f>VLOOKUP(B5,Mapping!A:F,6,0)</f>
        <v>Archana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7"/>
      <c r="S5" s="27"/>
    </row>
    <row r="6" spans="1:30" x14ac:dyDescent="0.35">
      <c r="A6" s="1" t="s">
        <v>115</v>
      </c>
      <c r="B6" s="1" t="s">
        <v>12</v>
      </c>
      <c r="C6" s="1" t="str">
        <f>VLOOKUP(B6,Mapping!A:B,2,0)</f>
        <v>Lateral</v>
      </c>
      <c r="D6" s="1" t="str">
        <f>VLOOKUP(B6,Mapping!A:C,3,0)</f>
        <v>South</v>
      </c>
      <c r="E6" s="1" t="str">
        <f>VLOOKUP(B6,Mapping!A:D,4,0)</f>
        <v>South 1</v>
      </c>
      <c r="F6" s="1" t="str">
        <f>VLOOKUP(B6,Mapping!A:E,5,0)</f>
        <v>Sulabh</v>
      </c>
      <c r="G6" s="1" t="str">
        <f>VLOOKUP(B6,Mapping!A:F,6,0)</f>
        <v>Kunal</v>
      </c>
      <c r="H6" s="28"/>
      <c r="I6" s="28"/>
      <c r="J6" s="28"/>
      <c r="K6" s="28"/>
      <c r="L6" s="28"/>
      <c r="M6" s="28"/>
      <c r="N6" s="28"/>
      <c r="O6" s="28"/>
      <c r="P6" s="28"/>
      <c r="Q6" s="28"/>
      <c r="R6" s="27"/>
      <c r="S6" s="27"/>
    </row>
    <row r="7" spans="1:30" x14ac:dyDescent="0.35">
      <c r="A7" s="1" t="s">
        <v>115</v>
      </c>
      <c r="B7" s="1" t="s">
        <v>16</v>
      </c>
      <c r="C7" s="1" t="str">
        <f>VLOOKUP(B7,Mapping!A:B,2,0)</f>
        <v>Lateral</v>
      </c>
      <c r="D7" s="1" t="str">
        <f>VLOOKUP(B7,Mapping!A:C,3,0)</f>
        <v>West</v>
      </c>
      <c r="E7" s="1" t="str">
        <f>VLOOKUP(B7,Mapping!A:D,4,0)</f>
        <v>West 1</v>
      </c>
      <c r="F7" s="1" t="str">
        <f>VLOOKUP(B7,Mapping!A:E,5,0)</f>
        <v>Anjli</v>
      </c>
      <c r="G7" s="1" t="str">
        <f>VLOOKUP(B7,Mapping!A:F,6,0)</f>
        <v>Usha</v>
      </c>
      <c r="H7" s="28"/>
      <c r="I7" s="28"/>
      <c r="J7" s="28"/>
      <c r="K7" s="28"/>
      <c r="L7" s="28"/>
      <c r="M7" s="28"/>
      <c r="N7" s="28"/>
      <c r="O7" s="28"/>
      <c r="P7" s="28"/>
      <c r="Q7" s="28"/>
      <c r="R7" s="27"/>
      <c r="S7" s="27"/>
    </row>
    <row r="8" spans="1:30" x14ac:dyDescent="0.35">
      <c r="A8" s="1" t="s">
        <v>115</v>
      </c>
      <c r="B8" s="1" t="s">
        <v>17</v>
      </c>
      <c r="C8" s="1" t="str">
        <f>VLOOKUP(B8,Mapping!A:B,2,0)</f>
        <v>Lateral</v>
      </c>
      <c r="D8" s="1" t="str">
        <f>VLOOKUP(B8,Mapping!A:C,3,0)</f>
        <v>West</v>
      </c>
      <c r="E8" s="1" t="str">
        <f>VLOOKUP(B8,Mapping!A:D,4,0)</f>
        <v>West 2</v>
      </c>
      <c r="F8" s="1" t="str">
        <f>VLOOKUP(B8,Mapping!A:E,5,0)</f>
        <v>Anjli</v>
      </c>
      <c r="G8" s="1" t="str">
        <f>VLOOKUP(B8,Mapping!A:F,6,0)</f>
        <v>Shweta</v>
      </c>
      <c r="H8" s="28"/>
      <c r="I8" s="28"/>
      <c r="J8" s="28"/>
      <c r="K8" s="28"/>
      <c r="L8" s="28"/>
      <c r="M8" s="28"/>
      <c r="N8" s="28"/>
      <c r="O8" s="28"/>
      <c r="P8" s="28"/>
      <c r="Q8" s="28"/>
      <c r="R8" s="27"/>
      <c r="S8" s="27"/>
    </row>
    <row r="9" spans="1:30" x14ac:dyDescent="0.35">
      <c r="A9" s="1" t="s">
        <v>115</v>
      </c>
      <c r="B9" s="1" t="s">
        <v>18</v>
      </c>
      <c r="C9" s="1" t="str">
        <f>VLOOKUP(B9,Mapping!A:B,2,0)</f>
        <v>Lateral</v>
      </c>
      <c r="D9" s="1" t="str">
        <f>VLOOKUP(B9,Mapping!A:C,3,0)</f>
        <v>West</v>
      </c>
      <c r="E9" s="1" t="str">
        <f>VLOOKUP(B9,Mapping!A:D,4,0)</f>
        <v>West 1</v>
      </c>
      <c r="F9" s="1" t="str">
        <f>VLOOKUP(B9,Mapping!A:E,5,0)</f>
        <v>Anjli</v>
      </c>
      <c r="G9" s="1" t="str">
        <f>VLOOKUP(B9,Mapping!A:F,6,0)</f>
        <v>Geetu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7"/>
      <c r="S9" s="27"/>
    </row>
    <row r="10" spans="1:30" x14ac:dyDescent="0.35">
      <c r="A10" s="1" t="s">
        <v>115</v>
      </c>
      <c r="B10" s="1" t="s">
        <v>20</v>
      </c>
      <c r="C10" s="1" t="str">
        <f>VLOOKUP(B10,Mapping!A:B,2,0)</f>
        <v>Lateral</v>
      </c>
      <c r="D10" s="1" t="str">
        <f>VLOOKUP(B10,Mapping!A:C,3,0)</f>
        <v>West</v>
      </c>
      <c r="E10" s="1" t="str">
        <f>VLOOKUP(B10,Mapping!A:D,4,0)</f>
        <v>West 1</v>
      </c>
      <c r="F10" s="1" t="str">
        <f>VLOOKUP(B10,Mapping!A:E,5,0)</f>
        <v>Anjli</v>
      </c>
      <c r="G10" s="1" t="str">
        <f>VLOOKUP(B10,Mapping!A:F,6,0)</f>
        <v>Geetu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7"/>
      <c r="S10" s="27"/>
    </row>
    <row r="11" spans="1:30" x14ac:dyDescent="0.35">
      <c r="A11" s="1" t="s">
        <v>115</v>
      </c>
      <c r="B11" s="1" t="s">
        <v>21</v>
      </c>
      <c r="C11" s="1" t="str">
        <f>VLOOKUP(B11,Mapping!A:B,2,0)</f>
        <v>Lateral</v>
      </c>
      <c r="D11" s="1" t="str">
        <f>VLOOKUP(B11,Mapping!A:C,3,0)</f>
        <v>South</v>
      </c>
      <c r="E11" s="1" t="str">
        <f>VLOOKUP(B11,Mapping!A:D,4,0)</f>
        <v>South 1</v>
      </c>
      <c r="F11" s="1" t="str">
        <f>VLOOKUP(B11,Mapping!A:E,5,0)</f>
        <v>Mahak</v>
      </c>
      <c r="G11" s="1" t="str">
        <f>VLOOKUP(B11,Mapping!A:F,6,0)</f>
        <v>Mahak</v>
      </c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7"/>
      <c r="S11" s="27"/>
    </row>
    <row r="12" spans="1:30" x14ac:dyDescent="0.35">
      <c r="A12" s="1" t="s">
        <v>115</v>
      </c>
      <c r="B12" s="1" t="s">
        <v>23</v>
      </c>
      <c r="C12" s="1" t="str">
        <f>VLOOKUP(B12,Mapping!A:B,2,0)</f>
        <v>Lateral</v>
      </c>
      <c r="D12" s="1" t="str">
        <f>VLOOKUP(B12,Mapping!A:C,3,0)</f>
        <v>South</v>
      </c>
      <c r="E12" s="1" t="str">
        <f>VLOOKUP(B12,Mapping!A:D,4,0)</f>
        <v>South 1</v>
      </c>
      <c r="F12" s="1" t="str">
        <f>VLOOKUP(B12,Mapping!A:E,5,0)</f>
        <v>Anjli</v>
      </c>
      <c r="G12" s="1" t="str">
        <f>VLOOKUP(B12,Mapping!A:F,6,0)</f>
        <v>Satya</v>
      </c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7"/>
      <c r="S12" s="27"/>
    </row>
    <row r="13" spans="1:30" x14ac:dyDescent="0.35">
      <c r="A13" s="1" t="s">
        <v>115</v>
      </c>
      <c r="B13" s="1" t="s">
        <v>25</v>
      </c>
      <c r="C13" s="1" t="str">
        <f>VLOOKUP(B13,Mapping!A:B,2,0)</f>
        <v>Lateral</v>
      </c>
      <c r="D13" s="1" t="str">
        <f>VLOOKUP(B13,Mapping!A:C,3,0)</f>
        <v>West</v>
      </c>
      <c r="E13" s="1" t="str">
        <f>VLOOKUP(B13,Mapping!A:D,4,0)</f>
        <v>West 1</v>
      </c>
      <c r="F13" s="1" t="str">
        <f>VLOOKUP(B13,Mapping!A:E,5,0)</f>
        <v>Anjli</v>
      </c>
      <c r="G13" s="1" t="str">
        <f>VLOOKUP(B13,Mapping!A:F,6,0)</f>
        <v>Geetu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7"/>
      <c r="S13" s="27"/>
    </row>
    <row r="14" spans="1:30" x14ac:dyDescent="0.35">
      <c r="A14" s="1" t="s">
        <v>115</v>
      </c>
      <c r="B14" s="1" t="s">
        <v>26</v>
      </c>
      <c r="C14" s="1" t="str">
        <f>VLOOKUP(B14,Mapping!A:B,2,0)</f>
        <v>Lateral</v>
      </c>
      <c r="D14" s="1" t="str">
        <f>VLOOKUP(B14,Mapping!A:C,3,0)</f>
        <v>South</v>
      </c>
      <c r="E14" s="1" t="str">
        <f>VLOOKUP(B14,Mapping!A:D,4,0)</f>
        <v>South 2</v>
      </c>
      <c r="F14" s="1" t="str">
        <f>VLOOKUP(B14,Mapping!A:E,5,0)</f>
        <v>Sulabh</v>
      </c>
      <c r="G14" s="1" t="str">
        <f>VLOOKUP(B14,Mapping!A:F,6,0)</f>
        <v>Krishna</v>
      </c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7"/>
      <c r="S14" s="27"/>
    </row>
    <row r="15" spans="1:30" x14ac:dyDescent="0.35">
      <c r="A15" s="1" t="s">
        <v>115</v>
      </c>
      <c r="B15" s="1" t="s">
        <v>28</v>
      </c>
      <c r="C15" s="1" t="str">
        <f>VLOOKUP(B15,Mapping!A:B,2,0)</f>
        <v>Lateral</v>
      </c>
      <c r="D15" s="1" t="str">
        <f>VLOOKUP(B15,Mapping!A:C,3,0)</f>
        <v>West</v>
      </c>
      <c r="E15" s="1" t="str">
        <f>VLOOKUP(B15,Mapping!A:D,4,0)</f>
        <v>West 1</v>
      </c>
      <c r="F15" s="1" t="str">
        <f>VLOOKUP(B15,Mapping!A:E,5,0)</f>
        <v>Anjli</v>
      </c>
      <c r="G15" s="1" t="str">
        <f>VLOOKUP(B15,Mapping!A:F,6,0)</f>
        <v>Dhriti</v>
      </c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7"/>
      <c r="S15" s="27"/>
    </row>
    <row r="16" spans="1:30" x14ac:dyDescent="0.35">
      <c r="A16" s="1" t="s">
        <v>115</v>
      </c>
      <c r="B16" s="1" t="s">
        <v>29</v>
      </c>
      <c r="C16" s="1" t="str">
        <f>VLOOKUP(B16,Mapping!A:B,2,0)</f>
        <v>Lateral</v>
      </c>
      <c r="D16" s="1" t="str">
        <f>VLOOKUP(B16,Mapping!A:C,3,0)</f>
        <v>South</v>
      </c>
      <c r="E16" s="1" t="str">
        <f>VLOOKUP(B16,Mapping!A:D,4,0)</f>
        <v>South 2</v>
      </c>
      <c r="F16" s="1" t="str">
        <f>VLOOKUP(B16,Mapping!A:E,5,0)</f>
        <v>Sulabh</v>
      </c>
      <c r="G16" s="1" t="str">
        <f>VLOOKUP(B16,Mapping!A:F,6,0)</f>
        <v>Krishna</v>
      </c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7"/>
      <c r="S16" s="27"/>
    </row>
    <row r="17" spans="1:19" x14ac:dyDescent="0.35">
      <c r="A17" s="1" t="s">
        <v>115</v>
      </c>
      <c r="B17" s="1" t="s">
        <v>30</v>
      </c>
      <c r="C17" s="1" t="str">
        <f>VLOOKUP(B17,Mapping!A:B,2,0)</f>
        <v>Lateral</v>
      </c>
      <c r="D17" s="1" t="str">
        <f>VLOOKUP(B17,Mapping!A:C,3,0)</f>
        <v>South</v>
      </c>
      <c r="E17" s="1" t="str">
        <f>VLOOKUP(B17,Mapping!A:D,4,0)</f>
        <v>South 1</v>
      </c>
      <c r="F17" s="1" t="str">
        <f>VLOOKUP(B17,Mapping!A:E,5,0)</f>
        <v>Sulabh</v>
      </c>
      <c r="G17" s="1" t="str">
        <f>VLOOKUP(B17,Mapping!A:F,6,0)</f>
        <v>Subu</v>
      </c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7"/>
      <c r="S17" s="27"/>
    </row>
    <row r="18" spans="1:19" x14ac:dyDescent="0.35">
      <c r="A18" s="1" t="s">
        <v>115</v>
      </c>
      <c r="B18" s="1" t="s">
        <v>32</v>
      </c>
      <c r="C18" s="1" t="str">
        <f>VLOOKUP(B18,Mapping!A:B,2,0)</f>
        <v>Lateral</v>
      </c>
      <c r="D18" s="1" t="str">
        <f>VLOOKUP(B18,Mapping!A:C,3,0)</f>
        <v>West</v>
      </c>
      <c r="E18" s="1" t="str">
        <f>VLOOKUP(B18,Mapping!A:D,4,0)</f>
        <v>West 2</v>
      </c>
      <c r="F18" s="1" t="str">
        <f>VLOOKUP(B18,Mapping!A:E,5,0)</f>
        <v>Anjli</v>
      </c>
      <c r="G18" s="1" t="str">
        <f>VLOOKUP(B18,Mapping!A:F,6,0)</f>
        <v>Anjli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7"/>
      <c r="S18" s="27"/>
    </row>
    <row r="19" spans="1:19" x14ac:dyDescent="0.35">
      <c r="A19" s="1" t="s">
        <v>115</v>
      </c>
      <c r="B19" s="1" t="s">
        <v>33</v>
      </c>
      <c r="C19" s="1" t="str">
        <f>VLOOKUP(B19,Mapping!A:B,2,0)</f>
        <v>Lateral</v>
      </c>
      <c r="D19" s="1" t="str">
        <f>VLOOKUP(B19,Mapping!A:C,3,0)</f>
        <v>West</v>
      </c>
      <c r="E19" s="1" t="str">
        <f>VLOOKUP(B19,Mapping!A:D,4,0)</f>
        <v>West 1</v>
      </c>
      <c r="F19" s="1" t="str">
        <f>VLOOKUP(B19,Mapping!A:E,5,0)</f>
        <v>Anjli</v>
      </c>
      <c r="G19" s="1" t="str">
        <f>VLOOKUP(B19,Mapping!A:F,6,0)</f>
        <v>Geetu</v>
      </c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7"/>
      <c r="S19" s="27"/>
    </row>
    <row r="20" spans="1:19" x14ac:dyDescent="0.35">
      <c r="A20" s="1" t="s">
        <v>115</v>
      </c>
      <c r="B20" s="1" t="s">
        <v>34</v>
      </c>
      <c r="C20" s="1" t="str">
        <f>VLOOKUP(B20,Mapping!A:B,2,0)</f>
        <v>Lateral</v>
      </c>
      <c r="D20" s="1" t="str">
        <f>VLOOKUP(B20,Mapping!A:C,3,0)</f>
        <v>South</v>
      </c>
      <c r="E20" s="1" t="str">
        <f>VLOOKUP(B20,Mapping!A:D,4,0)</f>
        <v>South 1</v>
      </c>
      <c r="F20" s="1" t="str">
        <f>VLOOKUP(B20,Mapping!A:E,5,0)</f>
        <v>Sulabh</v>
      </c>
      <c r="G20" s="1" t="str">
        <f>VLOOKUP(B20,Mapping!A:F,6,0)</f>
        <v>Satya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7"/>
      <c r="S20" s="27"/>
    </row>
    <row r="21" spans="1:19" x14ac:dyDescent="0.35">
      <c r="A21" s="1" t="s">
        <v>115</v>
      </c>
      <c r="B21" s="1" t="s">
        <v>35</v>
      </c>
      <c r="C21" s="1" t="str">
        <f>VLOOKUP(B21,Mapping!A:B,2,0)</f>
        <v>Lateral</v>
      </c>
      <c r="D21" s="1" t="str">
        <f>VLOOKUP(B21,Mapping!A:C,3,0)</f>
        <v>West</v>
      </c>
      <c r="E21" s="1" t="str">
        <f>VLOOKUP(B21,Mapping!A:D,4,0)</f>
        <v>West 1</v>
      </c>
      <c r="F21" s="1" t="str">
        <f>VLOOKUP(B21,Mapping!A:E,5,0)</f>
        <v>Anjli</v>
      </c>
      <c r="G21" s="1" t="str">
        <f>VLOOKUP(B21,Mapping!A:F,6,0)</f>
        <v>Alifia</v>
      </c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7"/>
      <c r="S21" s="27"/>
    </row>
    <row r="22" spans="1:19" x14ac:dyDescent="0.35">
      <c r="A22" s="1" t="s">
        <v>115</v>
      </c>
      <c r="B22" s="1" t="s">
        <v>37</v>
      </c>
      <c r="C22" s="1" t="str">
        <f>VLOOKUP(B22,Mapping!A:B,2,0)</f>
        <v>Lateral</v>
      </c>
      <c r="D22" s="1" t="str">
        <f>VLOOKUP(B22,Mapping!A:C,3,0)</f>
        <v>South</v>
      </c>
      <c r="E22" s="1" t="str">
        <f>VLOOKUP(B22,Mapping!A:D,4,0)</f>
        <v>South 2</v>
      </c>
      <c r="F22" s="1" t="str">
        <f>VLOOKUP(B22,Mapping!A:E,5,0)</f>
        <v>Sulabh</v>
      </c>
      <c r="G22" s="1" t="str">
        <f>VLOOKUP(B22,Mapping!A:F,6,0)</f>
        <v>Subu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7"/>
      <c r="S22" s="27"/>
    </row>
    <row r="23" spans="1:19" x14ac:dyDescent="0.35">
      <c r="A23" s="1" t="s">
        <v>115</v>
      </c>
      <c r="B23" s="1" t="s">
        <v>38</v>
      </c>
      <c r="C23" s="1" t="str">
        <f>VLOOKUP(B23,Mapping!A:B,2,0)</f>
        <v>Lateral</v>
      </c>
      <c r="D23" s="1" t="str">
        <f>VLOOKUP(B23,Mapping!A:C,3,0)</f>
        <v>North</v>
      </c>
      <c r="E23" s="1" t="str">
        <f>VLOOKUP(B23,Mapping!A:D,4,0)</f>
        <v>North</v>
      </c>
      <c r="F23" s="1" t="str">
        <f>VLOOKUP(B23,Mapping!A:E,5,0)</f>
        <v>Anjli</v>
      </c>
      <c r="G23" s="1" t="str">
        <f>VLOOKUP(B23,Mapping!A:F,6,0)</f>
        <v>Archana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7"/>
      <c r="S23" s="27"/>
    </row>
    <row r="24" spans="1:19" x14ac:dyDescent="0.35">
      <c r="A24" s="1" t="s">
        <v>115</v>
      </c>
      <c r="B24" s="1" t="s">
        <v>39</v>
      </c>
      <c r="C24" s="1" t="str">
        <f>VLOOKUP(B24,Mapping!A:B,2,0)</f>
        <v>Lateral</v>
      </c>
      <c r="D24" s="1" t="str">
        <f>VLOOKUP(B24,Mapping!A:C,3,0)</f>
        <v>South</v>
      </c>
      <c r="E24" s="1" t="str">
        <f>VLOOKUP(B24,Mapping!A:D,4,0)</f>
        <v>South 2</v>
      </c>
      <c r="F24" s="1" t="str">
        <f>VLOOKUP(B24,Mapping!A:E,5,0)</f>
        <v>Sulabh</v>
      </c>
      <c r="G24" s="1" t="str">
        <f>VLOOKUP(B24,Mapping!A:F,6,0)</f>
        <v>Krishna</v>
      </c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7"/>
      <c r="S24" s="27"/>
    </row>
    <row r="25" spans="1:19" x14ac:dyDescent="0.35">
      <c r="A25" s="1" t="s">
        <v>115</v>
      </c>
      <c r="B25" s="1" t="s">
        <v>40</v>
      </c>
      <c r="C25" s="1" t="str">
        <f>VLOOKUP(B25,Mapping!A:B,2,0)</f>
        <v>Lateral</v>
      </c>
      <c r="D25" s="1" t="str">
        <f>VLOOKUP(B25,Mapping!A:C,3,0)</f>
        <v>West</v>
      </c>
      <c r="E25" s="1" t="str">
        <f>VLOOKUP(B25,Mapping!A:D,4,0)</f>
        <v>West 2</v>
      </c>
      <c r="F25" s="1" t="str">
        <f>VLOOKUP(B25,Mapping!A:E,5,0)</f>
        <v>Anjli</v>
      </c>
      <c r="G25" s="1" t="str">
        <f>VLOOKUP(B25,Mapping!A:F,6,0)</f>
        <v>Shweta</v>
      </c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7"/>
      <c r="S25" s="27"/>
    </row>
    <row r="26" spans="1:19" x14ac:dyDescent="0.35">
      <c r="A26" s="1" t="s">
        <v>115</v>
      </c>
      <c r="B26" s="1" t="s">
        <v>41</v>
      </c>
      <c r="C26" s="1" t="str">
        <f>VLOOKUP(B26,Mapping!A:B,2,0)</f>
        <v>Lateral</v>
      </c>
      <c r="D26" s="1" t="str">
        <f>VLOOKUP(B26,Mapping!A:C,3,0)</f>
        <v>South</v>
      </c>
      <c r="E26" s="1" t="str">
        <f>VLOOKUP(B26,Mapping!A:D,4,0)</f>
        <v>South 2</v>
      </c>
      <c r="F26" s="1" t="str">
        <f>VLOOKUP(B26,Mapping!A:E,5,0)</f>
        <v>Sulabh</v>
      </c>
      <c r="G26" s="1" t="str">
        <f>VLOOKUP(B26,Mapping!A:F,6,0)</f>
        <v>Krishna</v>
      </c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7"/>
      <c r="S26" s="27"/>
    </row>
    <row r="27" spans="1:19" x14ac:dyDescent="0.35">
      <c r="A27" s="1" t="s">
        <v>115</v>
      </c>
      <c r="B27" s="1" t="s">
        <v>42</v>
      </c>
      <c r="C27" s="1" t="str">
        <f>VLOOKUP(B27,Mapping!A:B,2,0)</f>
        <v>Lateral</v>
      </c>
      <c r="D27" s="1" t="str">
        <f>VLOOKUP(B27,Mapping!A:C,3,0)</f>
        <v>North</v>
      </c>
      <c r="E27" s="1" t="str">
        <f>VLOOKUP(B27,Mapping!A:D,4,0)</f>
        <v>North</v>
      </c>
      <c r="F27" s="1" t="str">
        <f>VLOOKUP(B27,Mapping!A:E,5,0)</f>
        <v>Anjli</v>
      </c>
      <c r="G27" s="1" t="str">
        <f>VLOOKUP(B27,Mapping!A:F,6,0)</f>
        <v>Archana</v>
      </c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7"/>
      <c r="S27" s="27"/>
    </row>
    <row r="28" spans="1:19" x14ac:dyDescent="0.35">
      <c r="A28" s="1" t="s">
        <v>115</v>
      </c>
      <c r="B28" s="1" t="s">
        <v>43</v>
      </c>
      <c r="C28" s="1" t="str">
        <f>VLOOKUP(B28,Mapping!A:B,2,0)</f>
        <v>Lateral</v>
      </c>
      <c r="D28" s="1" t="str">
        <f>VLOOKUP(B28,Mapping!A:C,3,0)</f>
        <v>West</v>
      </c>
      <c r="E28" s="1" t="str">
        <f>VLOOKUP(B28,Mapping!A:D,4,0)</f>
        <v>West 2</v>
      </c>
      <c r="F28" s="1" t="str">
        <f>VLOOKUP(B28,Mapping!A:E,5,0)</f>
        <v>Anjli</v>
      </c>
      <c r="G28" s="1" t="str">
        <f>VLOOKUP(B28,Mapping!A:F,6,0)</f>
        <v>Shweta</v>
      </c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7"/>
      <c r="S28" s="27"/>
    </row>
    <row r="29" spans="1:19" x14ac:dyDescent="0.35">
      <c r="A29" s="1" t="s">
        <v>115</v>
      </c>
      <c r="B29" s="1" t="s">
        <v>44</v>
      </c>
      <c r="C29" s="1" t="str">
        <f>VLOOKUP(B29,Mapping!A:B,2,0)</f>
        <v>Lateral</v>
      </c>
      <c r="D29" s="1" t="str">
        <f>VLOOKUP(B29,Mapping!A:C,3,0)</f>
        <v>North</v>
      </c>
      <c r="E29" s="1" t="str">
        <f>VLOOKUP(B29,Mapping!A:D,4,0)</f>
        <v>North</v>
      </c>
      <c r="F29" s="1" t="str">
        <f>VLOOKUP(B29,Mapping!A:E,5,0)</f>
        <v>Anjli</v>
      </c>
      <c r="G29" s="1" t="str">
        <f>VLOOKUP(B29,Mapping!A:F,6,0)</f>
        <v>Archana</v>
      </c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7"/>
      <c r="S29" s="27"/>
    </row>
    <row r="30" spans="1:19" x14ac:dyDescent="0.35">
      <c r="A30" s="1" t="s">
        <v>115</v>
      </c>
      <c r="B30" s="1" t="s">
        <v>45</v>
      </c>
      <c r="C30" s="1" t="str">
        <f>VLOOKUP(B30,Mapping!A:B,2,0)</f>
        <v>Lateral</v>
      </c>
      <c r="D30" s="1" t="str">
        <f>VLOOKUP(B30,Mapping!A:C,3,0)</f>
        <v>South</v>
      </c>
      <c r="E30" s="1" t="str">
        <f>VLOOKUP(B30,Mapping!A:D,4,0)</f>
        <v>South 2</v>
      </c>
      <c r="F30" s="1" t="str">
        <f>VLOOKUP(B30,Mapping!A:E,5,0)</f>
        <v>Sulabh</v>
      </c>
      <c r="G30" s="1" t="str">
        <f>VLOOKUP(B30,Mapping!A:F,6,0)</f>
        <v>Krishna</v>
      </c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7"/>
      <c r="S30" s="27"/>
    </row>
    <row r="31" spans="1:19" x14ac:dyDescent="0.35">
      <c r="A31" s="1" t="s">
        <v>115</v>
      </c>
      <c r="B31" s="1" t="s">
        <v>46</v>
      </c>
      <c r="C31" s="1" t="str">
        <f>VLOOKUP(B31,Mapping!A:B,2,0)</f>
        <v>Lateral</v>
      </c>
      <c r="D31" s="1" t="str">
        <f>VLOOKUP(B31,Mapping!A:C,3,0)</f>
        <v>West</v>
      </c>
      <c r="E31" s="1" t="str">
        <f>VLOOKUP(B31,Mapping!A:D,4,0)</f>
        <v>West 1</v>
      </c>
      <c r="F31" s="1" t="str">
        <f>VLOOKUP(B31,Mapping!A:E,5,0)</f>
        <v>Anjli</v>
      </c>
      <c r="G31" s="1" t="str">
        <f>VLOOKUP(B31,Mapping!A:F,6,0)</f>
        <v>Geetu</v>
      </c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7"/>
      <c r="S31" s="27"/>
    </row>
    <row r="32" spans="1:19" x14ac:dyDescent="0.35">
      <c r="A32" s="1" t="s">
        <v>115</v>
      </c>
      <c r="B32" s="1" t="s">
        <v>47</v>
      </c>
      <c r="C32" s="1" t="str">
        <f>VLOOKUP(B32,Mapping!A:B,2,0)</f>
        <v>Lateral</v>
      </c>
      <c r="D32" s="1" t="str">
        <f>VLOOKUP(B32,Mapping!A:C,3,0)</f>
        <v>West</v>
      </c>
      <c r="E32" s="1" t="str">
        <f>VLOOKUP(B32,Mapping!A:D,4,0)</f>
        <v>West 1</v>
      </c>
      <c r="F32" s="1" t="str">
        <f>VLOOKUP(B32,Mapping!A:E,5,0)</f>
        <v>Anjli</v>
      </c>
      <c r="G32" s="1" t="str">
        <f>VLOOKUP(B32,Mapping!A:F,6,0)</f>
        <v>Geetu</v>
      </c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7"/>
      <c r="S32" s="27"/>
    </row>
    <row r="33" spans="1:19" x14ac:dyDescent="0.35">
      <c r="A33" s="1" t="s">
        <v>115</v>
      </c>
      <c r="B33" s="1" t="s">
        <v>48</v>
      </c>
      <c r="C33" s="1" t="str">
        <f>VLOOKUP(B33,Mapping!A:B,2,0)</f>
        <v>Lateral</v>
      </c>
      <c r="D33" s="1" t="str">
        <f>VLOOKUP(B33,Mapping!A:C,3,0)</f>
        <v>West</v>
      </c>
      <c r="E33" s="1" t="str">
        <f>VLOOKUP(B33,Mapping!A:D,4,0)</f>
        <v>West 1</v>
      </c>
      <c r="F33" s="1" t="str">
        <f>VLOOKUP(B33,Mapping!A:E,5,0)</f>
        <v>Anjli</v>
      </c>
      <c r="G33" s="1" t="str">
        <f>VLOOKUP(B33,Mapping!A:F,6,0)</f>
        <v>Geetu</v>
      </c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7"/>
      <c r="S33" s="27"/>
    </row>
    <row r="34" spans="1:19" x14ac:dyDescent="0.35">
      <c r="A34" s="1" t="s">
        <v>115</v>
      </c>
      <c r="B34" s="1" t="s">
        <v>49</v>
      </c>
      <c r="C34" s="1" t="str">
        <f>VLOOKUP(B34,Mapping!A:B,2,0)</f>
        <v>Lateral</v>
      </c>
      <c r="D34" s="1" t="str">
        <f>VLOOKUP(B34,Mapping!A:C,3,0)</f>
        <v>North</v>
      </c>
      <c r="E34" s="1" t="str">
        <f>VLOOKUP(B34,Mapping!A:D,4,0)</f>
        <v>North</v>
      </c>
      <c r="F34" s="1" t="str">
        <f>VLOOKUP(B34,Mapping!A:E,5,0)</f>
        <v>Anjli</v>
      </c>
      <c r="G34" s="1" t="str">
        <f>VLOOKUP(B34,Mapping!A:F,6,0)</f>
        <v>Archana</v>
      </c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7"/>
      <c r="S34" s="27"/>
    </row>
    <row r="35" spans="1:19" x14ac:dyDescent="0.35">
      <c r="A35" s="1" t="s">
        <v>115</v>
      </c>
      <c r="B35" s="1" t="s">
        <v>50</v>
      </c>
      <c r="C35" s="1" t="str">
        <f>VLOOKUP(B35,Mapping!A:B,2,0)</f>
        <v>Lateral</v>
      </c>
      <c r="D35" s="1" t="str">
        <f>VLOOKUP(B35,Mapping!A:C,3,0)</f>
        <v>North</v>
      </c>
      <c r="E35" s="1" t="str">
        <f>VLOOKUP(B35,Mapping!A:D,4,0)</f>
        <v>North</v>
      </c>
      <c r="F35" s="1" t="str">
        <f>VLOOKUP(B35,Mapping!A:E,5,0)</f>
        <v>Anjli</v>
      </c>
      <c r="G35" s="1" t="str">
        <f>VLOOKUP(B35,Mapping!A:F,6,0)</f>
        <v>Archana</v>
      </c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7"/>
      <c r="S35" s="27"/>
    </row>
    <row r="36" spans="1:19" x14ac:dyDescent="0.35">
      <c r="A36" s="1" t="s">
        <v>115</v>
      </c>
      <c r="B36" s="1" t="s">
        <v>51</v>
      </c>
      <c r="C36" s="1" t="str">
        <f>VLOOKUP(B36,Mapping!A:B,2,0)</f>
        <v>Lateral</v>
      </c>
      <c r="D36" s="1" t="str">
        <f>VLOOKUP(B36,Mapping!A:C,3,0)</f>
        <v>West</v>
      </c>
      <c r="E36" s="1" t="str">
        <f>VLOOKUP(B36,Mapping!A:D,4,0)</f>
        <v>West 1</v>
      </c>
      <c r="F36" s="1" t="str">
        <f>VLOOKUP(B36,Mapping!A:E,5,0)</f>
        <v>Anjli</v>
      </c>
      <c r="G36" s="1" t="str">
        <f>VLOOKUP(B36,Mapping!A:F,6,0)</f>
        <v>Geetu</v>
      </c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7"/>
      <c r="S36" s="27"/>
    </row>
    <row r="37" spans="1:19" x14ac:dyDescent="0.35">
      <c r="A37" s="1" t="s">
        <v>115</v>
      </c>
      <c r="B37" s="1" t="s">
        <v>52</v>
      </c>
      <c r="C37" s="1" t="str">
        <f>VLOOKUP(B37,Mapping!A:B,2,0)</f>
        <v>Lateral</v>
      </c>
      <c r="D37" s="1" t="str">
        <f>VLOOKUP(B37,Mapping!A:C,3,0)</f>
        <v>West</v>
      </c>
      <c r="E37" s="1" t="str">
        <f>VLOOKUP(B37,Mapping!A:D,4,0)</f>
        <v>West 2</v>
      </c>
      <c r="F37" s="1" t="str">
        <f>VLOOKUP(B37,Mapping!A:E,5,0)</f>
        <v>Anjli</v>
      </c>
      <c r="G37" s="1" t="str">
        <f>VLOOKUP(B37,Mapping!A:F,6,0)</f>
        <v>Shweta</v>
      </c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7"/>
      <c r="S37" s="27"/>
    </row>
    <row r="38" spans="1:19" x14ac:dyDescent="0.35">
      <c r="A38" s="1" t="s">
        <v>115</v>
      </c>
      <c r="B38" s="1" t="s">
        <v>53</v>
      </c>
      <c r="C38" s="1" t="str">
        <f>VLOOKUP(B38,Mapping!A:B,2,0)</f>
        <v>Lateral</v>
      </c>
      <c r="D38" s="1" t="str">
        <f>VLOOKUP(B38,Mapping!A:C,3,0)</f>
        <v>West</v>
      </c>
      <c r="E38" s="1" t="str">
        <f>VLOOKUP(B38,Mapping!A:D,4,0)</f>
        <v>West 1</v>
      </c>
      <c r="F38" s="1" t="str">
        <f>VLOOKUP(B38,Mapping!A:E,5,0)</f>
        <v>Anjli</v>
      </c>
      <c r="G38" s="1" t="str">
        <f>VLOOKUP(B38,Mapping!A:F,6,0)</f>
        <v>Ankit</v>
      </c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7"/>
      <c r="S38" s="27"/>
    </row>
    <row r="39" spans="1:19" x14ac:dyDescent="0.35">
      <c r="A39" s="1" t="s">
        <v>115</v>
      </c>
      <c r="B39" s="1" t="s">
        <v>55</v>
      </c>
      <c r="C39" s="1" t="str">
        <f>VLOOKUP(B39,Mapping!A:B,2,0)</f>
        <v>Lateral</v>
      </c>
      <c r="D39" s="1" t="str">
        <f>VLOOKUP(B39,Mapping!A:C,3,0)</f>
        <v>South</v>
      </c>
      <c r="E39" s="1" t="str">
        <f>VLOOKUP(B39,Mapping!A:D,4,0)</f>
        <v>South 2</v>
      </c>
      <c r="F39" s="1" t="str">
        <f>VLOOKUP(B39,Mapping!A:E,5,0)</f>
        <v>Sulabh</v>
      </c>
      <c r="G39" s="1" t="str">
        <f>VLOOKUP(B39,Mapping!A:F,6,0)</f>
        <v>Krishna</v>
      </c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7"/>
      <c r="S39" s="27"/>
    </row>
    <row r="40" spans="1:19" x14ac:dyDescent="0.35">
      <c r="A40" s="1" t="s">
        <v>115</v>
      </c>
      <c r="B40" s="1" t="s">
        <v>56</v>
      </c>
      <c r="C40" s="1" t="str">
        <f>VLOOKUP(B40,Mapping!A:B,2,0)</f>
        <v>Lateral</v>
      </c>
      <c r="D40" s="1" t="str">
        <f>VLOOKUP(B40,Mapping!A:C,3,0)</f>
        <v>North</v>
      </c>
      <c r="E40" s="1" t="str">
        <f>VLOOKUP(B40,Mapping!A:D,4,0)</f>
        <v>North</v>
      </c>
      <c r="F40" s="1" t="str">
        <f>VLOOKUP(B40,Mapping!A:E,5,0)</f>
        <v>Anjli</v>
      </c>
      <c r="G40" s="1" t="str">
        <f>VLOOKUP(B40,Mapping!A:F,6,0)</f>
        <v>Archana</v>
      </c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7"/>
      <c r="S40" s="27"/>
    </row>
    <row r="41" spans="1:19" x14ac:dyDescent="0.35">
      <c r="A41" s="1" t="s">
        <v>115</v>
      </c>
      <c r="B41" s="1" t="s">
        <v>57</v>
      </c>
      <c r="C41" s="1" t="str">
        <f>VLOOKUP(B41,Mapping!A:B,2,0)</f>
        <v>Lateral</v>
      </c>
      <c r="D41" s="1" t="str">
        <f>VLOOKUP(B41,Mapping!A:C,3,0)</f>
        <v>South</v>
      </c>
      <c r="E41" s="1" t="str">
        <f>VLOOKUP(B41,Mapping!A:D,4,0)</f>
        <v>South 2</v>
      </c>
      <c r="F41" s="1" t="str">
        <f>VLOOKUP(B41,Mapping!A:E,5,0)</f>
        <v>Sulabh</v>
      </c>
      <c r="G41" s="1" t="str">
        <f>VLOOKUP(B41,Mapping!A:F,6,0)</f>
        <v>Krishna</v>
      </c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7"/>
      <c r="S41" s="27"/>
    </row>
    <row r="42" spans="1:19" x14ac:dyDescent="0.35">
      <c r="A42" s="1" t="s">
        <v>115</v>
      </c>
      <c r="B42" s="1" t="s">
        <v>58</v>
      </c>
      <c r="C42" s="1" t="str">
        <f>VLOOKUP(B42,Mapping!A:B,2,0)</f>
        <v>Lateral</v>
      </c>
      <c r="D42" s="1" t="str">
        <f>VLOOKUP(B42,Mapping!A:C,3,0)</f>
        <v>West</v>
      </c>
      <c r="E42" s="1" t="str">
        <f>VLOOKUP(B42,Mapping!A:D,4,0)</f>
        <v>West 1</v>
      </c>
      <c r="F42" s="1" t="str">
        <f>VLOOKUP(B42,Mapping!A:E,5,0)</f>
        <v>Anjli</v>
      </c>
      <c r="G42" s="1" t="str">
        <f>VLOOKUP(B42,Mapping!A:F,6,0)</f>
        <v>Elton</v>
      </c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7"/>
      <c r="S42" s="27"/>
    </row>
    <row r="43" spans="1:19" x14ac:dyDescent="0.35">
      <c r="A43" s="1" t="s">
        <v>115</v>
      </c>
      <c r="B43" s="1" t="s">
        <v>60</v>
      </c>
      <c r="C43" s="1" t="str">
        <f>VLOOKUP(B43,Mapping!A:B,2,0)</f>
        <v>Lateral</v>
      </c>
      <c r="D43" s="1" t="str">
        <f>VLOOKUP(B43,Mapping!A:C,3,0)</f>
        <v>West</v>
      </c>
      <c r="E43" s="1" t="str">
        <f>VLOOKUP(B43,Mapping!A:D,4,0)</f>
        <v>West 2</v>
      </c>
      <c r="F43" s="1" t="str">
        <f>VLOOKUP(B43,Mapping!A:E,5,0)</f>
        <v>Anjli</v>
      </c>
      <c r="G43" s="1" t="str">
        <f>VLOOKUP(B43,Mapping!A:F,6,0)</f>
        <v>Shweta</v>
      </c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7"/>
      <c r="S43" s="27"/>
    </row>
    <row r="44" spans="1:19" x14ac:dyDescent="0.35">
      <c r="A44" s="1" t="s">
        <v>115</v>
      </c>
      <c r="B44" s="1" t="s">
        <v>61</v>
      </c>
      <c r="C44" s="1" t="str">
        <f>VLOOKUP(B44,Mapping!A:B,2,0)</f>
        <v>Lateral</v>
      </c>
      <c r="D44" s="1" t="str">
        <f>VLOOKUP(B44,Mapping!A:C,3,0)</f>
        <v>West</v>
      </c>
      <c r="E44" s="1" t="str">
        <f>VLOOKUP(B44,Mapping!A:D,4,0)</f>
        <v>West 1</v>
      </c>
      <c r="F44" s="1" t="str">
        <f>VLOOKUP(B44,Mapping!A:E,5,0)</f>
        <v>Anjli</v>
      </c>
      <c r="G44" s="1" t="str">
        <f>VLOOKUP(B44,Mapping!A:F,6,0)</f>
        <v>Elton</v>
      </c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7"/>
      <c r="S44" s="27"/>
    </row>
    <row r="45" spans="1:19" x14ac:dyDescent="0.35">
      <c r="A45" s="1" t="s">
        <v>115</v>
      </c>
      <c r="B45" s="1" t="s">
        <v>62</v>
      </c>
      <c r="C45" s="1" t="str">
        <f>VLOOKUP(B45,Mapping!A:B,2,0)</f>
        <v>Lateral</v>
      </c>
      <c r="D45" s="1" t="str">
        <f>VLOOKUP(B45,Mapping!A:C,3,0)</f>
        <v>South</v>
      </c>
      <c r="E45" s="1" t="str">
        <f>VLOOKUP(B45,Mapping!A:D,4,0)</f>
        <v>South 2</v>
      </c>
      <c r="F45" s="1" t="str">
        <f>VLOOKUP(B45,Mapping!A:E,5,0)</f>
        <v>Sulabh</v>
      </c>
      <c r="G45" s="1" t="str">
        <f>VLOOKUP(B45,Mapping!A:F,6,0)</f>
        <v>Subu</v>
      </c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7"/>
      <c r="S45" s="27"/>
    </row>
    <row r="46" spans="1:19" x14ac:dyDescent="0.35">
      <c r="A46" s="1" t="s">
        <v>115</v>
      </c>
      <c r="B46" s="1" t="s">
        <v>63</v>
      </c>
      <c r="C46" s="1" t="str">
        <f>VLOOKUP(B46,Mapping!A:B,2,0)</f>
        <v>Lateral</v>
      </c>
      <c r="D46" s="1" t="str">
        <f>VLOOKUP(B46,Mapping!A:C,3,0)</f>
        <v>West</v>
      </c>
      <c r="E46" s="1" t="str">
        <f>VLOOKUP(B46,Mapping!A:D,4,0)</f>
        <v>West 1</v>
      </c>
      <c r="F46" s="1" t="str">
        <f>VLOOKUP(B46,Mapping!A:E,5,0)</f>
        <v>Anjli</v>
      </c>
      <c r="G46" s="1" t="str">
        <f>VLOOKUP(B46,Mapping!A:F,6,0)</f>
        <v>Elton</v>
      </c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7"/>
      <c r="S46" s="27"/>
    </row>
    <row r="47" spans="1:19" x14ac:dyDescent="0.35">
      <c r="A47" s="1" t="s">
        <v>115</v>
      </c>
      <c r="B47" s="1" t="s">
        <v>64</v>
      </c>
      <c r="C47" s="1" t="str">
        <f>VLOOKUP(B47,Mapping!A:B,2,0)</f>
        <v>Lateral</v>
      </c>
      <c r="D47" s="1" t="str">
        <f>VLOOKUP(B47,Mapping!A:C,3,0)</f>
        <v>South</v>
      </c>
      <c r="E47" s="1" t="str">
        <f>VLOOKUP(B47,Mapping!A:D,4,0)</f>
        <v>South 2</v>
      </c>
      <c r="F47" s="1" t="str">
        <f>VLOOKUP(B47,Mapping!A:E,5,0)</f>
        <v>Sulabh</v>
      </c>
      <c r="G47" s="1" t="str">
        <f>VLOOKUP(B47,Mapping!A:F,6,0)</f>
        <v>Sulabh</v>
      </c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7"/>
      <c r="S47" s="27"/>
    </row>
    <row r="48" spans="1:19" x14ac:dyDescent="0.35">
      <c r="A48" s="1" t="s">
        <v>115</v>
      </c>
      <c r="B48" s="1" t="s">
        <v>65</v>
      </c>
      <c r="C48" s="1" t="str">
        <f>VLOOKUP(B48,Mapping!A:B,2,0)</f>
        <v>Lateral</v>
      </c>
      <c r="D48" s="1" t="str">
        <f>VLOOKUP(B48,Mapping!A:C,3,0)</f>
        <v>South</v>
      </c>
      <c r="E48" s="1" t="str">
        <f>VLOOKUP(B48,Mapping!A:D,4,0)</f>
        <v>South 2</v>
      </c>
      <c r="F48" s="1" t="str">
        <f>VLOOKUP(B48,Mapping!A:E,5,0)</f>
        <v>Sulabh</v>
      </c>
      <c r="G48" s="1" t="str">
        <f>VLOOKUP(B48,Mapping!A:F,6,0)</f>
        <v>Sulabh</v>
      </c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7"/>
      <c r="S48" s="27"/>
    </row>
    <row r="49" spans="1:19" x14ac:dyDescent="0.35">
      <c r="A49" s="1" t="s">
        <v>115</v>
      </c>
      <c r="B49" s="1" t="s">
        <v>66</v>
      </c>
      <c r="C49" s="1" t="str">
        <f>VLOOKUP(B49,Mapping!A:B,2,0)</f>
        <v>Lateral</v>
      </c>
      <c r="D49" s="1" t="str">
        <f>VLOOKUP(B49,Mapping!A:C,3,0)</f>
        <v>South</v>
      </c>
      <c r="E49" s="1" t="str">
        <f>VLOOKUP(B49,Mapping!A:D,4,0)</f>
        <v>South 2</v>
      </c>
      <c r="F49" s="1" t="str">
        <f>VLOOKUP(B49,Mapping!A:E,5,0)</f>
        <v>Sulabh</v>
      </c>
      <c r="G49" s="1" t="str">
        <f>VLOOKUP(B49,Mapping!A:F,6,0)</f>
        <v>Abhilash</v>
      </c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7"/>
      <c r="S49" s="27"/>
    </row>
    <row r="50" spans="1:19" x14ac:dyDescent="0.35">
      <c r="A50" s="1" t="s">
        <v>115</v>
      </c>
      <c r="B50" s="1" t="s">
        <v>68</v>
      </c>
      <c r="C50" s="1" t="str">
        <f>VLOOKUP(B50,Mapping!A:B,2,0)</f>
        <v>Lateral</v>
      </c>
      <c r="D50" s="1" t="str">
        <f>VLOOKUP(B50,Mapping!A:C,3,0)</f>
        <v>West</v>
      </c>
      <c r="E50" s="1" t="str">
        <f>VLOOKUP(B50,Mapping!A:D,4,0)</f>
        <v>West 1</v>
      </c>
      <c r="F50" s="1" t="str">
        <f>VLOOKUP(B50,Mapping!A:E,5,0)</f>
        <v>Anjli</v>
      </c>
      <c r="G50" s="1" t="str">
        <f>VLOOKUP(B50,Mapping!A:F,6,0)</f>
        <v>Elton</v>
      </c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7"/>
      <c r="S50" s="27"/>
    </row>
    <row r="51" spans="1:19" x14ac:dyDescent="0.35">
      <c r="A51" s="1" t="s">
        <v>115</v>
      </c>
      <c r="B51" s="1" t="s">
        <v>69</v>
      </c>
      <c r="C51" s="1" t="str">
        <f>VLOOKUP(B51,Mapping!A:B,2,0)</f>
        <v>Leadership</v>
      </c>
      <c r="D51" s="1" t="str">
        <f>VLOOKUP(B51,Mapping!A:C,3,0)</f>
        <v>South</v>
      </c>
      <c r="E51" s="1" t="str">
        <f>VLOOKUP(B51,Mapping!A:D,4,0)</f>
        <v>South 1</v>
      </c>
      <c r="F51" s="1" t="str">
        <f>VLOOKUP(B51,Mapping!A:E,5,0)</f>
        <v>Bapi</v>
      </c>
      <c r="G51" s="1" t="str">
        <f>VLOOKUP(B51,Mapping!A:F,6,0)</f>
        <v>Parul</v>
      </c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7"/>
      <c r="S51" s="27"/>
    </row>
    <row r="52" spans="1:19" x14ac:dyDescent="0.35">
      <c r="A52" s="1" t="s">
        <v>115</v>
      </c>
      <c r="B52" s="1" t="s">
        <v>71</v>
      </c>
      <c r="C52" s="1" t="str">
        <f>VLOOKUP(B52,Mapping!A:B,2,0)</f>
        <v>Leadership</v>
      </c>
      <c r="D52" s="1" t="str">
        <f>VLOOKUP(B52,Mapping!A:C,3,0)</f>
        <v>South</v>
      </c>
      <c r="E52" s="1" t="str">
        <f>VLOOKUP(B52,Mapping!A:D,4,0)</f>
        <v>South 2</v>
      </c>
      <c r="F52" s="1" t="str">
        <f>VLOOKUP(B52,Mapping!A:E,5,0)</f>
        <v>Sulabh</v>
      </c>
      <c r="G52" s="1" t="str">
        <f>VLOOKUP(B52,Mapping!A:F,6,0)</f>
        <v>Parul</v>
      </c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7"/>
      <c r="S52" s="27"/>
    </row>
    <row r="53" spans="1:19" x14ac:dyDescent="0.35">
      <c r="A53" s="1" t="s">
        <v>115</v>
      </c>
      <c r="B53" s="1" t="s">
        <v>72</v>
      </c>
      <c r="C53" s="1" t="str">
        <f>VLOOKUP(B53,Mapping!A:B,2,0)</f>
        <v>Leadership</v>
      </c>
      <c r="D53" s="1" t="str">
        <f>VLOOKUP(B53,Mapping!A:C,3,0)</f>
        <v>West</v>
      </c>
      <c r="E53" s="1" t="str">
        <f>VLOOKUP(B53,Mapping!A:D,4,0)</f>
        <v>West 2</v>
      </c>
      <c r="F53" s="1" t="str">
        <f>VLOOKUP(B53,Mapping!A:E,5,0)</f>
        <v>Anjli</v>
      </c>
      <c r="G53" s="1" t="str">
        <f>VLOOKUP(B53,Mapping!A:F,6,0)</f>
        <v>Parul</v>
      </c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7"/>
      <c r="S53" s="27"/>
    </row>
    <row r="54" spans="1:19" x14ac:dyDescent="0.35">
      <c r="A54" s="1" t="s">
        <v>115</v>
      </c>
      <c r="B54" s="1" t="s">
        <v>73</v>
      </c>
      <c r="C54" s="1" t="str">
        <f>VLOOKUP(B54,Mapping!A:B,2,0)</f>
        <v>Leadership</v>
      </c>
      <c r="D54" s="1" t="str">
        <f>VLOOKUP(B54,Mapping!A:C,3,0)</f>
        <v>West</v>
      </c>
      <c r="E54" s="1" t="str">
        <f>VLOOKUP(B54,Mapping!A:D,4,0)</f>
        <v>West 1</v>
      </c>
      <c r="F54" s="1" t="str">
        <f>VLOOKUP(B54,Mapping!A:E,5,0)</f>
        <v>Anjli</v>
      </c>
      <c r="G54" s="1" t="str">
        <f>VLOOKUP(B54,Mapping!A:F,6,0)</f>
        <v>Parul</v>
      </c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7"/>
      <c r="S54" s="27"/>
    </row>
    <row r="55" spans="1:19" x14ac:dyDescent="0.35">
      <c r="A55" s="1" t="s">
        <v>115</v>
      </c>
      <c r="B55" s="1" t="s">
        <v>74</v>
      </c>
      <c r="C55" s="1" t="str">
        <f>VLOOKUP(B55,Mapping!A:B,2,0)</f>
        <v>Leadership</v>
      </c>
      <c r="D55" s="1" t="str">
        <f>VLOOKUP(B55,Mapping!A:C,3,0)</f>
        <v>West</v>
      </c>
      <c r="E55" s="1" t="str">
        <f>VLOOKUP(B55,Mapping!A:D,4,0)</f>
        <v>West 1</v>
      </c>
      <c r="F55" s="1" t="str">
        <f>VLOOKUP(B55,Mapping!A:E,5,0)</f>
        <v>Anjli</v>
      </c>
      <c r="G55" s="1" t="str">
        <f>VLOOKUP(B55,Mapping!A:F,6,0)</f>
        <v>Parul</v>
      </c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7"/>
      <c r="S55" s="27"/>
    </row>
    <row r="56" spans="1:19" x14ac:dyDescent="0.35">
      <c r="A56" s="1" t="s">
        <v>115</v>
      </c>
      <c r="B56" s="1" t="s">
        <v>75</v>
      </c>
      <c r="C56" s="1" t="str">
        <f>VLOOKUP(B56,Mapping!A:B,2,0)</f>
        <v>Leadership</v>
      </c>
      <c r="D56" s="1" t="str">
        <f>VLOOKUP(B56,Mapping!A:C,3,0)</f>
        <v>South</v>
      </c>
      <c r="E56" s="1" t="str">
        <f>VLOOKUP(B56,Mapping!A:D,4,0)</f>
        <v>South 2</v>
      </c>
      <c r="F56" s="1" t="str">
        <f>VLOOKUP(B56,Mapping!A:E,5,0)</f>
        <v>Sulabh</v>
      </c>
      <c r="G56" s="1" t="str">
        <f>VLOOKUP(B56,Mapping!A:F,6,0)</f>
        <v>Parul</v>
      </c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7"/>
      <c r="S56" s="27"/>
    </row>
    <row r="57" spans="1:19" x14ac:dyDescent="0.35">
      <c r="A57" s="1" t="s">
        <v>115</v>
      </c>
      <c r="B57" s="1" t="s">
        <v>76</v>
      </c>
      <c r="C57" s="1" t="str">
        <f>VLOOKUP(B57,Mapping!A:B,2,0)</f>
        <v>Leadership</v>
      </c>
      <c r="D57" s="1" t="str">
        <f>VLOOKUP(B57,Mapping!A:C,3,0)</f>
        <v>South</v>
      </c>
      <c r="E57" s="1" t="str">
        <f>VLOOKUP(B57,Mapping!A:D,4,0)</f>
        <v>South 2</v>
      </c>
      <c r="F57" s="1" t="str">
        <f>VLOOKUP(B57,Mapping!A:E,5,0)</f>
        <v>Sulabh</v>
      </c>
      <c r="G57" s="1" t="str">
        <f>VLOOKUP(B57,Mapping!A:F,6,0)</f>
        <v>Parul</v>
      </c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7"/>
      <c r="S57" s="27"/>
    </row>
    <row r="58" spans="1:19" x14ac:dyDescent="0.35">
      <c r="A58" s="1" t="s">
        <v>115</v>
      </c>
      <c r="B58" s="1" t="s">
        <v>77</v>
      </c>
      <c r="C58" s="1" t="str">
        <f>VLOOKUP(B58,Mapping!A:B,2,0)</f>
        <v>Leadership</v>
      </c>
      <c r="D58" s="1" t="str">
        <f>VLOOKUP(B58,Mapping!A:C,3,0)</f>
        <v>North</v>
      </c>
      <c r="E58" s="1" t="str">
        <f>VLOOKUP(B58,Mapping!A:D,4,0)</f>
        <v>North</v>
      </c>
      <c r="F58" s="1" t="str">
        <f>VLOOKUP(B58,Mapping!A:E,5,0)</f>
        <v>Anjli</v>
      </c>
      <c r="G58" s="1" t="str">
        <f>VLOOKUP(B58,Mapping!A:F,6,0)</f>
        <v>Parul</v>
      </c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7"/>
      <c r="S58" s="27"/>
    </row>
    <row r="59" spans="1:19" x14ac:dyDescent="0.35">
      <c r="A59" s="1" t="s">
        <v>115</v>
      </c>
      <c r="B59" s="1" t="s">
        <v>78</v>
      </c>
      <c r="C59" s="1" t="str">
        <f>VLOOKUP(B59,Mapping!A:B,2,0)</f>
        <v>Leadership</v>
      </c>
      <c r="D59" s="1" t="str">
        <f>VLOOKUP(B59,Mapping!A:C,3,0)</f>
        <v>West</v>
      </c>
      <c r="E59" s="1" t="str">
        <f>VLOOKUP(B59,Mapping!A:D,4,0)</f>
        <v>West 1</v>
      </c>
      <c r="F59" s="1" t="str">
        <f>VLOOKUP(B59,Mapping!A:E,5,0)</f>
        <v>Anjli</v>
      </c>
      <c r="G59" s="1" t="str">
        <f>VLOOKUP(B59,Mapping!A:F,6,0)</f>
        <v>Parul</v>
      </c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7"/>
      <c r="S59" s="27"/>
    </row>
    <row r="60" spans="1:19" x14ac:dyDescent="0.35">
      <c r="A60" s="1" t="s">
        <v>115</v>
      </c>
      <c r="B60" s="1" t="s">
        <v>79</v>
      </c>
      <c r="C60" s="1" t="str">
        <f>VLOOKUP(B60,Mapping!A:B,2,0)</f>
        <v>Leadership</v>
      </c>
      <c r="D60" s="1" t="str">
        <f>VLOOKUP(B60,Mapping!A:C,3,0)</f>
        <v>West</v>
      </c>
      <c r="E60" s="1" t="str">
        <f>VLOOKUP(B60,Mapping!A:D,4,0)</f>
        <v>West 2</v>
      </c>
      <c r="F60" s="1" t="str">
        <f>VLOOKUP(B60,Mapping!A:E,5,0)</f>
        <v>Anjli</v>
      </c>
      <c r="G60" s="1" t="str">
        <f>VLOOKUP(B60,Mapping!A:F,6,0)</f>
        <v>Parul</v>
      </c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7"/>
      <c r="S60" s="27"/>
    </row>
    <row r="61" spans="1:19" x14ac:dyDescent="0.35">
      <c r="A61" s="1" t="s">
        <v>115</v>
      </c>
      <c r="B61" s="1" t="s">
        <v>80</v>
      </c>
      <c r="C61" s="1" t="str">
        <f>VLOOKUP(B61,Mapping!A:B,2,0)</f>
        <v>Leadership</v>
      </c>
      <c r="D61" s="1" t="str">
        <f>VLOOKUP(B61,Mapping!A:C,3,0)</f>
        <v>North</v>
      </c>
      <c r="E61" s="1" t="str">
        <f>VLOOKUP(B61,Mapping!A:D,4,0)</f>
        <v>North</v>
      </c>
      <c r="F61" s="1" t="str">
        <f>VLOOKUP(B61,Mapping!A:E,5,0)</f>
        <v>Anjli</v>
      </c>
      <c r="G61" s="1" t="str">
        <f>VLOOKUP(B61,Mapping!A:F,6,0)</f>
        <v>Parul</v>
      </c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7"/>
      <c r="S61" s="27"/>
    </row>
    <row r="62" spans="1:19" x14ac:dyDescent="0.35">
      <c r="A62" s="1" t="s">
        <v>115</v>
      </c>
      <c r="B62" s="1" t="s">
        <v>81</v>
      </c>
      <c r="C62" s="1" t="str">
        <f>VLOOKUP(B62,Mapping!A:B,2,0)</f>
        <v>Leadership</v>
      </c>
      <c r="D62" s="1" t="str">
        <f>VLOOKUP(B62,Mapping!A:C,3,0)</f>
        <v>North</v>
      </c>
      <c r="E62" s="1" t="str">
        <f>VLOOKUP(B62,Mapping!A:D,4,0)</f>
        <v>North</v>
      </c>
      <c r="F62" s="1" t="str">
        <f>VLOOKUP(B62,Mapping!A:E,5,0)</f>
        <v>Anjli</v>
      </c>
      <c r="G62" s="1" t="str">
        <f>VLOOKUP(B62,Mapping!A:F,6,0)</f>
        <v>Parul</v>
      </c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7"/>
      <c r="S62" s="27"/>
    </row>
    <row r="63" spans="1:19" x14ac:dyDescent="0.35">
      <c r="A63" s="1" t="s">
        <v>115</v>
      </c>
      <c r="B63" s="1" t="s">
        <v>82</v>
      </c>
      <c r="C63" s="1" t="str">
        <f>VLOOKUP(B63,Mapping!A:B,2,0)</f>
        <v>Leadership</v>
      </c>
      <c r="D63" s="1" t="str">
        <f>VLOOKUP(B63,Mapping!A:C,3,0)</f>
        <v>West</v>
      </c>
      <c r="E63" s="1" t="str">
        <f>VLOOKUP(B63,Mapping!A:D,4,0)</f>
        <v>West 1</v>
      </c>
      <c r="F63" s="1" t="str">
        <f>VLOOKUP(B63,Mapping!A:E,5,0)</f>
        <v>Anjli</v>
      </c>
      <c r="G63" s="1" t="str">
        <f>VLOOKUP(B63,Mapping!A:F,6,0)</f>
        <v>Parul</v>
      </c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7"/>
      <c r="S63" s="27"/>
    </row>
    <row r="64" spans="1:19" x14ac:dyDescent="0.35">
      <c r="A64" s="1" t="s">
        <v>115</v>
      </c>
      <c r="B64" s="1" t="s">
        <v>83</v>
      </c>
      <c r="C64" s="1" t="str">
        <f>VLOOKUP(B64,Mapping!A:B,2,0)</f>
        <v>Leadership</v>
      </c>
      <c r="D64" s="1" t="str">
        <f>VLOOKUP(B64,Mapping!A:C,3,0)</f>
        <v>North</v>
      </c>
      <c r="E64" s="1" t="str">
        <f>VLOOKUP(B64,Mapping!A:D,4,0)</f>
        <v>North</v>
      </c>
      <c r="F64" s="1" t="str">
        <f>VLOOKUP(B64,Mapping!A:E,5,0)</f>
        <v>Anjli</v>
      </c>
      <c r="G64" s="1" t="str">
        <f>VLOOKUP(B64,Mapping!A:F,6,0)</f>
        <v>Parul</v>
      </c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7"/>
      <c r="S64" s="27"/>
    </row>
    <row r="65" spans="1:19" x14ac:dyDescent="0.35">
      <c r="A65" s="1" t="s">
        <v>115</v>
      </c>
      <c r="B65" s="1" t="s">
        <v>84</v>
      </c>
      <c r="C65" s="1" t="str">
        <f>VLOOKUP(B65,Mapping!A:B,2,0)</f>
        <v>Lateral</v>
      </c>
      <c r="D65" s="1" t="str">
        <f>VLOOKUP(B65,Mapping!A:C,3,0)</f>
        <v>South</v>
      </c>
      <c r="E65" s="1" t="str">
        <f>VLOOKUP(B65,Mapping!A:D,4,0)</f>
        <v>South 1</v>
      </c>
      <c r="F65" s="1" t="str">
        <f>VLOOKUP(B65,Mapping!A:E,5,0)</f>
        <v>Ashish</v>
      </c>
      <c r="G65" s="1" t="str">
        <f>VLOOKUP(B65,Mapping!A:F,6,0)</f>
        <v>Ashish</v>
      </c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7"/>
      <c r="S65" s="27"/>
    </row>
    <row r="66" spans="1:19" x14ac:dyDescent="0.35">
      <c r="A66" s="1" t="s">
        <v>115</v>
      </c>
      <c r="B66" s="1" t="s">
        <v>86</v>
      </c>
      <c r="C66" s="1" t="str">
        <f>VLOOKUP(B66,Mapping!A:B,2,0)</f>
        <v>Lateral</v>
      </c>
      <c r="D66" s="1" t="str">
        <f>VLOOKUP(B66,Mapping!A:C,3,0)</f>
        <v>New Sales</v>
      </c>
      <c r="E66" s="1" t="str">
        <f>VLOOKUP(B66,Mapping!A:D,4,0)</f>
        <v>New Sales</v>
      </c>
      <c r="F66" s="1" t="str">
        <f>VLOOKUP(B66,Mapping!A:E,5,0)</f>
        <v>Nizar</v>
      </c>
      <c r="G66" s="1" t="str">
        <f>VLOOKUP(B66,Mapping!A:F,6,0)</f>
        <v>Nizar</v>
      </c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7"/>
      <c r="S66" s="27"/>
    </row>
    <row r="67" spans="1:19" x14ac:dyDescent="0.35">
      <c r="A67" s="1" t="s">
        <v>115</v>
      </c>
      <c r="B67" s="1" t="s">
        <v>89</v>
      </c>
      <c r="C67" s="1" t="str">
        <f>VLOOKUP(B67,Mapping!A:B,2,0)</f>
        <v>Lateral</v>
      </c>
      <c r="D67" s="1" t="str">
        <f>VLOOKUP(B67,Mapping!A:C,3,0)</f>
        <v>North</v>
      </c>
      <c r="E67" s="1" t="str">
        <f>VLOOKUP(B67,Mapping!A:D,4,0)</f>
        <v>North</v>
      </c>
      <c r="F67" s="1" t="str">
        <f>VLOOKUP(B67,Mapping!A:E,5,0)</f>
        <v>Anjli</v>
      </c>
      <c r="G67" s="1" t="str">
        <f>VLOOKUP(B67,Mapping!A:F,6,0)</f>
        <v>Archana</v>
      </c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7"/>
      <c r="S67" s="27"/>
    </row>
    <row r="68" spans="1:19" x14ac:dyDescent="0.35">
      <c r="A68" s="1" t="s">
        <v>115</v>
      </c>
      <c r="B68" s="1" t="s">
        <v>91</v>
      </c>
      <c r="C68" s="1" t="str">
        <f>VLOOKUP(B68,Mapping!A:B,2,0)</f>
        <v>Lateral</v>
      </c>
      <c r="D68" s="1" t="str">
        <f>VLOOKUP(B68,Mapping!A:C,3,0)</f>
        <v>North</v>
      </c>
      <c r="E68" s="1" t="str">
        <f>VLOOKUP(B68,Mapping!A:D,4,0)</f>
        <v>North</v>
      </c>
      <c r="F68" s="1" t="str">
        <f>VLOOKUP(B68,Mapping!A:E,5,0)</f>
        <v>Anjli</v>
      </c>
      <c r="G68" s="1" t="str">
        <f>VLOOKUP(B68,Mapping!A:F,6,0)</f>
        <v>Archana</v>
      </c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7"/>
      <c r="S68" s="27"/>
    </row>
    <row r="69" spans="1:19" x14ac:dyDescent="0.35">
      <c r="A69" s="1" t="s">
        <v>115</v>
      </c>
      <c r="B69" s="1" t="s">
        <v>92</v>
      </c>
      <c r="C69" s="1" t="e">
        <f>VLOOKUP(B69,Mapping!A:B,2,0)</f>
        <v>#N/A</v>
      </c>
      <c r="D69" s="1" t="e">
        <f>VLOOKUP(B69,Mapping!A:C,3,0)</f>
        <v>#N/A</v>
      </c>
      <c r="E69" s="1" t="e">
        <f>VLOOKUP(B69,Mapping!A:D,4,0)</f>
        <v>#N/A</v>
      </c>
      <c r="F69" s="1" t="e">
        <f>VLOOKUP(B69,Mapping!A:E,5,0)</f>
        <v>#N/A</v>
      </c>
      <c r="G69" s="1" t="e">
        <f>VLOOKUP(B69,Mapping!A:F,6,0)</f>
        <v>#N/A</v>
      </c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7"/>
      <c r="S69" s="27"/>
    </row>
    <row r="70" spans="1:19" x14ac:dyDescent="0.35">
      <c r="A70" s="1" t="s">
        <v>115</v>
      </c>
      <c r="B70" s="1" t="s">
        <v>93</v>
      </c>
      <c r="C70" s="1" t="str">
        <f>VLOOKUP(B70,Mapping!A:B,2,0)</f>
        <v>Lateral</v>
      </c>
      <c r="D70" s="1" t="str">
        <f>VLOOKUP(B70,Mapping!A:C,3,0)</f>
        <v>West</v>
      </c>
      <c r="E70" s="1" t="str">
        <f>VLOOKUP(B70,Mapping!A:D,4,0)</f>
        <v>West 1</v>
      </c>
      <c r="F70" s="1" t="str">
        <f>VLOOKUP(B70,Mapping!A:E,5,0)</f>
        <v>Anjli</v>
      </c>
      <c r="G70" s="1" t="str">
        <f>VLOOKUP(B70,Mapping!A:F,6,0)</f>
        <v>Geetu</v>
      </c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7"/>
      <c r="S70" s="27"/>
    </row>
    <row r="71" spans="1:19" x14ac:dyDescent="0.35">
      <c r="A71" s="1" t="s">
        <v>115</v>
      </c>
      <c r="B71" s="1" t="s">
        <v>94</v>
      </c>
      <c r="C71" s="1" t="str">
        <f>VLOOKUP(B71,Mapping!A:B,2,0)</f>
        <v>Lateral</v>
      </c>
      <c r="D71" s="1" t="str">
        <f>VLOOKUP(B71,Mapping!A:C,3,0)</f>
        <v>West</v>
      </c>
      <c r="E71" s="1" t="str">
        <f>VLOOKUP(B71,Mapping!A:D,4,0)</f>
        <v>West 1</v>
      </c>
      <c r="F71" s="1" t="str">
        <f>VLOOKUP(B71,Mapping!A:E,5,0)</f>
        <v>Anjli</v>
      </c>
      <c r="G71" s="1" t="str">
        <f>VLOOKUP(B71,Mapping!A:F,6,0)</f>
        <v>Archana</v>
      </c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7"/>
      <c r="S71" s="27"/>
    </row>
    <row r="72" spans="1:19" x14ac:dyDescent="0.35">
      <c r="A72" s="1" t="s">
        <v>115</v>
      </c>
      <c r="B72" s="1" t="s">
        <v>95</v>
      </c>
      <c r="C72" s="1" t="str">
        <f>VLOOKUP(B72,Mapping!A:B,2,0)</f>
        <v>Lateral</v>
      </c>
      <c r="D72" s="1" t="str">
        <f>VLOOKUP(B72,Mapping!A:C,3,0)</f>
        <v>South</v>
      </c>
      <c r="E72" s="1" t="str">
        <f>VLOOKUP(B72,Mapping!A:D,4,0)</f>
        <v>South 2</v>
      </c>
      <c r="F72" s="1" t="str">
        <f>VLOOKUP(B72,Mapping!A:E,5,0)</f>
        <v>Sulabh</v>
      </c>
      <c r="G72" s="1" t="str">
        <f>VLOOKUP(B72,Mapping!A:F,6,0)</f>
        <v>Lekhana</v>
      </c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7"/>
      <c r="S72" s="27"/>
    </row>
    <row r="73" spans="1:19" x14ac:dyDescent="0.35">
      <c r="A73" s="1" t="s">
        <v>115</v>
      </c>
      <c r="B73" s="1" t="s">
        <v>97</v>
      </c>
      <c r="C73" s="1" t="str">
        <f>VLOOKUP(B73,Mapping!A:B,2,0)</f>
        <v>Lateral</v>
      </c>
      <c r="D73" s="1" t="str">
        <f>VLOOKUP(B73,Mapping!A:C,3,0)</f>
        <v>South</v>
      </c>
      <c r="E73" s="1" t="str">
        <f>VLOOKUP(B73,Mapping!A:D,4,0)</f>
        <v>South 2</v>
      </c>
      <c r="F73" s="1" t="str">
        <f>VLOOKUP(B73,Mapping!A:E,5,0)</f>
        <v>Sulabh</v>
      </c>
      <c r="G73" s="1" t="str">
        <f>VLOOKUP(B73,Mapping!A:F,6,0)</f>
        <v>Satya</v>
      </c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7"/>
      <c r="S73" s="27"/>
    </row>
    <row r="74" spans="1:19" x14ac:dyDescent="0.35">
      <c r="A74" s="1" t="s">
        <v>115</v>
      </c>
      <c r="B74" s="1" t="s">
        <v>98</v>
      </c>
      <c r="C74" s="1" t="str">
        <f>VLOOKUP(B74,Mapping!A:B,2,0)</f>
        <v>Lateral</v>
      </c>
      <c r="D74" s="1" t="str">
        <f>VLOOKUP(B74,Mapping!A:C,3,0)</f>
        <v>West</v>
      </c>
      <c r="E74" s="1" t="str">
        <f>VLOOKUP(B74,Mapping!A:D,4,0)</f>
        <v>West 1</v>
      </c>
      <c r="F74" s="1" t="str">
        <f>VLOOKUP(B74,Mapping!A:E,5,0)</f>
        <v>Anjli</v>
      </c>
      <c r="G74" s="1" t="str">
        <f>VLOOKUP(B74,Mapping!A:F,6,0)</f>
        <v>Anjli</v>
      </c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7"/>
      <c r="S74" s="27"/>
    </row>
    <row r="75" spans="1:19" x14ac:dyDescent="0.35">
      <c r="A75" s="1" t="s">
        <v>115</v>
      </c>
      <c r="B75" s="1" t="s">
        <v>99</v>
      </c>
      <c r="C75" s="1" t="e">
        <f>VLOOKUP(B75,Mapping!A:B,2,0)</f>
        <v>#N/A</v>
      </c>
      <c r="D75" s="1" t="e">
        <f>VLOOKUP(B75,Mapping!A:C,3,0)</f>
        <v>#N/A</v>
      </c>
      <c r="E75" s="1" t="e">
        <f>VLOOKUP(B75,Mapping!A:D,4,0)</f>
        <v>#N/A</v>
      </c>
      <c r="F75" s="1" t="e">
        <f>VLOOKUP(B75,Mapping!A:E,5,0)</f>
        <v>#N/A</v>
      </c>
      <c r="G75" s="1" t="e">
        <f>VLOOKUP(B75,Mapping!A:F,6,0)</f>
        <v>#N/A</v>
      </c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7"/>
      <c r="S75" s="27"/>
    </row>
    <row r="76" spans="1:19" x14ac:dyDescent="0.35">
      <c r="A76" s="1" t="s">
        <v>115</v>
      </c>
      <c r="B76" s="1" t="s">
        <v>100</v>
      </c>
      <c r="C76" s="1" t="str">
        <f>VLOOKUP(B76,Mapping!A:B,2,0)</f>
        <v>Lateral</v>
      </c>
      <c r="D76" s="1" t="str">
        <f>VLOOKUP(B76,Mapping!A:C,3,0)</f>
        <v>West</v>
      </c>
      <c r="E76" s="1" t="str">
        <f>VLOOKUP(B76,Mapping!A:D,4,0)</f>
        <v>West 1</v>
      </c>
      <c r="F76" s="1" t="str">
        <f>VLOOKUP(B76,Mapping!A:E,5,0)</f>
        <v>Anjli</v>
      </c>
      <c r="G76" s="1" t="str">
        <f>VLOOKUP(B76,Mapping!A:F,6,0)</f>
        <v>Anjli</v>
      </c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7"/>
      <c r="S76" s="27"/>
    </row>
    <row r="77" spans="1:19" x14ac:dyDescent="0.35">
      <c r="A77" s="1" t="s">
        <v>115</v>
      </c>
      <c r="B77" s="1" t="s">
        <v>108</v>
      </c>
      <c r="C77" s="1" t="str">
        <f>VLOOKUP(B77,Mapping!A:B,2,0)</f>
        <v>Lateral</v>
      </c>
      <c r="D77" s="1" t="str">
        <f>VLOOKUP(B77,Mapping!A:C,3,0)</f>
        <v>North</v>
      </c>
      <c r="E77" s="1" t="str">
        <f>VLOOKUP(B77,Mapping!A:D,4,0)</f>
        <v>North</v>
      </c>
      <c r="F77" s="1" t="str">
        <f>VLOOKUP(B77,Mapping!A:E,5,0)</f>
        <v>Anjli</v>
      </c>
      <c r="G77" s="1" t="str">
        <f>VLOOKUP(B77,Mapping!A:F,6,0)</f>
        <v>Anjli</v>
      </c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7"/>
      <c r="S77" s="27"/>
    </row>
    <row r="78" spans="1:19" x14ac:dyDescent="0.35">
      <c r="A78" s="1" t="s">
        <v>115</v>
      </c>
      <c r="B78" s="1" t="s">
        <v>109</v>
      </c>
      <c r="C78" s="1" t="str">
        <f>VLOOKUP(B78,Mapping!A:B,2,0)</f>
        <v>Lateral</v>
      </c>
      <c r="D78" s="1" t="str">
        <f>VLOOKUP(B78,Mapping!A:C,3,0)</f>
        <v>West</v>
      </c>
      <c r="E78" s="1" t="str">
        <f>VLOOKUP(B78,Mapping!A:D,4,0)</f>
        <v>West 1</v>
      </c>
      <c r="F78" s="1" t="str">
        <f>VLOOKUP(B78,Mapping!A:E,5,0)</f>
        <v>Anjli</v>
      </c>
      <c r="G78" s="1" t="str">
        <f>VLOOKUP(B78,Mapping!A:F,6,0)</f>
        <v>Anjli</v>
      </c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7"/>
      <c r="S78" s="27"/>
    </row>
    <row r="79" spans="1:19" x14ac:dyDescent="0.35">
      <c r="A79" s="1" t="s">
        <v>115</v>
      </c>
      <c r="B79" s="1" t="s">
        <v>110</v>
      </c>
      <c r="C79" s="1" t="str">
        <f>VLOOKUP(B79,Mapping!A:B,2,0)</f>
        <v>Lateral</v>
      </c>
      <c r="D79" s="1" t="str">
        <f>VLOOKUP(B79,Mapping!A:C,3,0)</f>
        <v>West</v>
      </c>
      <c r="E79" s="1" t="str">
        <f>VLOOKUP(B79,Mapping!A:D,4,0)</f>
        <v>West 1</v>
      </c>
      <c r="F79" s="1" t="str">
        <f>VLOOKUP(B79,Mapping!A:E,5,0)</f>
        <v>Anjli</v>
      </c>
      <c r="G79" s="1" t="str">
        <f>VLOOKUP(B79,Mapping!A:F,6,0)</f>
        <v>Anjli</v>
      </c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7"/>
      <c r="S79" s="27"/>
    </row>
    <row r="80" spans="1:19" x14ac:dyDescent="0.35"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</sheetData>
  <conditionalFormatting sqref="A1:B1 I1:S1 E1:G1">
    <cfRule type="duplicateValues" dxfId="14" priority="1"/>
  </conditionalFormatting>
  <conditionalFormatting sqref="B51:B73 B2:B41">
    <cfRule type="duplicateValues" dxfId="13" priority="12"/>
  </conditionalFormatting>
  <conditionalFormatting sqref="B74:B76 B42:B50">
    <cfRule type="duplicateValues" dxfId="12" priority="13"/>
  </conditionalFormatting>
  <conditionalFormatting sqref="B77:B79">
    <cfRule type="duplicateValues" dxfId="11" priority="5"/>
    <cfRule type="duplicateValues" dxfId="10" priority="6"/>
  </conditionalFormatting>
  <conditionalFormatting sqref="B80:D1048576 B2:B76">
    <cfRule type="duplicateValues" dxfId="9" priority="11"/>
  </conditionalFormatting>
  <conditionalFormatting sqref="H2:S83">
    <cfRule type="cellIs" dxfId="8" priority="10" operator="greaterThan">
      <formula>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09A9D-BEDD-41E9-9252-698DBD262CB1}">
  <sheetPr codeName="Sheet19">
    <tabColor rgb="FF92D050"/>
  </sheetPr>
  <dimension ref="A1:T81"/>
  <sheetViews>
    <sheetView workbookViewId="0">
      <selection activeCell="I8" sqref="I8"/>
    </sheetView>
  </sheetViews>
  <sheetFormatPr defaultRowHeight="14.5" x14ac:dyDescent="0.35"/>
  <cols>
    <col min="1" max="1" width="9.7265625" bestFit="1" customWidth="1"/>
    <col min="2" max="2" width="28.1796875" bestFit="1" customWidth="1"/>
    <col min="3" max="3" width="10.7265625" bestFit="1" customWidth="1"/>
    <col min="4" max="4" width="10.1796875" bestFit="1" customWidth="1"/>
    <col min="5" max="5" width="10.81640625" bestFit="1" customWidth="1"/>
    <col min="6" max="6" width="12.1796875" bestFit="1" customWidth="1"/>
    <col min="7" max="7" width="13.1796875" bestFit="1" customWidth="1"/>
    <col min="8" max="8" width="6.81640625" bestFit="1" customWidth="1"/>
    <col min="9" max="9" width="7.453125" bestFit="1" customWidth="1"/>
    <col min="10" max="10" width="6.7265625" bestFit="1" customWidth="1"/>
    <col min="11" max="11" width="6.1796875" bestFit="1" customWidth="1"/>
    <col min="12" max="12" width="7.1796875" bestFit="1" customWidth="1"/>
    <col min="13" max="13" width="7" bestFit="1" customWidth="1"/>
    <col min="14" max="14" width="6.7265625" bestFit="1" customWidth="1"/>
    <col min="15" max="15" width="7.26953125" bestFit="1" customWidth="1"/>
    <col min="16" max="16" width="7" bestFit="1" customWidth="1"/>
    <col min="17" max="17" width="6.54296875" bestFit="1" customWidth="1"/>
    <col min="18" max="18" width="7" bestFit="1" customWidth="1"/>
    <col min="19" max="19" width="7.1796875" bestFit="1" customWidth="1"/>
  </cols>
  <sheetData>
    <row r="1" spans="1:20" x14ac:dyDescent="0.35">
      <c r="A1" s="13" t="str">
        <f>Revenue_Budget!A2</f>
        <v>FY</v>
      </c>
      <c r="B1" s="13" t="str">
        <f>Revenue_Budget!B2</f>
        <v>Project</v>
      </c>
      <c r="C1" s="13" t="str">
        <f>Revenue_Budget!C2</f>
        <v>Vertical</v>
      </c>
      <c r="D1" s="13" t="str">
        <f>Revenue_Budget!D2</f>
        <v>Region</v>
      </c>
      <c r="E1" s="13" t="str">
        <f>Revenue_Budget!E2</f>
        <v>Sub Region</v>
      </c>
      <c r="F1" s="13" t="str">
        <f>Revenue_Budget!F2</f>
        <v>Region Head</v>
      </c>
      <c r="G1" s="13" t="str">
        <f>Revenue_Budget!G2</f>
        <v>Practice Head</v>
      </c>
      <c r="H1" s="14">
        <f>Revenue_Budget!H2</f>
        <v>46113</v>
      </c>
      <c r="I1" s="14">
        <f>Revenue_Budget!I2</f>
        <v>46143</v>
      </c>
      <c r="J1" s="14">
        <f>Revenue_Budget!J2</f>
        <v>46174</v>
      </c>
      <c r="K1" s="14">
        <f>Revenue_Budget!K2</f>
        <v>46204</v>
      </c>
      <c r="L1" s="14">
        <f>Revenue_Budget!L2</f>
        <v>46235</v>
      </c>
      <c r="M1" s="14">
        <f>Revenue_Budget!M2</f>
        <v>46266</v>
      </c>
      <c r="N1" s="14">
        <f>Revenue_Budget!N2</f>
        <v>46296</v>
      </c>
      <c r="O1" s="14">
        <f>Revenue_Budget!O2</f>
        <v>46327</v>
      </c>
      <c r="P1" s="14">
        <f>Revenue_Budget!P2</f>
        <v>46357</v>
      </c>
      <c r="Q1" s="14">
        <f>Revenue_Budget!Q2</f>
        <v>46388</v>
      </c>
      <c r="R1" s="14">
        <f>Revenue_Budget!R2</f>
        <v>46419</v>
      </c>
      <c r="S1" s="14">
        <f>Revenue_Budget!S2</f>
        <v>46447</v>
      </c>
    </row>
    <row r="2" spans="1:20" x14ac:dyDescent="0.35">
      <c r="A2" s="16" t="s">
        <v>115</v>
      </c>
      <c r="B2" s="15" t="s">
        <v>2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20"/>
      <c r="I2" s="20"/>
      <c r="J2" s="20"/>
      <c r="K2" s="20"/>
      <c r="L2" s="20"/>
      <c r="M2" s="20"/>
      <c r="N2" s="20"/>
      <c r="O2" s="20"/>
      <c r="P2" s="20"/>
      <c r="Q2" s="20"/>
      <c r="R2" s="17"/>
      <c r="S2" s="17"/>
      <c r="T2" s="4"/>
    </row>
    <row r="3" spans="1:20" x14ac:dyDescent="0.35">
      <c r="A3" s="16" t="s">
        <v>115</v>
      </c>
      <c r="B3" s="15" t="s">
        <v>4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20"/>
      <c r="I3" s="20"/>
      <c r="J3" s="20"/>
      <c r="K3" s="20"/>
      <c r="L3" s="20"/>
      <c r="M3" s="20"/>
      <c r="N3" s="20"/>
      <c r="O3" s="20"/>
      <c r="P3" s="20"/>
      <c r="Q3" s="20"/>
      <c r="R3" s="17"/>
      <c r="S3" s="17"/>
      <c r="T3" s="4"/>
    </row>
    <row r="4" spans="1:20" x14ac:dyDescent="0.35">
      <c r="A4" s="16" t="s">
        <v>115</v>
      </c>
      <c r="B4" s="15" t="s">
        <v>8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20"/>
      <c r="I4" s="20"/>
      <c r="J4" s="20"/>
      <c r="K4" s="20"/>
      <c r="L4" s="20"/>
      <c r="M4" s="20"/>
      <c r="N4" s="20"/>
      <c r="O4" s="20"/>
      <c r="P4" s="20"/>
      <c r="Q4" s="20"/>
      <c r="R4" s="17"/>
      <c r="S4" s="17"/>
      <c r="T4" s="4"/>
    </row>
    <row r="5" spans="1:20" x14ac:dyDescent="0.35">
      <c r="A5" s="16" t="s">
        <v>115</v>
      </c>
      <c r="B5" s="15" t="s">
        <v>10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17"/>
      <c r="S5" s="17"/>
      <c r="T5" s="4"/>
    </row>
    <row r="6" spans="1:20" x14ac:dyDescent="0.35">
      <c r="A6" s="16" t="s">
        <v>115</v>
      </c>
      <c r="B6" s="15" t="s">
        <v>12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20"/>
      <c r="I6" s="20"/>
      <c r="J6" s="20"/>
      <c r="K6" s="20"/>
      <c r="L6" s="20"/>
      <c r="M6" s="20"/>
      <c r="N6" s="20"/>
      <c r="O6" s="20"/>
      <c r="P6" s="20"/>
      <c r="Q6" s="20"/>
      <c r="R6" s="17"/>
      <c r="S6" s="17"/>
      <c r="T6" s="4"/>
    </row>
    <row r="7" spans="1:20" x14ac:dyDescent="0.35">
      <c r="A7" s="16" t="s">
        <v>115</v>
      </c>
      <c r="B7" s="15" t="s">
        <v>16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20"/>
      <c r="I7" s="20"/>
      <c r="J7" s="20"/>
      <c r="K7" s="20"/>
      <c r="L7" s="20"/>
      <c r="M7" s="20"/>
      <c r="N7" s="20"/>
      <c r="O7" s="20"/>
      <c r="P7" s="20"/>
      <c r="Q7" s="20"/>
      <c r="R7" s="17"/>
      <c r="S7" s="17"/>
      <c r="T7" s="4"/>
    </row>
    <row r="8" spans="1:20" x14ac:dyDescent="0.35">
      <c r="A8" s="16" t="s">
        <v>115</v>
      </c>
      <c r="B8" s="15" t="s">
        <v>17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17"/>
      <c r="S8" s="17"/>
      <c r="T8" s="4"/>
    </row>
    <row r="9" spans="1:20" x14ac:dyDescent="0.35">
      <c r="A9" s="16" t="s">
        <v>115</v>
      </c>
      <c r="B9" s="15" t="s">
        <v>18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17"/>
      <c r="S9" s="17"/>
      <c r="T9" s="4"/>
    </row>
    <row r="10" spans="1:20" x14ac:dyDescent="0.35">
      <c r="A10" s="16" t="s">
        <v>115</v>
      </c>
      <c r="B10" s="15" t="s">
        <v>20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17"/>
      <c r="S10" s="17"/>
      <c r="T10" s="4"/>
    </row>
    <row r="11" spans="1:20" x14ac:dyDescent="0.35">
      <c r="A11" s="16" t="s">
        <v>115</v>
      </c>
      <c r="B11" s="15" t="s">
        <v>21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17"/>
      <c r="S11" s="17"/>
      <c r="T11" s="4"/>
    </row>
    <row r="12" spans="1:20" x14ac:dyDescent="0.35">
      <c r="A12" s="16" t="s">
        <v>115</v>
      </c>
      <c r="B12" s="15" t="s">
        <v>23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17"/>
      <c r="S12" s="17"/>
      <c r="T12" s="4"/>
    </row>
    <row r="13" spans="1:20" x14ac:dyDescent="0.35">
      <c r="A13" s="16" t="s">
        <v>115</v>
      </c>
      <c r="B13" s="15" t="s">
        <v>25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17"/>
      <c r="S13" s="17"/>
      <c r="T13" s="4"/>
    </row>
    <row r="14" spans="1:20" x14ac:dyDescent="0.35">
      <c r="A14" s="16" t="s">
        <v>115</v>
      </c>
      <c r="B14" s="15" t="s">
        <v>26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17"/>
      <c r="S14" s="17"/>
      <c r="T14" s="4"/>
    </row>
    <row r="15" spans="1:20" x14ac:dyDescent="0.35">
      <c r="A15" s="16" t="s">
        <v>115</v>
      </c>
      <c r="B15" s="15" t="s">
        <v>28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17"/>
      <c r="S15" s="17"/>
      <c r="T15" s="4"/>
    </row>
    <row r="16" spans="1:20" x14ac:dyDescent="0.35">
      <c r="A16" s="16" t="s">
        <v>115</v>
      </c>
      <c r="B16" s="15" t="s">
        <v>29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7"/>
      <c r="S16" s="17"/>
      <c r="T16" s="4"/>
    </row>
    <row r="17" spans="1:20" x14ac:dyDescent="0.35">
      <c r="A17" s="16" t="s">
        <v>115</v>
      </c>
      <c r="B17" s="15" t="s">
        <v>30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17"/>
      <c r="S17" s="17"/>
      <c r="T17" s="4"/>
    </row>
    <row r="18" spans="1:20" x14ac:dyDescent="0.35">
      <c r="A18" s="16" t="s">
        <v>115</v>
      </c>
      <c r="B18" s="15" t="s">
        <v>32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17"/>
      <c r="S18" s="17"/>
      <c r="T18" s="4"/>
    </row>
    <row r="19" spans="1:20" x14ac:dyDescent="0.35">
      <c r="A19" s="16" t="s">
        <v>115</v>
      </c>
      <c r="B19" s="15" t="s">
        <v>33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17"/>
      <c r="S19" s="17"/>
      <c r="T19" s="4"/>
    </row>
    <row r="20" spans="1:20" x14ac:dyDescent="0.35">
      <c r="A20" s="16" t="s">
        <v>115</v>
      </c>
      <c r="B20" s="15" t="s">
        <v>34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17"/>
      <c r="S20" s="17"/>
      <c r="T20" s="4"/>
    </row>
    <row r="21" spans="1:20" x14ac:dyDescent="0.35">
      <c r="A21" s="16" t="s">
        <v>115</v>
      </c>
      <c r="B21" s="15" t="s">
        <v>35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17"/>
      <c r="S21" s="17"/>
      <c r="T21" s="4"/>
    </row>
    <row r="22" spans="1:20" x14ac:dyDescent="0.35">
      <c r="A22" s="16" t="s">
        <v>115</v>
      </c>
      <c r="B22" s="15" t="s">
        <v>37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17"/>
      <c r="S22" s="17"/>
      <c r="T22" s="4"/>
    </row>
    <row r="23" spans="1:20" x14ac:dyDescent="0.35">
      <c r="A23" s="16" t="s">
        <v>115</v>
      </c>
      <c r="B23" s="15" t="s">
        <v>38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17"/>
      <c r="S23" s="17"/>
      <c r="T23" s="4"/>
    </row>
    <row r="24" spans="1:20" x14ac:dyDescent="0.35">
      <c r="A24" s="16" t="s">
        <v>115</v>
      </c>
      <c r="B24" s="15" t="s">
        <v>39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17"/>
      <c r="S24" s="17"/>
      <c r="T24" s="4"/>
    </row>
    <row r="25" spans="1:20" x14ac:dyDescent="0.35">
      <c r="A25" s="16" t="s">
        <v>115</v>
      </c>
      <c r="B25" s="15" t="s">
        <v>40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17"/>
      <c r="S25" s="17"/>
      <c r="T25" s="4"/>
    </row>
    <row r="26" spans="1:20" x14ac:dyDescent="0.35">
      <c r="A26" s="16" t="s">
        <v>115</v>
      </c>
      <c r="B26" s="15" t="s">
        <v>41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17"/>
      <c r="S26" s="17"/>
      <c r="T26" s="4"/>
    </row>
    <row r="27" spans="1:20" x14ac:dyDescent="0.35">
      <c r="A27" s="16" t="s">
        <v>115</v>
      </c>
      <c r="B27" s="15" t="s">
        <v>42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17"/>
      <c r="S27" s="17"/>
      <c r="T27" s="4"/>
    </row>
    <row r="28" spans="1:20" x14ac:dyDescent="0.35">
      <c r="A28" s="16" t="s">
        <v>115</v>
      </c>
      <c r="B28" s="15" t="s">
        <v>43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7"/>
      <c r="S28" s="17"/>
      <c r="T28" s="4"/>
    </row>
    <row r="29" spans="1:20" x14ac:dyDescent="0.35">
      <c r="A29" s="16" t="s">
        <v>115</v>
      </c>
      <c r="B29" s="15" t="s">
        <v>44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17"/>
      <c r="S29" s="17"/>
      <c r="T29" s="4"/>
    </row>
    <row r="30" spans="1:20" x14ac:dyDescent="0.35">
      <c r="A30" s="16" t="s">
        <v>115</v>
      </c>
      <c r="B30" s="15" t="s">
        <v>45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17"/>
      <c r="S30" s="17"/>
      <c r="T30" s="4"/>
    </row>
    <row r="31" spans="1:20" x14ac:dyDescent="0.35">
      <c r="A31" s="16" t="s">
        <v>115</v>
      </c>
      <c r="B31" s="15" t="s">
        <v>46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17"/>
      <c r="S31" s="17"/>
      <c r="T31" s="4"/>
    </row>
    <row r="32" spans="1:20" x14ac:dyDescent="0.35">
      <c r="A32" s="16" t="s">
        <v>115</v>
      </c>
      <c r="B32" s="15" t="s">
        <v>47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17"/>
      <c r="S32" s="17"/>
      <c r="T32" s="4"/>
    </row>
    <row r="33" spans="1:20" x14ac:dyDescent="0.35">
      <c r="A33" s="16" t="s">
        <v>115</v>
      </c>
      <c r="B33" s="15" t="s">
        <v>48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17"/>
      <c r="S33" s="17"/>
      <c r="T33" s="4"/>
    </row>
    <row r="34" spans="1:20" x14ac:dyDescent="0.35">
      <c r="A34" s="16" t="s">
        <v>115</v>
      </c>
      <c r="B34" s="15" t="s">
        <v>49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17"/>
      <c r="S34" s="17"/>
      <c r="T34" s="4"/>
    </row>
    <row r="35" spans="1:20" x14ac:dyDescent="0.35">
      <c r="A35" s="16" t="s">
        <v>115</v>
      </c>
      <c r="B35" s="15" t="s">
        <v>50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17"/>
      <c r="S35" s="17"/>
      <c r="T35" s="4"/>
    </row>
    <row r="36" spans="1:20" x14ac:dyDescent="0.35">
      <c r="A36" s="16" t="s">
        <v>115</v>
      </c>
      <c r="B36" s="15" t="s">
        <v>51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17"/>
      <c r="S36" s="17"/>
      <c r="T36" s="4"/>
    </row>
    <row r="37" spans="1:20" x14ac:dyDescent="0.35">
      <c r="A37" s="16" t="s">
        <v>115</v>
      </c>
      <c r="B37" s="15" t="s">
        <v>52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17"/>
      <c r="S37" s="17"/>
      <c r="T37" s="4"/>
    </row>
    <row r="38" spans="1:20" x14ac:dyDescent="0.35">
      <c r="A38" s="16" t="s">
        <v>115</v>
      </c>
      <c r="B38" s="15" t="s">
        <v>53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17"/>
      <c r="S38" s="17"/>
      <c r="T38" s="4"/>
    </row>
    <row r="39" spans="1:20" x14ac:dyDescent="0.35">
      <c r="A39" s="16" t="s">
        <v>115</v>
      </c>
      <c r="B39" s="15" t="s">
        <v>55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17"/>
      <c r="S39" s="17"/>
      <c r="T39" s="4"/>
    </row>
    <row r="40" spans="1:20" x14ac:dyDescent="0.35">
      <c r="A40" s="16" t="s">
        <v>115</v>
      </c>
      <c r="B40" s="15" t="s">
        <v>56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17"/>
      <c r="S40" s="17"/>
      <c r="T40" s="4"/>
    </row>
    <row r="41" spans="1:20" x14ac:dyDescent="0.35">
      <c r="A41" s="16" t="s">
        <v>115</v>
      </c>
      <c r="B41" s="15" t="s">
        <v>57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17"/>
      <c r="S41" s="17"/>
      <c r="T41" s="4"/>
    </row>
    <row r="42" spans="1:20" x14ac:dyDescent="0.35">
      <c r="A42" s="16" t="s">
        <v>115</v>
      </c>
      <c r="B42" s="15" t="s">
        <v>58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17"/>
      <c r="S42" s="17"/>
      <c r="T42" s="4"/>
    </row>
    <row r="43" spans="1:20" x14ac:dyDescent="0.35">
      <c r="A43" s="16" t="s">
        <v>115</v>
      </c>
      <c r="B43" s="15" t="s">
        <v>60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17"/>
      <c r="S43" s="17"/>
      <c r="T43" s="4"/>
    </row>
    <row r="44" spans="1:20" x14ac:dyDescent="0.35">
      <c r="A44" s="16" t="s">
        <v>115</v>
      </c>
      <c r="B44" s="15" t="s">
        <v>61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17"/>
      <c r="S44" s="17"/>
      <c r="T44" s="4"/>
    </row>
    <row r="45" spans="1:20" x14ac:dyDescent="0.35">
      <c r="A45" s="16" t="s">
        <v>115</v>
      </c>
      <c r="B45" s="15" t="s">
        <v>62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17"/>
      <c r="S45" s="17"/>
      <c r="T45" s="4"/>
    </row>
    <row r="46" spans="1:20" x14ac:dyDescent="0.35">
      <c r="A46" s="16" t="s">
        <v>115</v>
      </c>
      <c r="B46" s="15" t="s">
        <v>63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17"/>
      <c r="S46" s="17"/>
      <c r="T46" s="4"/>
    </row>
    <row r="47" spans="1:20" x14ac:dyDescent="0.35">
      <c r="A47" s="16" t="s">
        <v>115</v>
      </c>
      <c r="B47" s="15" t="s">
        <v>64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17"/>
      <c r="S47" s="17"/>
      <c r="T47" s="4"/>
    </row>
    <row r="48" spans="1:20" x14ac:dyDescent="0.35">
      <c r="A48" s="16" t="s">
        <v>115</v>
      </c>
      <c r="B48" s="15" t="s">
        <v>65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17"/>
      <c r="S48" s="17"/>
      <c r="T48" s="4"/>
    </row>
    <row r="49" spans="1:20" x14ac:dyDescent="0.35">
      <c r="A49" s="16" t="s">
        <v>115</v>
      </c>
      <c r="B49" s="15" t="s">
        <v>66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7"/>
      <c r="S49" s="17"/>
      <c r="T49" s="4"/>
    </row>
    <row r="50" spans="1:20" x14ac:dyDescent="0.35">
      <c r="A50" s="16" t="s">
        <v>115</v>
      </c>
      <c r="B50" s="15" t="s">
        <v>68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17"/>
      <c r="S50" s="17"/>
      <c r="T50" s="4"/>
    </row>
    <row r="51" spans="1:20" x14ac:dyDescent="0.35">
      <c r="A51" s="16" t="s">
        <v>115</v>
      </c>
      <c r="B51" s="15" t="s">
        <v>69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17"/>
      <c r="S51" s="17"/>
      <c r="T51" s="4"/>
    </row>
    <row r="52" spans="1:20" x14ac:dyDescent="0.35">
      <c r="A52" s="16" t="s">
        <v>115</v>
      </c>
      <c r="B52" s="15" t="s">
        <v>71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17"/>
      <c r="S52" s="17"/>
      <c r="T52" s="4"/>
    </row>
    <row r="53" spans="1:20" x14ac:dyDescent="0.35">
      <c r="A53" s="16" t="s">
        <v>115</v>
      </c>
      <c r="B53" s="15" t="s">
        <v>72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17"/>
      <c r="S53" s="17"/>
      <c r="T53" s="4"/>
    </row>
    <row r="54" spans="1:20" x14ac:dyDescent="0.35">
      <c r="A54" s="16" t="s">
        <v>115</v>
      </c>
      <c r="B54" s="15" t="s">
        <v>73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17"/>
      <c r="S54" s="17"/>
      <c r="T54" s="4"/>
    </row>
    <row r="55" spans="1:20" x14ac:dyDescent="0.35">
      <c r="A55" s="16" t="s">
        <v>115</v>
      </c>
      <c r="B55" s="15" t="s">
        <v>74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17"/>
      <c r="S55" s="17"/>
      <c r="T55" s="4"/>
    </row>
    <row r="56" spans="1:20" x14ac:dyDescent="0.35">
      <c r="A56" s="16" t="s">
        <v>115</v>
      </c>
      <c r="B56" s="15" t="s">
        <v>75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17"/>
      <c r="S56" s="17"/>
      <c r="T56" s="4"/>
    </row>
    <row r="57" spans="1:20" x14ac:dyDescent="0.35">
      <c r="A57" s="16" t="s">
        <v>115</v>
      </c>
      <c r="B57" s="15" t="s">
        <v>76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17"/>
      <c r="S57" s="17"/>
      <c r="T57" s="4"/>
    </row>
    <row r="58" spans="1:20" x14ac:dyDescent="0.35">
      <c r="A58" s="16" t="s">
        <v>115</v>
      </c>
      <c r="B58" s="15" t="s">
        <v>77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17"/>
      <c r="S58" s="17"/>
      <c r="T58" s="4"/>
    </row>
    <row r="59" spans="1:20" x14ac:dyDescent="0.35">
      <c r="A59" s="16" t="s">
        <v>115</v>
      </c>
      <c r="B59" s="15" t="s">
        <v>78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17"/>
      <c r="S59" s="17"/>
      <c r="T59" s="4"/>
    </row>
    <row r="60" spans="1:20" x14ac:dyDescent="0.35">
      <c r="A60" s="16" t="s">
        <v>115</v>
      </c>
      <c r="B60" s="15" t="s">
        <v>79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17"/>
      <c r="S60" s="17"/>
      <c r="T60" s="4"/>
    </row>
    <row r="61" spans="1:20" x14ac:dyDescent="0.35">
      <c r="A61" s="16" t="s">
        <v>115</v>
      </c>
      <c r="B61" s="15" t="s">
        <v>80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17"/>
      <c r="S61" s="17"/>
      <c r="T61" s="4"/>
    </row>
    <row r="62" spans="1:20" x14ac:dyDescent="0.35">
      <c r="A62" s="16" t="s">
        <v>115</v>
      </c>
      <c r="B62" s="15" t="s">
        <v>81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17"/>
      <c r="S62" s="17"/>
      <c r="T62" s="4"/>
    </row>
    <row r="63" spans="1:20" x14ac:dyDescent="0.35">
      <c r="A63" s="16" t="s">
        <v>115</v>
      </c>
      <c r="B63" s="15" t="s">
        <v>82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17"/>
      <c r="S63" s="17"/>
      <c r="T63" s="4"/>
    </row>
    <row r="64" spans="1:20" x14ac:dyDescent="0.35">
      <c r="A64" s="16" t="s">
        <v>115</v>
      </c>
      <c r="B64" s="15" t="s">
        <v>83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17"/>
      <c r="S64" s="17"/>
      <c r="T64" s="4"/>
    </row>
    <row r="65" spans="1:20" x14ac:dyDescent="0.35">
      <c r="A65" s="16" t="s">
        <v>115</v>
      </c>
      <c r="B65" s="15" t="s">
        <v>84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17"/>
      <c r="S65" s="17"/>
      <c r="T65" s="4"/>
    </row>
    <row r="66" spans="1:20" x14ac:dyDescent="0.35">
      <c r="A66" s="16" t="s">
        <v>115</v>
      </c>
      <c r="B66" s="15" t="s">
        <v>86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17"/>
      <c r="S66" s="17"/>
      <c r="T66" s="4"/>
    </row>
    <row r="67" spans="1:20" x14ac:dyDescent="0.35">
      <c r="A67" s="16" t="s">
        <v>115</v>
      </c>
      <c r="B67" s="15" t="s">
        <v>89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17"/>
      <c r="S67" s="17"/>
      <c r="T67" s="4"/>
    </row>
    <row r="68" spans="1:20" x14ac:dyDescent="0.35">
      <c r="A68" s="16" t="s">
        <v>115</v>
      </c>
      <c r="B68" s="15" t="s">
        <v>91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17"/>
      <c r="S68" s="17"/>
      <c r="T68" s="4"/>
    </row>
    <row r="69" spans="1:20" x14ac:dyDescent="0.35">
      <c r="A69" s="16" t="s">
        <v>115</v>
      </c>
      <c r="B69" s="15" t="s">
        <v>92</v>
      </c>
      <c r="C69" s="15" t="e">
        <f>VLOOKUP(B69,Mapping!A:B,2,0)</f>
        <v>#N/A</v>
      </c>
      <c r="D69" s="15" t="e">
        <f>VLOOKUP(B69,Mapping!A:C,3,0)</f>
        <v>#N/A</v>
      </c>
      <c r="E69" s="16" t="e">
        <f>VLOOKUP(B69,Mapping!A:D,4,0)</f>
        <v>#N/A</v>
      </c>
      <c r="F69" s="16" t="e">
        <f>VLOOKUP(B69,Mapping!A:E,5,0)</f>
        <v>#N/A</v>
      </c>
      <c r="G69" s="16" t="e">
        <f>VLOOKUP(B69,Mapping!A:F,6,0)</f>
        <v>#N/A</v>
      </c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17"/>
      <c r="S69" s="17"/>
      <c r="T69" s="4"/>
    </row>
    <row r="70" spans="1:20" x14ac:dyDescent="0.35">
      <c r="A70" s="16" t="s">
        <v>115</v>
      </c>
      <c r="B70" s="15" t="s">
        <v>93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17"/>
      <c r="S70" s="17"/>
      <c r="T70" s="4"/>
    </row>
    <row r="71" spans="1:20" x14ac:dyDescent="0.35">
      <c r="A71" s="16" t="s">
        <v>115</v>
      </c>
      <c r="B71" s="15" t="s">
        <v>94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17"/>
      <c r="S71" s="17"/>
      <c r="T71" s="4"/>
    </row>
    <row r="72" spans="1:20" x14ac:dyDescent="0.35">
      <c r="A72" s="16" t="s">
        <v>115</v>
      </c>
      <c r="B72" s="15" t="s">
        <v>95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17"/>
      <c r="S72" s="17"/>
      <c r="T72" s="4"/>
    </row>
    <row r="73" spans="1:20" x14ac:dyDescent="0.35">
      <c r="A73" s="16" t="s">
        <v>115</v>
      </c>
      <c r="B73" s="15" t="s">
        <v>97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17"/>
      <c r="S73" s="17"/>
      <c r="T73" s="4"/>
    </row>
    <row r="74" spans="1:20" x14ac:dyDescent="0.35">
      <c r="A74" s="16" t="s">
        <v>115</v>
      </c>
      <c r="B74" s="15" t="s">
        <v>98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17"/>
      <c r="S74" s="17"/>
      <c r="T74" s="4"/>
    </row>
    <row r="75" spans="1:20" x14ac:dyDescent="0.35">
      <c r="A75" s="16" t="s">
        <v>115</v>
      </c>
      <c r="B75" s="15" t="s">
        <v>99</v>
      </c>
      <c r="C75" s="15" t="e">
        <f>VLOOKUP(B75,Mapping!A:B,2,0)</f>
        <v>#N/A</v>
      </c>
      <c r="D75" s="15" t="e">
        <f>VLOOKUP(B75,Mapping!A:C,3,0)</f>
        <v>#N/A</v>
      </c>
      <c r="E75" s="16" t="e">
        <f>VLOOKUP(B75,Mapping!A:D,4,0)</f>
        <v>#N/A</v>
      </c>
      <c r="F75" s="16" t="e">
        <f>VLOOKUP(B75,Mapping!A:E,5,0)</f>
        <v>#N/A</v>
      </c>
      <c r="G75" s="16" t="e">
        <f>VLOOKUP(B75,Mapping!A:F,6,0)</f>
        <v>#N/A</v>
      </c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17"/>
      <c r="S75" s="17"/>
      <c r="T75" s="4"/>
    </row>
    <row r="76" spans="1:20" x14ac:dyDescent="0.35">
      <c r="A76" s="16" t="s">
        <v>115</v>
      </c>
      <c r="B76" s="15" t="s">
        <v>100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17"/>
      <c r="S76" s="17"/>
      <c r="T76" s="4"/>
    </row>
    <row r="77" spans="1:20" x14ac:dyDescent="0.35">
      <c r="A77" s="16" t="s">
        <v>115</v>
      </c>
      <c r="B77" s="15" t="s">
        <v>108</v>
      </c>
      <c r="C77" s="15" t="str">
        <f>VLOOKUP(B77,Mapping!A:B,2,0)</f>
        <v>Lateral</v>
      </c>
      <c r="D77" s="15" t="str">
        <f>VLOOKUP(B77,Mapping!A:C,3,0)</f>
        <v>North</v>
      </c>
      <c r="E77" s="16" t="str">
        <f>VLOOKUP(B77,Mapping!A:D,4,0)</f>
        <v>North</v>
      </c>
      <c r="F77" s="16" t="str">
        <f>VLOOKUP(B77,Mapping!A:E,5,0)</f>
        <v>Anjli</v>
      </c>
      <c r="G77" s="16" t="str">
        <f>VLOOKUP(B77,Mapping!A:F,6,0)</f>
        <v>Anjli</v>
      </c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16"/>
      <c r="S77" s="16"/>
    </row>
    <row r="78" spans="1:20" x14ac:dyDescent="0.35">
      <c r="A78" s="16" t="s">
        <v>115</v>
      </c>
      <c r="B78" s="15" t="s">
        <v>109</v>
      </c>
      <c r="C78" s="15" t="str">
        <f>VLOOKUP(B78,Mapping!A:B,2,0)</f>
        <v>Lateral</v>
      </c>
      <c r="D78" s="15" t="str">
        <f>VLOOKUP(B78,Mapping!A:C,3,0)</f>
        <v>West</v>
      </c>
      <c r="E78" s="16" t="str">
        <f>VLOOKUP(B78,Mapping!A:D,4,0)</f>
        <v>West 1</v>
      </c>
      <c r="F78" s="16" t="str">
        <f>VLOOKUP(B78,Mapping!A:E,5,0)</f>
        <v>Anjli</v>
      </c>
      <c r="G78" s="16" t="str">
        <f>VLOOKUP(B78,Mapping!A:F,6,0)</f>
        <v>Anjli</v>
      </c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16"/>
      <c r="S78" s="16"/>
    </row>
    <row r="79" spans="1:20" x14ac:dyDescent="0.35">
      <c r="A79" s="16" t="s">
        <v>115</v>
      </c>
      <c r="B79" s="15" t="s">
        <v>110</v>
      </c>
      <c r="C79" s="15" t="str">
        <f>VLOOKUP(B79,Mapping!A:B,2,0)</f>
        <v>Lateral</v>
      </c>
      <c r="D79" s="15" t="str">
        <f>VLOOKUP(B79,Mapping!A:C,3,0)</f>
        <v>West</v>
      </c>
      <c r="E79" s="16" t="str">
        <f>VLOOKUP(B79,Mapping!A:D,4,0)</f>
        <v>West 1</v>
      </c>
      <c r="F79" s="16" t="str">
        <f>VLOOKUP(B79,Mapping!A:E,5,0)</f>
        <v>Anjli</v>
      </c>
      <c r="G79" s="16" t="str">
        <f>VLOOKUP(B79,Mapping!A:F,6,0)</f>
        <v>Anjli</v>
      </c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16"/>
      <c r="S79" s="16"/>
    </row>
    <row r="80" spans="1:20" x14ac:dyDescent="0.35"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6:16" x14ac:dyDescent="0.35">
      <c r="P81" s="2"/>
    </row>
  </sheetData>
  <conditionalFormatting sqref="A1:B1 I1:S1 E1:G1">
    <cfRule type="duplicateValues" dxfId="7" priority="1"/>
  </conditionalFormatting>
  <conditionalFormatting sqref="B51:B73 B2:B41">
    <cfRule type="duplicateValues" dxfId="6" priority="14"/>
  </conditionalFormatting>
  <conditionalFormatting sqref="B74:B76 B42:B50">
    <cfRule type="duplicateValues" dxfId="5" priority="15"/>
  </conditionalFormatting>
  <conditionalFormatting sqref="B77:B79">
    <cfRule type="duplicateValues" dxfId="4" priority="7"/>
    <cfRule type="duplicateValues" dxfId="3" priority="8"/>
  </conditionalFormatting>
  <conditionalFormatting sqref="B80:D1048576 B2:B76">
    <cfRule type="duplicateValues" dxfId="2" priority="13"/>
  </conditionalFormatting>
  <conditionalFormatting sqref="B80:D1048576 B2:B79">
    <cfRule type="duplicateValues" dxfId="1" priority="4"/>
  </conditionalFormatting>
  <conditionalFormatting sqref="H2:S81">
    <cfRule type="cellIs" dxfId="0" priority="1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Revenue_Budget</vt:lpstr>
      <vt:lpstr>Rev_Forecast</vt:lpstr>
      <vt:lpstr>Revenue_Actual</vt:lpstr>
      <vt:lpstr>CM_Budget</vt:lpstr>
      <vt:lpstr>Target Rev Productivity</vt:lpstr>
      <vt:lpstr>CM_Forecast</vt:lpstr>
      <vt:lpstr>Mapping</vt:lpstr>
      <vt:lpstr>CM Actual</vt:lpstr>
      <vt:lpstr>Rev_Productivity_Actual</vt:lpstr>
      <vt:lpstr>Taggd_Source_Joiner</vt:lpstr>
      <vt:lpstr>Non Taggd_Source_Joiner</vt:lpstr>
      <vt:lpstr>Revenue_Adjustment</vt:lpstr>
      <vt:lpstr>Headcount_Overall</vt:lpstr>
      <vt:lpstr>Headcount_WL1</vt:lpstr>
      <vt:lpstr>Headcount_Approved</vt:lpstr>
      <vt:lpstr>PPC_Actual</vt:lpstr>
      <vt:lpstr>Unbilled</vt:lpstr>
      <vt:lpstr>Target_Collection</vt:lpstr>
      <vt:lpstr>Actual_Collection</vt:lpstr>
      <vt:lpstr>Bad Debt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Devendra Kumar</dc:creator>
  <cp:keywords/>
  <dc:description/>
  <cp:lastModifiedBy>Baljeet Singh</cp:lastModifiedBy>
  <cp:revision/>
  <cp:lastPrinted>2026-04-22T12:16:11Z</cp:lastPrinted>
  <dcterms:created xsi:type="dcterms:W3CDTF">2015-06-05T18:17:20Z</dcterms:created>
  <dcterms:modified xsi:type="dcterms:W3CDTF">2026-05-26T13:26:58Z</dcterms:modified>
  <cp:category/>
  <cp:contentStatus/>
</cp:coreProperties>
</file>